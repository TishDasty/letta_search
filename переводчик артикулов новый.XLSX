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\\foto\pub\ЗАКАЗ\Отчет\"/>
    </mc:Choice>
  </mc:AlternateContent>
  <xr:revisionPtr revIDLastSave="0" documentId="13_ncr:1_{103A4D20-89AD-472D-9DF9-BD9830E68B06}" xr6:coauthVersionLast="47" xr6:coauthVersionMax="47" xr10:uidLastSave="{00000000-0000-0000-0000-000000000000}"/>
  <bookViews>
    <workbookView xWindow="-120" yWindow="-120" windowWidth="29040" windowHeight="15840" tabRatio="449" xr2:uid="{00000000-000D-0000-FFFF-FFFF00000000}"/>
  </bookViews>
  <sheets>
    <sheet name="Лист7" sheetId="8" r:id="rId1"/>
  </sheets>
  <externalReferences>
    <externalReference r:id="rId2"/>
  </externalReferences>
  <definedNames>
    <definedName name="_xlnm._FilterDatabase" localSheetId="0" hidden="1">Лист7!$A$1:$WUC$1940</definedName>
    <definedName name="ExternalData_1" localSheetId="0" hidden="1">Лист7!#REF!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12" i="8" l="1"/>
  <c r="AB512" i="8"/>
  <c r="AC512" i="8"/>
  <c r="AD512" i="8"/>
  <c r="AA513" i="8"/>
  <c r="AB513" i="8"/>
  <c r="AC513" i="8"/>
  <c r="AD513" i="8"/>
  <c r="AA514" i="8"/>
  <c r="AB514" i="8"/>
  <c r="AC514" i="8"/>
  <c r="AD514" i="8"/>
  <c r="AA511" i="8"/>
  <c r="AA343" i="8"/>
  <c r="AB343" i="8"/>
  <c r="AC343" i="8"/>
  <c r="AD343" i="8"/>
  <c r="AA344" i="8"/>
  <c r="AB344" i="8"/>
  <c r="AC344" i="8"/>
  <c r="AD344" i="8"/>
  <c r="AA345" i="8"/>
  <c r="AB345" i="8"/>
  <c r="AC345" i="8"/>
  <c r="AD345" i="8"/>
  <c r="AA515" i="8"/>
  <c r="AB515" i="8"/>
  <c r="AC515" i="8"/>
  <c r="AD515" i="8"/>
  <c r="AA516" i="8"/>
  <c r="AB516" i="8"/>
  <c r="AC516" i="8"/>
  <c r="AD516" i="8"/>
  <c r="AA517" i="8"/>
  <c r="AB517" i="8"/>
  <c r="AC517" i="8"/>
  <c r="AD517" i="8"/>
  <c r="AA501" i="8"/>
  <c r="AB501" i="8"/>
  <c r="AC501" i="8"/>
  <c r="AD501" i="8"/>
  <c r="AA639" i="8"/>
  <c r="AB639" i="8"/>
  <c r="AC639" i="8"/>
  <c r="AD639" i="8"/>
  <c r="AA640" i="8"/>
  <c r="AB640" i="8"/>
  <c r="AC640" i="8"/>
  <c r="AD640" i="8"/>
  <c r="AA713" i="8"/>
  <c r="AB713" i="8"/>
  <c r="AC713" i="8"/>
  <c r="AD713" i="8"/>
  <c r="AA185" i="8" l="1"/>
  <c r="AB185" i="8"/>
  <c r="AC185" i="8"/>
  <c r="AD185" i="8"/>
  <c r="AA186" i="8"/>
  <c r="AB186" i="8"/>
  <c r="AC186" i="8"/>
  <c r="AD186" i="8"/>
  <c r="AA77" i="8"/>
  <c r="AB77" i="8"/>
  <c r="AC77" i="8"/>
  <c r="AD77" i="8"/>
  <c r="AA589" i="8"/>
  <c r="AB589" i="8"/>
  <c r="AC589" i="8"/>
  <c r="AD589" i="8"/>
  <c r="AA440" i="8"/>
  <c r="AB440" i="8"/>
  <c r="AC440" i="8"/>
  <c r="AD440" i="8"/>
  <c r="AA304" i="8"/>
  <c r="AB304" i="8"/>
  <c r="AC304" i="8"/>
  <c r="AD304" i="8"/>
  <c r="AA305" i="8"/>
  <c r="AB305" i="8"/>
  <c r="AC305" i="8"/>
  <c r="AD305" i="8"/>
  <c r="AA306" i="8"/>
  <c r="AB306" i="8"/>
  <c r="AC306" i="8"/>
  <c r="AD306" i="8"/>
  <c r="AA307" i="8"/>
  <c r="AB307" i="8"/>
  <c r="AC307" i="8"/>
  <c r="AD307" i="8"/>
  <c r="AA308" i="8"/>
  <c r="AB308" i="8"/>
  <c r="AC308" i="8"/>
  <c r="AD308" i="8"/>
  <c r="AA309" i="8"/>
  <c r="AB309" i="8"/>
  <c r="AC309" i="8"/>
  <c r="AD309" i="8"/>
  <c r="AA595" i="8" l="1"/>
  <c r="AB595" i="8"/>
  <c r="AC595" i="8"/>
  <c r="AD595" i="8"/>
  <c r="AA591" i="8"/>
  <c r="AB591" i="8"/>
  <c r="AC591" i="8"/>
  <c r="AD591" i="8"/>
  <c r="AA682" i="8"/>
  <c r="AB682" i="8"/>
  <c r="AC682" i="8"/>
  <c r="AD682" i="8"/>
  <c r="AA683" i="8"/>
  <c r="AB683" i="8"/>
  <c r="AC683" i="8"/>
  <c r="AD683" i="8"/>
  <c r="AA684" i="8"/>
  <c r="AB684" i="8"/>
  <c r="AC684" i="8"/>
  <c r="AD684" i="8"/>
  <c r="AA685" i="8"/>
  <c r="AB685" i="8"/>
  <c r="AC685" i="8"/>
  <c r="AD685" i="8"/>
  <c r="AA686" i="8"/>
  <c r="AB686" i="8"/>
  <c r="AC686" i="8"/>
  <c r="AD686" i="8"/>
  <c r="AA687" i="8"/>
  <c r="AB687" i="8"/>
  <c r="AC687" i="8"/>
  <c r="AD687" i="8"/>
  <c r="AA688" i="8"/>
  <c r="AB688" i="8"/>
  <c r="AC688" i="8"/>
  <c r="AD688" i="8"/>
  <c r="AA689" i="8"/>
  <c r="AB689" i="8"/>
  <c r="AC689" i="8"/>
  <c r="AD689" i="8"/>
  <c r="AB511" i="8"/>
  <c r="AC511" i="8"/>
  <c r="AD511" i="8"/>
  <c r="AA681" i="8"/>
  <c r="AB681" i="8"/>
  <c r="AC681" i="8"/>
  <c r="AD681" i="8"/>
  <c r="AA497" i="8"/>
  <c r="AB497" i="8"/>
  <c r="AC497" i="8"/>
  <c r="AD497" i="8"/>
  <c r="AA427" i="8"/>
  <c r="AB427" i="8"/>
  <c r="AC427" i="8"/>
  <c r="AD427" i="8"/>
  <c r="AA342" i="8"/>
  <c r="AB342" i="8"/>
  <c r="AC342" i="8"/>
  <c r="AD342" i="8"/>
  <c r="AA680" i="8"/>
  <c r="AB680" i="8"/>
  <c r="AC680" i="8"/>
  <c r="AD680" i="8"/>
  <c r="AA676" i="8"/>
  <c r="AB676" i="8"/>
  <c r="AC676" i="8"/>
  <c r="AD676" i="8"/>
  <c r="AA677" i="8"/>
  <c r="AB677" i="8"/>
  <c r="AC677" i="8"/>
  <c r="AD677" i="8"/>
  <c r="AA678" i="8"/>
  <c r="AB678" i="8"/>
  <c r="AC678" i="8"/>
  <c r="AD678" i="8"/>
  <c r="AA679" i="8"/>
  <c r="AB679" i="8"/>
  <c r="AC679" i="8"/>
  <c r="AD679" i="8"/>
  <c r="AA500" i="8"/>
  <c r="AB500" i="8"/>
  <c r="AC500" i="8"/>
  <c r="AD500" i="8"/>
  <c r="AA303" i="8" l="1"/>
  <c r="AB303" i="8"/>
  <c r="AC303" i="8"/>
  <c r="AD303" i="8"/>
  <c r="AA494" i="8"/>
  <c r="AB494" i="8"/>
  <c r="AC494" i="8"/>
  <c r="AD494" i="8"/>
  <c r="AA493" i="8"/>
  <c r="AB493" i="8"/>
  <c r="AC493" i="8"/>
  <c r="AD493" i="8"/>
  <c r="AB18" i="8" l="1"/>
  <c r="AA18" i="8"/>
  <c r="AA318" i="8"/>
  <c r="AB318" i="8"/>
  <c r="AC318" i="8"/>
  <c r="AD318" i="8"/>
  <c r="AA322" i="8"/>
  <c r="AB322" i="8"/>
  <c r="AC322" i="8"/>
  <c r="AD322" i="8"/>
  <c r="AA75" i="8"/>
  <c r="AB75" i="8"/>
  <c r="AC75" i="8"/>
  <c r="AD75" i="8"/>
  <c r="AA76" i="8"/>
  <c r="AB76" i="8"/>
  <c r="AC76" i="8"/>
  <c r="AD76" i="8"/>
  <c r="AA78" i="8"/>
  <c r="AB78" i="8"/>
  <c r="AC78" i="8"/>
  <c r="AD78" i="8"/>
  <c r="AA138" i="8" l="1"/>
  <c r="AB138" i="8"/>
  <c r="AC138" i="8"/>
  <c r="AD138" i="8"/>
  <c r="AA139" i="8"/>
  <c r="AB139" i="8"/>
  <c r="AC139" i="8"/>
  <c r="AD139" i="8"/>
  <c r="AA302" i="8" l="1"/>
  <c r="AB302" i="8"/>
  <c r="AC302" i="8"/>
  <c r="AD302" i="8"/>
  <c r="AA136" i="8"/>
  <c r="AB136" i="8"/>
  <c r="AC136" i="8"/>
  <c r="AD136" i="8"/>
  <c r="AA137" i="8"/>
  <c r="AB137" i="8"/>
  <c r="AC137" i="8"/>
  <c r="AD137" i="8"/>
  <c r="AA146" i="8"/>
  <c r="AB146" i="8"/>
  <c r="AC146" i="8"/>
  <c r="AD146" i="8"/>
  <c r="AA495" i="8"/>
  <c r="AB495" i="8"/>
  <c r="AC495" i="8"/>
  <c r="AD495" i="8"/>
  <c r="AA498" i="8"/>
  <c r="AB498" i="8"/>
  <c r="AC498" i="8"/>
  <c r="AD498" i="8"/>
  <c r="AA499" i="8"/>
  <c r="AB499" i="8"/>
  <c r="AC499" i="8"/>
  <c r="AD499" i="8"/>
  <c r="AA117" i="8"/>
  <c r="AB117" i="8"/>
  <c r="AC117" i="8"/>
  <c r="AD117" i="8"/>
  <c r="AA116" i="8" l="1"/>
  <c r="AB116" i="8"/>
  <c r="AC116" i="8"/>
  <c r="AD116" i="8"/>
  <c r="AD283" i="8" l="1"/>
  <c r="AA283" i="8"/>
  <c r="AB283" i="8"/>
  <c r="AC283" i="8"/>
  <c r="AA221" i="8"/>
  <c r="AB221" i="8"/>
  <c r="AC221" i="8"/>
  <c r="AD221" i="8"/>
  <c r="AA672" i="8"/>
  <c r="AB672" i="8"/>
  <c r="AC672" i="8"/>
  <c r="AD672" i="8"/>
  <c r="AA673" i="8"/>
  <c r="AB673" i="8"/>
  <c r="AC673" i="8"/>
  <c r="AD673" i="8"/>
  <c r="AB904" i="8"/>
  <c r="AA904" i="8"/>
  <c r="AA905" i="8"/>
  <c r="AB905" i="8"/>
  <c r="AC905" i="8"/>
  <c r="AD905" i="8"/>
  <c r="AA559" i="8" l="1"/>
  <c r="AB559" i="8"/>
  <c r="AC559" i="8"/>
  <c r="AD559" i="8"/>
  <c r="AA463" i="8"/>
  <c r="AB463" i="8"/>
  <c r="AC463" i="8"/>
  <c r="AD46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9" i="8"/>
  <c r="AA20" i="8"/>
  <c r="AA734" i="8"/>
  <c r="AA735" i="8"/>
  <c r="AA21" i="8"/>
  <c r="AA22" i="8"/>
  <c r="AA23" i="8"/>
  <c r="AA24" i="8"/>
  <c r="AA25" i="8"/>
  <c r="AA26" i="8"/>
  <c r="AA27" i="8"/>
  <c r="AA28" i="8"/>
  <c r="AA887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82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873" i="8"/>
  <c r="AA874" i="8"/>
  <c r="AA875" i="8"/>
  <c r="AA876" i="8"/>
  <c r="AA127" i="8"/>
  <c r="AA108" i="8"/>
  <c r="AA109" i="8"/>
  <c r="AA128" i="8"/>
  <c r="AA129" i="8"/>
  <c r="AA110" i="8"/>
  <c r="AA111" i="8"/>
  <c r="AA112" i="8"/>
  <c r="AA882" i="8"/>
  <c r="AA877" i="8"/>
  <c r="AA113" i="8"/>
  <c r="AA883" i="8"/>
  <c r="AA114" i="8"/>
  <c r="AA115" i="8"/>
  <c r="AA130" i="8"/>
  <c r="AA118" i="8"/>
  <c r="AA878" i="8"/>
  <c r="AA884" i="8"/>
  <c r="AA885" i="8"/>
  <c r="AA119" i="8"/>
  <c r="AA120" i="8"/>
  <c r="AA121" i="8"/>
  <c r="AA888" i="8"/>
  <c r="AA879" i="8"/>
  <c r="AA880" i="8"/>
  <c r="AA886" i="8"/>
  <c r="AA881" i="8"/>
  <c r="AA122" i="8"/>
  <c r="AA123" i="8"/>
  <c r="AA124" i="8"/>
  <c r="AA125" i="8"/>
  <c r="AA126" i="8"/>
  <c r="AA131" i="8"/>
  <c r="AA132" i="8"/>
  <c r="AA133" i="8"/>
  <c r="AA134" i="8"/>
  <c r="AA135" i="8"/>
  <c r="AA140" i="8"/>
  <c r="AA141" i="8"/>
  <c r="AA142" i="8"/>
  <c r="AA143" i="8"/>
  <c r="AA144" i="8"/>
  <c r="AA145" i="8"/>
  <c r="AA147" i="8"/>
  <c r="AA148" i="8"/>
  <c r="AA149" i="8"/>
  <c r="AA150" i="8"/>
  <c r="AA151" i="8"/>
  <c r="AA152" i="8"/>
  <c r="AA153" i="8"/>
  <c r="AA154" i="8"/>
  <c r="AA155" i="8"/>
  <c r="AA156" i="8"/>
  <c r="AA157" i="8"/>
  <c r="AA159" i="8"/>
  <c r="AA160" i="8"/>
  <c r="AA161" i="8"/>
  <c r="AA164" i="8"/>
  <c r="AA182" i="8"/>
  <c r="AA165" i="8"/>
  <c r="AA166" i="8"/>
  <c r="AA162" i="8"/>
  <c r="AA163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58" i="8"/>
  <c r="AA990" i="8"/>
  <c r="AA992" i="8"/>
  <c r="AA187" i="8"/>
  <c r="AA188" i="8"/>
  <c r="AA189" i="8"/>
  <c r="AA190" i="8"/>
  <c r="AA991" i="8"/>
  <c r="AA191" i="8"/>
  <c r="AA192" i="8"/>
  <c r="AA193" i="8"/>
  <c r="AA194" i="8"/>
  <c r="AA195" i="8"/>
  <c r="AA196" i="8"/>
  <c r="AA1198" i="8"/>
  <c r="AA1199" i="8"/>
  <c r="AA197" i="8"/>
  <c r="AA198" i="8"/>
  <c r="AA199" i="8"/>
  <c r="AA1214" i="8"/>
  <c r="AA200" i="8"/>
  <c r="AA1208" i="8"/>
  <c r="AA1209" i="8"/>
  <c r="AA312" i="8"/>
  <c r="AA1210" i="8"/>
  <c r="AA1211" i="8"/>
  <c r="AA1212" i="8"/>
  <c r="AA310" i="8"/>
  <c r="AA1213" i="8"/>
  <c r="AA201" i="8"/>
  <c r="AA202" i="8"/>
  <c r="AA203" i="8"/>
  <c r="AA204" i="8"/>
  <c r="AA205" i="8"/>
  <c r="AA206" i="8"/>
  <c r="AA207" i="8"/>
  <c r="AA208" i="8"/>
  <c r="AA1215" i="8"/>
  <c r="AA209" i="8"/>
  <c r="AA210" i="8"/>
  <c r="AA211" i="8"/>
  <c r="AA212" i="8"/>
  <c r="AA213" i="8"/>
  <c r="AA214" i="8"/>
  <c r="AA215" i="8"/>
  <c r="AA216" i="8"/>
  <c r="AA217" i="8"/>
  <c r="AA311" i="8"/>
  <c r="AA218" i="8"/>
  <c r="AA219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4" i="8"/>
  <c r="AA285" i="8"/>
  <c r="AA286" i="8"/>
  <c r="AA287" i="8"/>
  <c r="AA1218" i="8"/>
  <c r="AA288" i="8"/>
  <c r="AA289" i="8"/>
  <c r="AA290" i="8"/>
  <c r="AA291" i="8"/>
  <c r="AA292" i="8"/>
  <c r="AA293" i="8"/>
  <c r="AA294" i="8"/>
  <c r="AA295" i="8"/>
  <c r="AA296" i="8"/>
  <c r="AA297" i="8"/>
  <c r="AA298" i="8"/>
  <c r="AA1219" i="8"/>
  <c r="AA299" i="8"/>
  <c r="AA300" i="8"/>
  <c r="AA301" i="8"/>
  <c r="AA313" i="8"/>
  <c r="AA1200" i="8"/>
  <c r="AA319" i="8"/>
  <c r="AA220" i="8"/>
  <c r="AA1197" i="8"/>
  <c r="AA1201" i="8"/>
  <c r="AA314" i="8"/>
  <c r="AA1202" i="8"/>
  <c r="AA1203" i="8"/>
  <c r="AA1204" i="8"/>
  <c r="AA1205" i="8"/>
  <c r="AA1206" i="8"/>
  <c r="AA1196" i="8"/>
  <c r="AA1207" i="8"/>
  <c r="AA315" i="8"/>
  <c r="AA1216" i="8"/>
  <c r="AA316" i="8"/>
  <c r="AA1217" i="8"/>
  <c r="AA317" i="8"/>
  <c r="AA320" i="8"/>
  <c r="AA321" i="8"/>
  <c r="AA323" i="8"/>
  <c r="AA324" i="8"/>
  <c r="AA325" i="8"/>
  <c r="AA326" i="8"/>
  <c r="AA327" i="8"/>
  <c r="AA328" i="8"/>
  <c r="AA329" i="8"/>
  <c r="AA330" i="8"/>
  <c r="AA331" i="8"/>
  <c r="AA332" i="8"/>
  <c r="AA1261" i="8"/>
  <c r="AA1260" i="8"/>
  <c r="AA333" i="8"/>
  <c r="AA334" i="8"/>
  <c r="AA335" i="8"/>
  <c r="AA336" i="8"/>
  <c r="AA337" i="8"/>
  <c r="AA338" i="8"/>
  <c r="AA1374" i="8"/>
  <c r="AA1371" i="8"/>
  <c r="AA339" i="8"/>
  <c r="AA340" i="8"/>
  <c r="AA341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1373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1372" i="8"/>
  <c r="AA424" i="8"/>
  <c r="AA425" i="8"/>
  <c r="AA426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1" i="8"/>
  <c r="AA442" i="8"/>
  <c r="AA443" i="8"/>
  <c r="AA444" i="8"/>
  <c r="AA445" i="8"/>
  <c r="AA446" i="8"/>
  <c r="AA1377" i="8"/>
  <c r="AA447" i="8"/>
  <c r="AA448" i="8"/>
  <c r="AA449" i="8"/>
  <c r="AA450" i="8"/>
  <c r="AA451" i="8"/>
  <c r="AA452" i="8"/>
  <c r="AA453" i="8"/>
  <c r="AA454" i="8"/>
  <c r="AA1413" i="8"/>
  <c r="AA1414" i="8"/>
  <c r="AA1412" i="8"/>
  <c r="AA455" i="8"/>
  <c r="AA456" i="8"/>
  <c r="AA457" i="8"/>
  <c r="AA458" i="8"/>
  <c r="AA459" i="8"/>
  <c r="AA460" i="8"/>
  <c r="AA461" i="8"/>
  <c r="AA462" i="8"/>
  <c r="AA466" i="8"/>
  <c r="AA468" i="8"/>
  <c r="AA469" i="8"/>
  <c r="AA470" i="8"/>
  <c r="AA467" i="8"/>
  <c r="AA471" i="8"/>
  <c r="AA473" i="8"/>
  <c r="AA472" i="8"/>
  <c r="AA1416" i="8"/>
  <c r="AA1415" i="8"/>
  <c r="AA464" i="8"/>
  <c r="AA465" i="8"/>
  <c r="AA474" i="8"/>
  <c r="AA475" i="8"/>
  <c r="AA477" i="8"/>
  <c r="AA476" i="8"/>
  <c r="AA478" i="8"/>
  <c r="AA479" i="8"/>
  <c r="AA1548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502" i="8"/>
  <c r="AA504" i="8"/>
  <c r="AA503" i="8"/>
  <c r="AA508" i="8"/>
  <c r="AA505" i="8"/>
  <c r="AA506" i="8"/>
  <c r="AA509" i="8"/>
  <c r="AA496" i="8"/>
  <c r="AA507" i="8"/>
  <c r="AA510" i="8"/>
  <c r="AA518" i="8"/>
  <c r="AA519" i="8"/>
  <c r="AA1587" i="8"/>
  <c r="AA520" i="8"/>
  <c r="AA521" i="8"/>
  <c r="AA522" i="8"/>
  <c r="AA1586" i="8"/>
  <c r="AA523" i="8"/>
  <c r="AA524" i="8"/>
  <c r="AA525" i="8"/>
  <c r="AA526" i="8"/>
  <c r="AA527" i="8"/>
  <c r="AA528" i="8"/>
  <c r="AA529" i="8"/>
  <c r="AA530" i="8"/>
  <c r="AA531" i="8"/>
  <c r="AA532" i="8"/>
  <c r="AA533" i="8"/>
  <c r="AA534" i="8"/>
  <c r="AA535" i="8"/>
  <c r="AA536" i="8"/>
  <c r="AA537" i="8"/>
  <c r="AA543" i="8"/>
  <c r="AA538" i="8"/>
  <c r="AA540" i="8"/>
  <c r="AA541" i="8"/>
  <c r="AA539" i="8"/>
  <c r="AA542" i="8"/>
  <c r="AA544" i="8"/>
  <c r="AA1580" i="8"/>
  <c r="AA1581" i="8"/>
  <c r="AA1578" i="8"/>
  <c r="AA1582" i="8"/>
  <c r="AA1579" i="8"/>
  <c r="AA1583" i="8"/>
  <c r="AA1584" i="8"/>
  <c r="AA545" i="8"/>
  <c r="AA1585" i="8"/>
  <c r="AA547" i="8"/>
  <c r="AA546" i="8"/>
  <c r="AA548" i="8"/>
  <c r="AA1588" i="8"/>
  <c r="AA549" i="8"/>
  <c r="AA555" i="8"/>
  <c r="AA550" i="8"/>
  <c r="AA551" i="8"/>
  <c r="AA552" i="8"/>
  <c r="AA553" i="8"/>
  <c r="AA554" i="8"/>
  <c r="AA556" i="8"/>
  <c r="AA557" i="8"/>
  <c r="AA558" i="8"/>
  <c r="AA560" i="8"/>
  <c r="AA561" i="8"/>
  <c r="AA562" i="8"/>
  <c r="AA563" i="8"/>
  <c r="AA564" i="8"/>
  <c r="AA565" i="8"/>
  <c r="AA566" i="8"/>
  <c r="AA567" i="8"/>
  <c r="AA568" i="8"/>
  <c r="AA569" i="8"/>
  <c r="AA570" i="8"/>
  <c r="AA571" i="8"/>
  <c r="AA572" i="8"/>
  <c r="AA573" i="8"/>
  <c r="AA574" i="8"/>
  <c r="AA575" i="8"/>
  <c r="AA576" i="8"/>
  <c r="AA577" i="8"/>
  <c r="AA578" i="8"/>
  <c r="AA579" i="8"/>
  <c r="AA583" i="8"/>
  <c r="AA584" i="8"/>
  <c r="AA580" i="8"/>
  <c r="AA581" i="8"/>
  <c r="AA582" i="8"/>
  <c r="AA585" i="8"/>
  <c r="AA586" i="8"/>
  <c r="AA590" i="8"/>
  <c r="AA594" i="8"/>
  <c r="AA592" i="8"/>
  <c r="AA593" i="8"/>
  <c r="AA588" i="8"/>
  <c r="AA587" i="8"/>
  <c r="AA596" i="8"/>
  <c r="AA597" i="8"/>
  <c r="AA598" i="8"/>
  <c r="AA599" i="8"/>
  <c r="AA600" i="8"/>
  <c r="AA601" i="8"/>
  <c r="AA602" i="8"/>
  <c r="AA603" i="8"/>
  <c r="AA605" i="8"/>
  <c r="AA606" i="8"/>
  <c r="AA607" i="8"/>
  <c r="AA608" i="8"/>
  <c r="AA609" i="8"/>
  <c r="AA610" i="8"/>
  <c r="AA611" i="8"/>
  <c r="AA612" i="8"/>
  <c r="AA613" i="8"/>
  <c r="AA604" i="8"/>
  <c r="AA614" i="8"/>
  <c r="AA615" i="8"/>
  <c r="AA616" i="8"/>
  <c r="AA617" i="8"/>
  <c r="AA618" i="8"/>
  <c r="AA619" i="8"/>
  <c r="AA620" i="8"/>
  <c r="AA621" i="8"/>
  <c r="AA622" i="8"/>
  <c r="AA623" i="8"/>
  <c r="AA624" i="8"/>
  <c r="AA625" i="8"/>
  <c r="AA626" i="8"/>
  <c r="AA627" i="8"/>
  <c r="AA674" i="8"/>
  <c r="AA675" i="8"/>
  <c r="AA628" i="8"/>
  <c r="AA629" i="8"/>
  <c r="AA630" i="8"/>
  <c r="AA631" i="8"/>
  <c r="AA632" i="8"/>
  <c r="AA633" i="8"/>
  <c r="AA634" i="8"/>
  <c r="AA635" i="8"/>
  <c r="AA636" i="8"/>
  <c r="AA637" i="8"/>
  <c r="AA638" i="8"/>
  <c r="AA641" i="8"/>
  <c r="AA642" i="8"/>
  <c r="AA643" i="8"/>
  <c r="AA644" i="8"/>
  <c r="AA645" i="8"/>
  <c r="AA646" i="8"/>
  <c r="AA1618" i="8"/>
  <c r="AA647" i="8"/>
  <c r="AA648" i="8"/>
  <c r="AA649" i="8"/>
  <c r="AA650" i="8"/>
  <c r="AA1617" i="8"/>
  <c r="AA1619" i="8"/>
  <c r="AA651" i="8"/>
  <c r="AA652" i="8"/>
  <c r="AA653" i="8"/>
  <c r="AA654" i="8"/>
  <c r="AA655" i="8"/>
  <c r="AA656" i="8"/>
  <c r="AA657" i="8"/>
  <c r="AA658" i="8"/>
  <c r="AA659" i="8"/>
  <c r="AA660" i="8"/>
  <c r="AA661" i="8"/>
  <c r="AA662" i="8"/>
  <c r="AA663" i="8"/>
  <c r="AA664" i="8"/>
  <c r="AA665" i="8"/>
  <c r="AA666" i="8"/>
  <c r="AA667" i="8"/>
  <c r="AA668" i="8"/>
  <c r="AA669" i="8"/>
  <c r="AA670" i="8"/>
  <c r="AA671" i="8"/>
  <c r="AA690" i="8"/>
  <c r="AA691" i="8"/>
  <c r="AA692" i="8"/>
  <c r="AA693" i="8"/>
  <c r="AA694" i="8"/>
  <c r="AA695" i="8"/>
  <c r="AA696" i="8"/>
  <c r="AA697" i="8"/>
  <c r="AA698" i="8"/>
  <c r="AA699" i="8"/>
  <c r="AA700" i="8"/>
  <c r="AA701" i="8"/>
  <c r="AA702" i="8"/>
  <c r="AA703" i="8"/>
  <c r="AA704" i="8"/>
  <c r="AA705" i="8"/>
  <c r="AA706" i="8"/>
  <c r="AA707" i="8"/>
  <c r="AA708" i="8"/>
  <c r="AA709" i="8"/>
  <c r="AA710" i="8"/>
  <c r="AA711" i="8"/>
  <c r="AA712" i="8"/>
  <c r="AA714" i="8"/>
  <c r="AA715" i="8"/>
  <c r="AA716" i="8"/>
  <c r="AA717" i="8"/>
  <c r="AA718" i="8"/>
  <c r="AA719" i="8"/>
  <c r="AA720" i="8"/>
  <c r="AA721" i="8"/>
  <c r="AA1621" i="8"/>
  <c r="AA722" i="8"/>
  <c r="AA723" i="8"/>
  <c r="AA724" i="8"/>
  <c r="AA725" i="8"/>
  <c r="AA726" i="8"/>
  <c r="AA727" i="8"/>
  <c r="AA728" i="8"/>
  <c r="AA729" i="8"/>
  <c r="AA730" i="8"/>
  <c r="AA731" i="8"/>
  <c r="AA732" i="8"/>
  <c r="AA733" i="8"/>
  <c r="AA736" i="8"/>
  <c r="AA737" i="8"/>
  <c r="AA738" i="8"/>
  <c r="AA739" i="8"/>
  <c r="AA740" i="8"/>
  <c r="AA741" i="8"/>
  <c r="AA742" i="8"/>
  <c r="AA743" i="8"/>
  <c r="AA744" i="8"/>
  <c r="AA745" i="8"/>
  <c r="AA746" i="8"/>
  <c r="AA747" i="8"/>
  <c r="AA748" i="8"/>
  <c r="AA749" i="8"/>
  <c r="AA750" i="8"/>
  <c r="AA751" i="8"/>
  <c r="AA752" i="8"/>
  <c r="AA753" i="8"/>
  <c r="AA754" i="8"/>
  <c r="AA755" i="8"/>
  <c r="AA756" i="8"/>
  <c r="AA757" i="8"/>
  <c r="AA758" i="8"/>
  <c r="AA759" i="8"/>
  <c r="AA760" i="8"/>
  <c r="AA761" i="8"/>
  <c r="AA762" i="8"/>
  <c r="AA763" i="8"/>
  <c r="AA764" i="8"/>
  <c r="AA765" i="8"/>
  <c r="AA766" i="8"/>
  <c r="AA767" i="8"/>
  <c r="AA768" i="8"/>
  <c r="AA769" i="8"/>
  <c r="AA770" i="8"/>
  <c r="AA771" i="8"/>
  <c r="AA772" i="8"/>
  <c r="AA773" i="8"/>
  <c r="AA774" i="8"/>
  <c r="AA775" i="8"/>
  <c r="AA776" i="8"/>
  <c r="AA777" i="8"/>
  <c r="AA778" i="8"/>
  <c r="AA779" i="8"/>
  <c r="AA780" i="8"/>
  <c r="AA781" i="8"/>
  <c r="AA782" i="8"/>
  <c r="AA783" i="8"/>
  <c r="AA784" i="8"/>
  <c r="AA785" i="8"/>
  <c r="AA786" i="8"/>
  <c r="AA787" i="8"/>
  <c r="AA788" i="8"/>
  <c r="AA789" i="8"/>
  <c r="AA790" i="8"/>
  <c r="AA791" i="8"/>
  <c r="AA792" i="8"/>
  <c r="AA793" i="8"/>
  <c r="AA794" i="8"/>
  <c r="AA795" i="8"/>
  <c r="AA796" i="8"/>
  <c r="AA797" i="8"/>
  <c r="AA798" i="8"/>
  <c r="AA799" i="8"/>
  <c r="AA800" i="8"/>
  <c r="AA801" i="8"/>
  <c r="AA802" i="8"/>
  <c r="AA803" i="8"/>
  <c r="AA804" i="8"/>
  <c r="AA805" i="8"/>
  <c r="AA806" i="8"/>
  <c r="AA807" i="8"/>
  <c r="AA808" i="8"/>
  <c r="AA809" i="8"/>
  <c r="AA810" i="8"/>
  <c r="AA811" i="8"/>
  <c r="AA812" i="8"/>
  <c r="AA813" i="8"/>
  <c r="AA814" i="8"/>
  <c r="AA815" i="8"/>
  <c r="AA816" i="8"/>
  <c r="AA817" i="8"/>
  <c r="AA818" i="8"/>
  <c r="AA819" i="8"/>
  <c r="AA820" i="8"/>
  <c r="AA821" i="8"/>
  <c r="AA822" i="8"/>
  <c r="AA823" i="8"/>
  <c r="AA824" i="8"/>
  <c r="AA826" i="8"/>
  <c r="AA827" i="8"/>
  <c r="AA828" i="8"/>
  <c r="AA829" i="8"/>
  <c r="AA830" i="8"/>
  <c r="AA831" i="8"/>
  <c r="AA832" i="8"/>
  <c r="AA833" i="8"/>
  <c r="AA834" i="8"/>
  <c r="AA835" i="8"/>
  <c r="AA836" i="8"/>
  <c r="AA837" i="8"/>
  <c r="AA838" i="8"/>
  <c r="AA839" i="8"/>
  <c r="AA840" i="8"/>
  <c r="AA841" i="8"/>
  <c r="AA842" i="8"/>
  <c r="AA843" i="8"/>
  <c r="AA844" i="8"/>
  <c r="AA845" i="8"/>
  <c r="AA846" i="8"/>
  <c r="AA847" i="8"/>
  <c r="AA848" i="8"/>
  <c r="AA849" i="8"/>
  <c r="AA850" i="8"/>
  <c r="AA851" i="8"/>
  <c r="AA852" i="8"/>
  <c r="AA853" i="8"/>
  <c r="AA854" i="8"/>
  <c r="AA855" i="8"/>
  <c r="AA856" i="8"/>
  <c r="AA857" i="8"/>
  <c r="AA858" i="8"/>
  <c r="AA859" i="8"/>
  <c r="AA860" i="8"/>
  <c r="AA861" i="8"/>
  <c r="AA862" i="8"/>
  <c r="AA863" i="8"/>
  <c r="AA864" i="8"/>
  <c r="AA865" i="8"/>
  <c r="AA866" i="8"/>
  <c r="AA867" i="8"/>
  <c r="AA868" i="8"/>
  <c r="AA869" i="8"/>
  <c r="AA870" i="8"/>
  <c r="AA871" i="8"/>
  <c r="AA872" i="8"/>
  <c r="AA889" i="8"/>
  <c r="AA890" i="8"/>
  <c r="AA891" i="8"/>
  <c r="AA892" i="8"/>
  <c r="AA893" i="8"/>
  <c r="AA894" i="8"/>
  <c r="AA895" i="8"/>
  <c r="AA896" i="8"/>
  <c r="AA897" i="8"/>
  <c r="AA898" i="8"/>
  <c r="AA899" i="8"/>
  <c r="AA900" i="8"/>
  <c r="AA901" i="8"/>
  <c r="AA902" i="8"/>
  <c r="AA903" i="8"/>
  <c r="AA906" i="8"/>
  <c r="AA907" i="8"/>
  <c r="AA908" i="8"/>
  <c r="AA909" i="8"/>
  <c r="AA910" i="8"/>
  <c r="AA911" i="8"/>
  <c r="AA912" i="8"/>
  <c r="AA913" i="8"/>
  <c r="AA914" i="8"/>
  <c r="AA915" i="8"/>
  <c r="AA916" i="8"/>
  <c r="AA917" i="8"/>
  <c r="AA918" i="8"/>
  <c r="AA919" i="8"/>
  <c r="AA920" i="8"/>
  <c r="AA921" i="8"/>
  <c r="AA922" i="8"/>
  <c r="AA923" i="8"/>
  <c r="AA924" i="8"/>
  <c r="AA925" i="8"/>
  <c r="AA926" i="8"/>
  <c r="AA927" i="8"/>
  <c r="AA928" i="8"/>
  <c r="AA929" i="8"/>
  <c r="AA930" i="8"/>
  <c r="AA931" i="8"/>
  <c r="AA932" i="8"/>
  <c r="AA933" i="8"/>
  <c r="AA934" i="8"/>
  <c r="AA935" i="8"/>
  <c r="AA936" i="8"/>
  <c r="AA937" i="8"/>
  <c r="AA938" i="8"/>
  <c r="AA939" i="8"/>
  <c r="AA940" i="8"/>
  <c r="AA941" i="8"/>
  <c r="AA942" i="8"/>
  <c r="AA943" i="8"/>
  <c r="AA944" i="8"/>
  <c r="AA945" i="8"/>
  <c r="AA946" i="8"/>
  <c r="AA947" i="8"/>
  <c r="AA948" i="8"/>
  <c r="AA949" i="8"/>
  <c r="AA950" i="8"/>
  <c r="AA951" i="8"/>
  <c r="AA952" i="8"/>
  <c r="AA953" i="8"/>
  <c r="AA954" i="8"/>
  <c r="AA955" i="8"/>
  <c r="AA956" i="8"/>
  <c r="AA957" i="8"/>
  <c r="AA958" i="8"/>
  <c r="AA959" i="8"/>
  <c r="AA960" i="8"/>
  <c r="AA961" i="8"/>
  <c r="AA184" i="8"/>
  <c r="AA962" i="8"/>
  <c r="AA963" i="8"/>
  <c r="AA964" i="8"/>
  <c r="AA965" i="8"/>
  <c r="AA966" i="8"/>
  <c r="AA967" i="8"/>
  <c r="AA968" i="8"/>
  <c r="AA969" i="8"/>
  <c r="AA970" i="8"/>
  <c r="AA971" i="8"/>
  <c r="AA972" i="8"/>
  <c r="AA973" i="8"/>
  <c r="AA974" i="8"/>
  <c r="AA975" i="8"/>
  <c r="AA976" i="8"/>
  <c r="AA977" i="8"/>
  <c r="AA978" i="8"/>
  <c r="AA979" i="8"/>
  <c r="AA980" i="8"/>
  <c r="AA981" i="8"/>
  <c r="AA982" i="8"/>
  <c r="AA983" i="8"/>
  <c r="AA984" i="8"/>
  <c r="AA985" i="8"/>
  <c r="AA986" i="8"/>
  <c r="AA987" i="8"/>
  <c r="AA988" i="8"/>
  <c r="AA989" i="8"/>
  <c r="AA183" i="8"/>
  <c r="AA993" i="8"/>
  <c r="AA994" i="8"/>
  <c r="AA995" i="8"/>
  <c r="AA996" i="8"/>
  <c r="AA997" i="8"/>
  <c r="AA998" i="8"/>
  <c r="AA999" i="8"/>
  <c r="AA1000" i="8"/>
  <c r="AA1001" i="8"/>
  <c r="AA1002" i="8"/>
  <c r="AA1003" i="8"/>
  <c r="AA1004" i="8"/>
  <c r="AA1005" i="8"/>
  <c r="AA1006" i="8"/>
  <c r="AA1007" i="8"/>
  <c r="AA1008" i="8"/>
  <c r="AA1009" i="8"/>
  <c r="AA1010" i="8"/>
  <c r="AA1011" i="8"/>
  <c r="AA1012" i="8"/>
  <c r="AA1013" i="8"/>
  <c r="AA1014" i="8"/>
  <c r="AA1015" i="8"/>
  <c r="AA1016" i="8"/>
  <c r="AA1017" i="8"/>
  <c r="AA1018" i="8"/>
  <c r="AA1019" i="8"/>
  <c r="AA1020" i="8"/>
  <c r="AA1021" i="8"/>
  <c r="AA1022" i="8"/>
  <c r="AA1023" i="8"/>
  <c r="AA1024" i="8"/>
  <c r="AA1025" i="8"/>
  <c r="AA1026" i="8"/>
  <c r="AA1027" i="8"/>
  <c r="AA1028" i="8"/>
  <c r="AA1029" i="8"/>
  <c r="AA1030" i="8"/>
  <c r="AA1031" i="8"/>
  <c r="AA1032" i="8"/>
  <c r="AA1033" i="8"/>
  <c r="AA1034" i="8"/>
  <c r="AA1035" i="8"/>
  <c r="AA1036" i="8"/>
  <c r="AA1037" i="8"/>
  <c r="AA1038" i="8"/>
  <c r="AA1039" i="8"/>
  <c r="AA1040" i="8"/>
  <c r="AA1041" i="8"/>
  <c r="AA1042" i="8"/>
  <c r="AA1043" i="8"/>
  <c r="AA1044" i="8"/>
  <c r="AA1045" i="8"/>
  <c r="AA1046" i="8"/>
  <c r="AA1047" i="8"/>
  <c r="AA1048" i="8"/>
  <c r="AA1049" i="8"/>
  <c r="AA1050" i="8"/>
  <c r="AA1051" i="8"/>
  <c r="AA1052" i="8"/>
  <c r="AA1053" i="8"/>
  <c r="AA1054" i="8"/>
  <c r="AA1055" i="8"/>
  <c r="AA1056" i="8"/>
  <c r="AA1057" i="8"/>
  <c r="AA1058" i="8"/>
  <c r="AA1059" i="8"/>
  <c r="AA1060" i="8"/>
  <c r="AA1061" i="8"/>
  <c r="AA1062" i="8"/>
  <c r="AA1063" i="8"/>
  <c r="AA1064" i="8"/>
  <c r="AA1065" i="8"/>
  <c r="AA1066" i="8"/>
  <c r="AA1067" i="8"/>
  <c r="AA1068" i="8"/>
  <c r="AA1069" i="8"/>
  <c r="AA1070" i="8"/>
  <c r="AA1071" i="8"/>
  <c r="AA1072" i="8"/>
  <c r="AA1073" i="8"/>
  <c r="AA1074" i="8"/>
  <c r="AA1075" i="8"/>
  <c r="AA1076" i="8"/>
  <c r="AA1077" i="8"/>
  <c r="AA1078" i="8"/>
  <c r="AA1079" i="8"/>
  <c r="AA1080" i="8"/>
  <c r="AA1081" i="8"/>
  <c r="AA1082" i="8"/>
  <c r="AA1083" i="8"/>
  <c r="AA1084" i="8"/>
  <c r="AA1085" i="8"/>
  <c r="AA1086" i="8"/>
  <c r="AA1087" i="8"/>
  <c r="AA1088" i="8"/>
  <c r="AA1089" i="8"/>
  <c r="AA1090" i="8"/>
  <c r="AA1091" i="8"/>
  <c r="AA1092" i="8"/>
  <c r="AA1093" i="8"/>
  <c r="AA1094" i="8"/>
  <c r="AA1095" i="8"/>
  <c r="AA1096" i="8"/>
  <c r="AA1097" i="8"/>
  <c r="AA1098" i="8"/>
  <c r="AA1099" i="8"/>
  <c r="AA1100" i="8"/>
  <c r="AA1101" i="8"/>
  <c r="AA1102" i="8"/>
  <c r="AA1103" i="8"/>
  <c r="AA1104" i="8"/>
  <c r="AA1105" i="8"/>
  <c r="AA1106" i="8"/>
  <c r="AA1107" i="8"/>
  <c r="AA1108" i="8"/>
  <c r="AA1109" i="8"/>
  <c r="AA1110" i="8"/>
  <c r="AA1111" i="8"/>
  <c r="AA1112" i="8"/>
  <c r="AA1113" i="8"/>
  <c r="AA1114" i="8"/>
  <c r="AA1115" i="8"/>
  <c r="AA1116" i="8"/>
  <c r="AA1117" i="8"/>
  <c r="AA1118" i="8"/>
  <c r="AA1119" i="8"/>
  <c r="AA1120" i="8"/>
  <c r="AA1121" i="8"/>
  <c r="AA1122" i="8"/>
  <c r="AA1123" i="8"/>
  <c r="AA1124" i="8"/>
  <c r="AA1125" i="8"/>
  <c r="AA1126" i="8"/>
  <c r="AA1127" i="8"/>
  <c r="AA1128" i="8"/>
  <c r="AA1129" i="8"/>
  <c r="AA1130" i="8"/>
  <c r="AA1131" i="8"/>
  <c r="AA1132" i="8"/>
  <c r="AA1133" i="8"/>
  <c r="AA1134" i="8"/>
  <c r="AA1135" i="8"/>
  <c r="AA1136" i="8"/>
  <c r="AA1137" i="8"/>
  <c r="AA1138" i="8"/>
  <c r="AA1139" i="8"/>
  <c r="AA1140" i="8"/>
  <c r="AA1141" i="8"/>
  <c r="AA1142" i="8"/>
  <c r="AA1143" i="8"/>
  <c r="AA1144" i="8"/>
  <c r="AA1145" i="8"/>
  <c r="AA1146" i="8"/>
  <c r="AA1147" i="8"/>
  <c r="AA1148" i="8"/>
  <c r="AA1149" i="8"/>
  <c r="AA1150" i="8"/>
  <c r="AA1151" i="8"/>
  <c r="AA1152" i="8"/>
  <c r="AA1153" i="8"/>
  <c r="AA1154" i="8"/>
  <c r="AA1155" i="8"/>
  <c r="AA1156" i="8"/>
  <c r="AA1157" i="8"/>
  <c r="AA1158" i="8"/>
  <c r="AA1159" i="8"/>
  <c r="AA1160" i="8"/>
  <c r="AA1161" i="8"/>
  <c r="AA1162" i="8"/>
  <c r="AA1163" i="8"/>
  <c r="AA1164" i="8"/>
  <c r="AA1165" i="8"/>
  <c r="AA1166" i="8"/>
  <c r="AA1167" i="8"/>
  <c r="AA1168" i="8"/>
  <c r="AA1169" i="8"/>
  <c r="AA1170" i="8"/>
  <c r="AA1171" i="8"/>
  <c r="AA1172" i="8"/>
  <c r="AA1173" i="8"/>
  <c r="AA1174" i="8"/>
  <c r="AA1175" i="8"/>
  <c r="AA1176" i="8"/>
  <c r="AA1177" i="8"/>
  <c r="AA1178" i="8"/>
  <c r="AA1179" i="8"/>
  <c r="AA1180" i="8"/>
  <c r="AA1181" i="8"/>
  <c r="AA1182" i="8"/>
  <c r="AA1183" i="8"/>
  <c r="AA1184" i="8"/>
  <c r="AA1185" i="8"/>
  <c r="AA1186" i="8"/>
  <c r="AA1187" i="8"/>
  <c r="AA1188" i="8"/>
  <c r="AA1189" i="8"/>
  <c r="AA1190" i="8"/>
  <c r="AA1191" i="8"/>
  <c r="AA1192" i="8"/>
  <c r="AA1193" i="8"/>
  <c r="AA1194" i="8"/>
  <c r="AA1195" i="8"/>
  <c r="AA1220" i="8"/>
  <c r="AA1221" i="8"/>
  <c r="AA1222" i="8"/>
  <c r="AA1223" i="8"/>
  <c r="AA1224" i="8"/>
  <c r="AA1225" i="8"/>
  <c r="AA1226" i="8"/>
  <c r="AA1227" i="8"/>
  <c r="AA1228" i="8"/>
  <c r="AA1229" i="8"/>
  <c r="AA1230" i="8"/>
  <c r="AA1231" i="8"/>
  <c r="AA1232" i="8"/>
  <c r="AA1233" i="8"/>
  <c r="AA1234" i="8"/>
  <c r="AA1235" i="8"/>
  <c r="AA1236" i="8"/>
  <c r="AA1237" i="8"/>
  <c r="AA1238" i="8"/>
  <c r="AA1239" i="8"/>
  <c r="AA1240" i="8"/>
  <c r="AA1241" i="8"/>
  <c r="AA1242" i="8"/>
  <c r="AA1243" i="8"/>
  <c r="AA1244" i="8"/>
  <c r="AA1245" i="8"/>
  <c r="AA1246" i="8"/>
  <c r="AA1247" i="8"/>
  <c r="AA1248" i="8"/>
  <c r="AA1249" i="8"/>
  <c r="AA1250" i="8"/>
  <c r="AA1251" i="8"/>
  <c r="AA1252" i="8"/>
  <c r="AA1253" i="8"/>
  <c r="AA1254" i="8"/>
  <c r="AA1255" i="8"/>
  <c r="AA1256" i="8"/>
  <c r="AA1257" i="8"/>
  <c r="AA1258" i="8"/>
  <c r="AA1259" i="8"/>
  <c r="AA1262" i="8"/>
  <c r="AA1263" i="8"/>
  <c r="AA1264" i="8"/>
  <c r="AA1265" i="8"/>
  <c r="AA1266" i="8"/>
  <c r="AA1267" i="8"/>
  <c r="AA1268" i="8"/>
  <c r="AA1269" i="8"/>
  <c r="AA1270" i="8"/>
  <c r="AA1271" i="8"/>
  <c r="AA1272" i="8"/>
  <c r="AA1273" i="8"/>
  <c r="AA1274" i="8"/>
  <c r="AA1275" i="8"/>
  <c r="AA1276" i="8"/>
  <c r="AA1277" i="8"/>
  <c r="AA1278" i="8"/>
  <c r="AA1279" i="8"/>
  <c r="AA1280" i="8"/>
  <c r="AA1281" i="8"/>
  <c r="AA1282" i="8"/>
  <c r="AA1283" i="8"/>
  <c r="AA1284" i="8"/>
  <c r="AA1285" i="8"/>
  <c r="AA1286" i="8"/>
  <c r="AA1287" i="8"/>
  <c r="AA1288" i="8"/>
  <c r="AA1289" i="8"/>
  <c r="AA1290" i="8"/>
  <c r="AA1291" i="8"/>
  <c r="AA1292" i="8"/>
  <c r="AA1293" i="8"/>
  <c r="AA1294" i="8"/>
  <c r="AA1295" i="8"/>
  <c r="AA1296" i="8"/>
  <c r="AA1297" i="8"/>
  <c r="AA1298" i="8"/>
  <c r="AA1299" i="8"/>
  <c r="AA1300" i="8"/>
  <c r="AA1301" i="8"/>
  <c r="AA1302" i="8"/>
  <c r="AA1303" i="8"/>
  <c r="AA1304" i="8"/>
  <c r="AA1305" i="8"/>
  <c r="AA1306" i="8"/>
  <c r="AA1307" i="8"/>
  <c r="AA1308" i="8"/>
  <c r="AA1309" i="8"/>
  <c r="AA1310" i="8"/>
  <c r="AA1311" i="8"/>
  <c r="AA1312" i="8"/>
  <c r="AA1313" i="8"/>
  <c r="AA1314" i="8"/>
  <c r="AA1315" i="8"/>
  <c r="AA1316" i="8"/>
  <c r="AA1317" i="8"/>
  <c r="AA1318" i="8"/>
  <c r="AA1319" i="8"/>
  <c r="AA1320" i="8"/>
  <c r="AA1321" i="8"/>
  <c r="AA1322" i="8"/>
  <c r="AA1323" i="8"/>
  <c r="AA1324" i="8"/>
  <c r="AA1325" i="8"/>
  <c r="AA1326" i="8"/>
  <c r="AA1327" i="8"/>
  <c r="AA1328" i="8"/>
  <c r="AA1329" i="8"/>
  <c r="AA1330" i="8"/>
  <c r="AA1331" i="8"/>
  <c r="AA1332" i="8"/>
  <c r="AA1333" i="8"/>
  <c r="AA1334" i="8"/>
  <c r="AA1335" i="8"/>
  <c r="AA1336" i="8"/>
  <c r="AA1337" i="8"/>
  <c r="AA1338" i="8"/>
  <c r="AA1339" i="8"/>
  <c r="AA1340" i="8"/>
  <c r="AA1341" i="8"/>
  <c r="AA1342" i="8"/>
  <c r="AA1343" i="8"/>
  <c r="AA1344" i="8"/>
  <c r="AA1345" i="8"/>
  <c r="AA1346" i="8"/>
  <c r="AA1347" i="8"/>
  <c r="AA1348" i="8"/>
  <c r="AA1349" i="8"/>
  <c r="AA1350" i="8"/>
  <c r="AA1351" i="8"/>
  <c r="AA1352" i="8"/>
  <c r="AA1353" i="8"/>
  <c r="AA1354" i="8"/>
  <c r="AA1355" i="8"/>
  <c r="AA1356" i="8"/>
  <c r="AA1357" i="8"/>
  <c r="AA1358" i="8"/>
  <c r="AA1359" i="8"/>
  <c r="AA1360" i="8"/>
  <c r="AA1361" i="8"/>
  <c r="AA1362" i="8"/>
  <c r="AA1363" i="8"/>
  <c r="AA1364" i="8"/>
  <c r="AA1365" i="8"/>
  <c r="AA1366" i="8"/>
  <c r="AA1367" i="8"/>
  <c r="AA1368" i="8"/>
  <c r="AA1369" i="8"/>
  <c r="AA1370" i="8"/>
  <c r="AA1375" i="8"/>
  <c r="AA1376" i="8"/>
  <c r="AA1378" i="8"/>
  <c r="AA1379" i="8"/>
  <c r="AA1380" i="8"/>
  <c r="AA1381" i="8"/>
  <c r="AA1382" i="8"/>
  <c r="AA1383" i="8"/>
  <c r="AA1384" i="8"/>
  <c r="AA1385" i="8"/>
  <c r="AA1386" i="8"/>
  <c r="AA1387" i="8"/>
  <c r="AA1388" i="8"/>
  <c r="AA1389" i="8"/>
  <c r="AA1390" i="8"/>
  <c r="AA1391" i="8"/>
  <c r="AA1392" i="8"/>
  <c r="AA1393" i="8"/>
  <c r="AA1394" i="8"/>
  <c r="AA1395" i="8"/>
  <c r="AA1396" i="8"/>
  <c r="AA1397" i="8"/>
  <c r="AA1398" i="8"/>
  <c r="AA1399" i="8"/>
  <c r="AA1400" i="8"/>
  <c r="AA1401" i="8"/>
  <c r="AA1402" i="8"/>
  <c r="AA1403" i="8"/>
  <c r="AA1404" i="8"/>
  <c r="AA1405" i="8"/>
  <c r="AA1406" i="8"/>
  <c r="AA1407" i="8"/>
  <c r="AA1408" i="8"/>
  <c r="AA1409" i="8"/>
  <c r="AA1410" i="8"/>
  <c r="AA1411" i="8"/>
  <c r="AA1417" i="8"/>
  <c r="AA1418" i="8"/>
  <c r="AA1419" i="8"/>
  <c r="AA1420" i="8"/>
  <c r="AA1421" i="8"/>
  <c r="AA1422" i="8"/>
  <c r="AA1423" i="8"/>
  <c r="AA1424" i="8"/>
  <c r="AA1425" i="8"/>
  <c r="AA1426" i="8"/>
  <c r="AA1427" i="8"/>
  <c r="AA1428" i="8"/>
  <c r="AA1429" i="8"/>
  <c r="AA1430" i="8"/>
  <c r="AA1431" i="8"/>
  <c r="AA1432" i="8"/>
  <c r="AA1433" i="8"/>
  <c r="AA1434" i="8"/>
  <c r="AA1435" i="8"/>
  <c r="AA1436" i="8"/>
  <c r="AA1437" i="8"/>
  <c r="AA1438" i="8"/>
  <c r="AA1439" i="8"/>
  <c r="AA1440" i="8"/>
  <c r="AA1441" i="8"/>
  <c r="AA1442" i="8"/>
  <c r="AA1443" i="8"/>
  <c r="AA1444" i="8"/>
  <c r="AA1445" i="8"/>
  <c r="AA1446" i="8"/>
  <c r="AA1447" i="8"/>
  <c r="AA1448" i="8"/>
  <c r="AA1449" i="8"/>
  <c r="AA1450" i="8"/>
  <c r="AA1451" i="8"/>
  <c r="AA1452" i="8"/>
  <c r="AA1453" i="8"/>
  <c r="AA1454" i="8"/>
  <c r="AA1455" i="8"/>
  <c r="AA1456" i="8"/>
  <c r="AA1457" i="8"/>
  <c r="AA1458" i="8"/>
  <c r="AA1459" i="8"/>
  <c r="AA1460" i="8"/>
  <c r="AA1461" i="8"/>
  <c r="AA1462" i="8"/>
  <c r="AA1463" i="8"/>
  <c r="AA1464" i="8"/>
  <c r="AA1465" i="8"/>
  <c r="AA1466" i="8"/>
  <c r="AA1467" i="8"/>
  <c r="AA1468" i="8"/>
  <c r="AA1469" i="8"/>
  <c r="AA1470" i="8"/>
  <c r="AA1471" i="8"/>
  <c r="AA1472" i="8"/>
  <c r="AA1473" i="8"/>
  <c r="AA1474" i="8"/>
  <c r="AA1475" i="8"/>
  <c r="AA1476" i="8"/>
  <c r="AA1477" i="8"/>
  <c r="AA1478" i="8"/>
  <c r="AA1479" i="8"/>
  <c r="AA1480" i="8"/>
  <c r="AA1481" i="8"/>
  <c r="AA1482" i="8"/>
  <c r="AA1483" i="8"/>
  <c r="AA1484" i="8"/>
  <c r="AA1485" i="8"/>
  <c r="AA1486" i="8"/>
  <c r="AA1487" i="8"/>
  <c r="AA1488" i="8"/>
  <c r="AA1489" i="8"/>
  <c r="AA1490" i="8"/>
  <c r="AA1491" i="8"/>
  <c r="AA1492" i="8"/>
  <c r="AA1493" i="8"/>
  <c r="AA1494" i="8"/>
  <c r="AA1495" i="8"/>
  <c r="AA1496" i="8"/>
  <c r="AA1497" i="8"/>
  <c r="AA1498" i="8"/>
  <c r="AA1499" i="8"/>
  <c r="AA1500" i="8"/>
  <c r="AA1501" i="8"/>
  <c r="AA1502" i="8"/>
  <c r="AA1503" i="8"/>
  <c r="AA1504" i="8"/>
  <c r="AA1505" i="8"/>
  <c r="AA1506" i="8"/>
  <c r="AA1507" i="8"/>
  <c r="AA1508" i="8"/>
  <c r="AA1509" i="8"/>
  <c r="AA1510" i="8"/>
  <c r="AA1511" i="8"/>
  <c r="AA1512" i="8"/>
  <c r="AA1513" i="8"/>
  <c r="AA1514" i="8"/>
  <c r="AA1515" i="8"/>
  <c r="AA1516" i="8"/>
  <c r="AA1517" i="8"/>
  <c r="AA1518" i="8"/>
  <c r="AA1519" i="8"/>
  <c r="AA1520" i="8"/>
  <c r="AA1521" i="8"/>
  <c r="AA1522" i="8"/>
  <c r="AA1523" i="8"/>
  <c r="AA1524" i="8"/>
  <c r="AA1525" i="8"/>
  <c r="AA1526" i="8"/>
  <c r="AA1527" i="8"/>
  <c r="AA1528" i="8"/>
  <c r="AA1529" i="8"/>
  <c r="AA1530" i="8"/>
  <c r="AA1531" i="8"/>
  <c r="AA1532" i="8"/>
  <c r="AA1533" i="8"/>
  <c r="AA1534" i="8"/>
  <c r="AA1535" i="8"/>
  <c r="AA1536" i="8"/>
  <c r="AA1537" i="8"/>
  <c r="AA1538" i="8"/>
  <c r="AA1539" i="8"/>
  <c r="AA1540" i="8"/>
  <c r="AA1541" i="8"/>
  <c r="AA1542" i="8"/>
  <c r="AA1543" i="8"/>
  <c r="AA1544" i="8"/>
  <c r="AA1545" i="8"/>
  <c r="AA1546" i="8"/>
  <c r="AA1547" i="8"/>
  <c r="AA1549" i="8"/>
  <c r="AA1550" i="8"/>
  <c r="AA1551" i="8"/>
  <c r="AA1552" i="8"/>
  <c r="AA1553" i="8"/>
  <c r="AA1554" i="8"/>
  <c r="AA1555" i="8"/>
  <c r="AA1556" i="8"/>
  <c r="AA1557" i="8"/>
  <c r="AA1558" i="8"/>
  <c r="AA1559" i="8"/>
  <c r="AA1560" i="8"/>
  <c r="AA1561" i="8"/>
  <c r="AA1562" i="8"/>
  <c r="AA1563" i="8"/>
  <c r="AA1564" i="8"/>
  <c r="AA1565" i="8"/>
  <c r="AA1566" i="8"/>
  <c r="AA1567" i="8"/>
  <c r="AA1568" i="8"/>
  <c r="AA1569" i="8"/>
  <c r="AA1570" i="8"/>
  <c r="AA1571" i="8"/>
  <c r="AA1572" i="8"/>
  <c r="AA1573" i="8"/>
  <c r="AA1574" i="8"/>
  <c r="AA1575" i="8"/>
  <c r="AA1576" i="8"/>
  <c r="AA1577" i="8"/>
  <c r="AA1589" i="8"/>
  <c r="AA1590" i="8"/>
  <c r="AA1591" i="8"/>
  <c r="AA1592" i="8"/>
  <c r="AA1593" i="8"/>
  <c r="AA1594" i="8"/>
  <c r="AA1595" i="8"/>
  <c r="AA1596" i="8"/>
  <c r="AA1597" i="8"/>
  <c r="AA1598" i="8"/>
  <c r="AA1599" i="8"/>
  <c r="AA1600" i="8"/>
  <c r="AA1601" i="8"/>
  <c r="AA1602" i="8"/>
  <c r="AA1603" i="8"/>
  <c r="AA1604" i="8"/>
  <c r="AA1605" i="8"/>
  <c r="AA1606" i="8"/>
  <c r="AA1607" i="8"/>
  <c r="AA1608" i="8"/>
  <c r="AA1609" i="8"/>
  <c r="AA1610" i="8"/>
  <c r="AA1611" i="8"/>
  <c r="AA1612" i="8"/>
  <c r="AA1613" i="8"/>
  <c r="AA1614" i="8"/>
  <c r="AA1615" i="8"/>
  <c r="AA1616" i="8"/>
  <c r="AA1620" i="8"/>
  <c r="AA1622" i="8"/>
  <c r="AA1623" i="8"/>
  <c r="AA1624" i="8"/>
  <c r="AA1625" i="8"/>
  <c r="AA1626" i="8"/>
  <c r="AA1627" i="8"/>
  <c r="AB465" i="8"/>
  <c r="AC465" i="8"/>
  <c r="AD465" i="8"/>
  <c r="AB144" i="8" l="1"/>
  <c r="AB145" i="8"/>
  <c r="AC144" i="8"/>
  <c r="AD144" i="8"/>
  <c r="AC145" i="8"/>
  <c r="AD145" i="8"/>
  <c r="AB719" i="8"/>
  <c r="AC719" i="8"/>
  <c r="AD719" i="8"/>
  <c r="AB720" i="8"/>
  <c r="AC720" i="8"/>
  <c r="AD720" i="8"/>
  <c r="AB721" i="8"/>
  <c r="AC721" i="8"/>
  <c r="AD721" i="8"/>
  <c r="AB143" i="8"/>
  <c r="AC143" i="8"/>
  <c r="AD143" i="8"/>
  <c r="AD1757" i="8"/>
  <c r="AC1757" i="8"/>
  <c r="AB1757" i="8"/>
  <c r="AA1757" i="8"/>
  <c r="AB630" i="8"/>
  <c r="AC630" i="8"/>
  <c r="AD630" i="8"/>
  <c r="AB448" i="8"/>
  <c r="AC730" i="8"/>
  <c r="AB25" i="8"/>
  <c r="AC25" i="8"/>
  <c r="AD25" i="8"/>
  <c r="AB26" i="8"/>
  <c r="AC26" i="8"/>
  <c r="AD26" i="8"/>
  <c r="AB27" i="8"/>
  <c r="AC27" i="8"/>
  <c r="AD27" i="8"/>
  <c r="AB28" i="8"/>
  <c r="AC28" i="8"/>
  <c r="AD28" i="8"/>
  <c r="AB887" i="8"/>
  <c r="AC887" i="8"/>
  <c r="AD887" i="8"/>
  <c r="AB46" i="8"/>
  <c r="AC46" i="8"/>
  <c r="AD46" i="8"/>
  <c r="AB869" i="8"/>
  <c r="AC869" i="8"/>
  <c r="AD869" i="8"/>
  <c r="AB29" i="8"/>
  <c r="AC29" i="8"/>
  <c r="AD29" i="8"/>
  <c r="AB30" i="8"/>
  <c r="AC30" i="8"/>
  <c r="AD30" i="8"/>
  <c r="AB33" i="8"/>
  <c r="AC33" i="8"/>
  <c r="AD33" i="8"/>
  <c r="AB34" i="8"/>
  <c r="AC34" i="8"/>
  <c r="AD34" i="8"/>
  <c r="AB35" i="8"/>
  <c r="AC35" i="8"/>
  <c r="AD35" i="8"/>
  <c r="AB36" i="8"/>
  <c r="AC36" i="8"/>
  <c r="AD36" i="8"/>
  <c r="AB37" i="8"/>
  <c r="AC37" i="8"/>
  <c r="AD37" i="8"/>
  <c r="AB38" i="8"/>
  <c r="AC38" i="8"/>
  <c r="AD38" i="8"/>
  <c r="AB39" i="8"/>
  <c r="AC39" i="8"/>
  <c r="AD39" i="8"/>
  <c r="AB40" i="8"/>
  <c r="AC40" i="8"/>
  <c r="AD40" i="8"/>
  <c r="AB41" i="8"/>
  <c r="AC41" i="8"/>
  <c r="AD41" i="8"/>
  <c r="AB42" i="8"/>
  <c r="AC42" i="8"/>
  <c r="AD42" i="8"/>
  <c r="AB43" i="8"/>
  <c r="AC43" i="8"/>
  <c r="AD43" i="8"/>
  <c r="AB44" i="8"/>
  <c r="AC44" i="8"/>
  <c r="AD44" i="8"/>
  <c r="AB45" i="8"/>
  <c r="AC45" i="8"/>
  <c r="AD45" i="8"/>
  <c r="AB31" i="8"/>
  <c r="AC31" i="8"/>
  <c r="AD31" i="8"/>
  <c r="AB32" i="8"/>
  <c r="AC32" i="8"/>
  <c r="AD32" i="8"/>
  <c r="AB825" i="8"/>
  <c r="AC825" i="8"/>
  <c r="AD825" i="8"/>
  <c r="AB47" i="8"/>
  <c r="AC47" i="8"/>
  <c r="AD47" i="8"/>
  <c r="AB48" i="8"/>
  <c r="AC48" i="8"/>
  <c r="AD48" i="8"/>
  <c r="AB49" i="8"/>
  <c r="AC49" i="8"/>
  <c r="AD49" i="8"/>
  <c r="AB50" i="8"/>
  <c r="AC50" i="8"/>
  <c r="AD50" i="8"/>
  <c r="AB51" i="8"/>
  <c r="AC51" i="8"/>
  <c r="AD51" i="8"/>
  <c r="AB52" i="8"/>
  <c r="AC52" i="8"/>
  <c r="AD52" i="8"/>
  <c r="AB53" i="8"/>
  <c r="AC53" i="8"/>
  <c r="AD53" i="8"/>
  <c r="AB54" i="8"/>
  <c r="AC54" i="8"/>
  <c r="AD54" i="8"/>
  <c r="AB55" i="8"/>
  <c r="AC55" i="8"/>
  <c r="AD55" i="8"/>
  <c r="AB56" i="8"/>
  <c r="AC56" i="8"/>
  <c r="AD56" i="8"/>
  <c r="AB57" i="8"/>
  <c r="AC57" i="8"/>
  <c r="AD57" i="8"/>
  <c r="AB58" i="8"/>
  <c r="AC58" i="8"/>
  <c r="AD58" i="8"/>
  <c r="AB59" i="8"/>
  <c r="AC59" i="8"/>
  <c r="AD59" i="8"/>
  <c r="AB60" i="8"/>
  <c r="AC60" i="8"/>
  <c r="AD60" i="8"/>
  <c r="AB61" i="8"/>
  <c r="AC61" i="8"/>
  <c r="AD61" i="8"/>
  <c r="AB62" i="8"/>
  <c r="AC62" i="8"/>
  <c r="AD62" i="8"/>
  <c r="AB63" i="8"/>
  <c r="AC63" i="8"/>
  <c r="AD63" i="8"/>
  <c r="AB64" i="8"/>
  <c r="AC64" i="8"/>
  <c r="AD64" i="8"/>
  <c r="AB65" i="8"/>
  <c r="AC65" i="8"/>
  <c r="AD65" i="8"/>
  <c r="AB66" i="8"/>
  <c r="AC66" i="8"/>
  <c r="AD66" i="8"/>
  <c r="AB67" i="8"/>
  <c r="AC67" i="8"/>
  <c r="AD67" i="8"/>
  <c r="AB68" i="8"/>
  <c r="AC68" i="8"/>
  <c r="AD68" i="8"/>
  <c r="AB69" i="8"/>
  <c r="AC69" i="8"/>
  <c r="AD69" i="8"/>
  <c r="AB70" i="8"/>
  <c r="AC70" i="8"/>
  <c r="AD70" i="8"/>
  <c r="AB71" i="8"/>
  <c r="AC71" i="8"/>
  <c r="AD71" i="8"/>
  <c r="AB72" i="8"/>
  <c r="AC72" i="8"/>
  <c r="AD72" i="8"/>
  <c r="AB73" i="8"/>
  <c r="AC73" i="8"/>
  <c r="AD73" i="8"/>
  <c r="AB74" i="8"/>
  <c r="AC74" i="8"/>
  <c r="AD74" i="8"/>
  <c r="AB4" i="8"/>
  <c r="AC4" i="8"/>
  <c r="AD4" i="8"/>
  <c r="AB5" i="8"/>
  <c r="AC5" i="8"/>
  <c r="AD5" i="8"/>
  <c r="AB6" i="8"/>
  <c r="AC6" i="8"/>
  <c r="AD6" i="8"/>
  <c r="AB7" i="8"/>
  <c r="AC7" i="8"/>
  <c r="AD7" i="8"/>
  <c r="AB8" i="8"/>
  <c r="AC8" i="8"/>
  <c r="AD8" i="8"/>
  <c r="AB9" i="8"/>
  <c r="AC9" i="8"/>
  <c r="AD9" i="8"/>
  <c r="AB10" i="8"/>
  <c r="AC10" i="8"/>
  <c r="AD10" i="8"/>
  <c r="AB11" i="8"/>
  <c r="AC11" i="8"/>
  <c r="AD11" i="8"/>
  <c r="AB12" i="8"/>
  <c r="AC12" i="8"/>
  <c r="AD12" i="8"/>
  <c r="AB13" i="8"/>
  <c r="AC13" i="8"/>
  <c r="AD13" i="8"/>
  <c r="AB14" i="8"/>
  <c r="AC14" i="8"/>
  <c r="AD14" i="8"/>
  <c r="AB15" i="8"/>
  <c r="AC15" i="8"/>
  <c r="AD15" i="8"/>
  <c r="AB16" i="8"/>
  <c r="AC16" i="8"/>
  <c r="AD16" i="8"/>
  <c r="AB17" i="8"/>
  <c r="AC17" i="8"/>
  <c r="AD17" i="8"/>
  <c r="AB19" i="8"/>
  <c r="AC19" i="8"/>
  <c r="AD19" i="8"/>
  <c r="AB20" i="8"/>
  <c r="AC20" i="8"/>
  <c r="AD20" i="8"/>
  <c r="AB734" i="8"/>
  <c r="AC734" i="8"/>
  <c r="AD734" i="8"/>
  <c r="AB735" i="8"/>
  <c r="AC735" i="8"/>
  <c r="AD735" i="8"/>
  <c r="AB21" i="8"/>
  <c r="AC21" i="8"/>
  <c r="AD21" i="8"/>
  <c r="AB22" i="8"/>
  <c r="AC22" i="8"/>
  <c r="AD22" i="8"/>
  <c r="AC24" i="8" l="1"/>
  <c r="AC79" i="8"/>
  <c r="AC83" i="8"/>
  <c r="AC86" i="8"/>
  <c r="AC87" i="8"/>
  <c r="AC88" i="8"/>
  <c r="AC89" i="8"/>
  <c r="AC90" i="8"/>
  <c r="AC111" i="8"/>
  <c r="AC92" i="8"/>
  <c r="AC93" i="8"/>
  <c r="AC94" i="8"/>
  <c r="AC95" i="8"/>
  <c r="AC101" i="8"/>
  <c r="AC102" i="8"/>
  <c r="AC103" i="8"/>
  <c r="AC104" i="8"/>
  <c r="AC105" i="8"/>
  <c r="AC106" i="8"/>
  <c r="AC107" i="8"/>
  <c r="AC91" i="8"/>
  <c r="AC96" i="8"/>
  <c r="AC97" i="8"/>
  <c r="AC98" i="8"/>
  <c r="AC99" i="8"/>
  <c r="AC100" i="8"/>
  <c r="AC80" i="8"/>
  <c r="AC81" i="8"/>
  <c r="AC82" i="8"/>
  <c r="AC127" i="8"/>
  <c r="AC84" i="8"/>
  <c r="AC85" i="8"/>
  <c r="AC108" i="8"/>
  <c r="AC873" i="8"/>
  <c r="AC874" i="8"/>
  <c r="AC870" i="8"/>
  <c r="AC871" i="8"/>
  <c r="AC875" i="8"/>
  <c r="AC876" i="8"/>
  <c r="AC109" i="8"/>
  <c r="AC128" i="8"/>
  <c r="AC129" i="8"/>
  <c r="AC110" i="8"/>
  <c r="AC882" i="8"/>
  <c r="AC877" i="8"/>
  <c r="AC113" i="8"/>
  <c r="AC883" i="8"/>
  <c r="AC114" i="8"/>
  <c r="AC115" i="8"/>
  <c r="AC130" i="8"/>
  <c r="AC878" i="8"/>
  <c r="AC884" i="8"/>
  <c r="AC885" i="8"/>
  <c r="AC119" i="8"/>
  <c r="AC120" i="8"/>
  <c r="AC121" i="8"/>
  <c r="AC888" i="8"/>
  <c r="AC879" i="8"/>
  <c r="AC880" i="8"/>
  <c r="AC886" i="8"/>
  <c r="AC872" i="8"/>
  <c r="AC881" i="8"/>
  <c r="AC122" i="8"/>
  <c r="AC123" i="8"/>
  <c r="AC124" i="8"/>
  <c r="AC125" i="8"/>
  <c r="AC126" i="8"/>
  <c r="AC132" i="8"/>
  <c r="AC133" i="8"/>
  <c r="AC134" i="8"/>
  <c r="AC135" i="8"/>
  <c r="AC140" i="8"/>
  <c r="AC141" i="8"/>
  <c r="AC142" i="8"/>
  <c r="AC148" i="8"/>
  <c r="AC149" i="8"/>
  <c r="AC150" i="8"/>
  <c r="AC151" i="8"/>
  <c r="AC152" i="8"/>
  <c r="AC153" i="8"/>
  <c r="AC154" i="8"/>
  <c r="AC155" i="8"/>
  <c r="AC156" i="8"/>
  <c r="AC157" i="8"/>
  <c r="AC159" i="8"/>
  <c r="AC160" i="8"/>
  <c r="AC161" i="8"/>
  <c r="AC164" i="8"/>
  <c r="AC182" i="8"/>
  <c r="AC165" i="8"/>
  <c r="AC166" i="8"/>
  <c r="AC162" i="8"/>
  <c r="AC163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58" i="8"/>
  <c r="AC990" i="8"/>
  <c r="AC992" i="8"/>
  <c r="AC187" i="8"/>
  <c r="AC188" i="8"/>
  <c r="AC190" i="8"/>
  <c r="AC991" i="8"/>
  <c r="AC192" i="8"/>
  <c r="AC193" i="8"/>
  <c r="AC194" i="8"/>
  <c r="AC195" i="8"/>
  <c r="AC196" i="8"/>
  <c r="AC1198" i="8"/>
  <c r="AC1199" i="8"/>
  <c r="AC197" i="8"/>
  <c r="AC198" i="8"/>
  <c r="AC199" i="8"/>
  <c r="AC1214" i="8"/>
  <c r="AC200" i="8"/>
  <c r="AC1208" i="8"/>
  <c r="AC1209" i="8"/>
  <c r="AC312" i="8"/>
  <c r="AC1210" i="8"/>
  <c r="AC1211" i="8"/>
  <c r="AC1212" i="8"/>
  <c r="AC310" i="8"/>
  <c r="AC1213" i="8"/>
  <c r="AC201" i="8"/>
  <c r="AC202" i="8"/>
  <c r="AC203" i="8"/>
  <c r="AC204" i="8"/>
  <c r="AC205" i="8"/>
  <c r="AC206" i="8"/>
  <c r="AC207" i="8"/>
  <c r="AC208" i="8"/>
  <c r="AC1215" i="8"/>
  <c r="AC209" i="8"/>
  <c r="AC210" i="8"/>
  <c r="AC211" i="8"/>
  <c r="AC212" i="8"/>
  <c r="AC213" i="8"/>
  <c r="AC214" i="8"/>
  <c r="AC215" i="8"/>
  <c r="AC216" i="8"/>
  <c r="AC217" i="8"/>
  <c r="AC311" i="8"/>
  <c r="AC218" i="8"/>
  <c r="AC219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4" i="8"/>
  <c r="AC285" i="8"/>
  <c r="AC286" i="8"/>
  <c r="AC287" i="8"/>
  <c r="AC1218" i="8"/>
  <c r="AC288" i="8"/>
  <c r="AC289" i="8"/>
  <c r="AC290" i="8"/>
  <c r="AC291" i="8"/>
  <c r="AC292" i="8"/>
  <c r="AC293" i="8"/>
  <c r="AC294" i="8"/>
  <c r="AC295" i="8"/>
  <c r="AC296" i="8"/>
  <c r="AC297" i="8"/>
  <c r="AC298" i="8"/>
  <c r="AC1219" i="8"/>
  <c r="AC299" i="8"/>
  <c r="AC300" i="8"/>
  <c r="AC301" i="8"/>
  <c r="AC1200" i="8"/>
  <c r="AC319" i="8"/>
  <c r="AC220" i="8"/>
  <c r="AC1191" i="8"/>
  <c r="AC1197" i="8"/>
  <c r="AC1201" i="8"/>
  <c r="AC314" i="8"/>
  <c r="AC1188" i="8"/>
  <c r="AC1189" i="8"/>
  <c r="AC1190" i="8"/>
  <c r="AC1202" i="8"/>
  <c r="AC1203" i="8"/>
  <c r="AC1204" i="8"/>
  <c r="AC1205" i="8"/>
  <c r="AC1206" i="8"/>
  <c r="AC1193" i="8"/>
  <c r="AC1196" i="8"/>
  <c r="AC1207" i="8"/>
  <c r="AC315" i="8"/>
  <c r="AC1194" i="8"/>
  <c r="AC1216" i="8"/>
  <c r="AC316" i="8"/>
  <c r="AC1217" i="8"/>
  <c r="AC1195" i="8"/>
  <c r="AC317" i="8"/>
  <c r="AC1192" i="8"/>
  <c r="AC321" i="8"/>
  <c r="AC324" i="8"/>
  <c r="AC325" i="8"/>
  <c r="AC326" i="8"/>
  <c r="AC327" i="8"/>
  <c r="AC328" i="8"/>
  <c r="AC329" i="8"/>
  <c r="AC330" i="8"/>
  <c r="AC331" i="8"/>
  <c r="AC332" i="8"/>
  <c r="AC1261" i="8"/>
  <c r="AC1260" i="8"/>
  <c r="AC333" i="8"/>
  <c r="AC334" i="8"/>
  <c r="AC336" i="8"/>
  <c r="AC337" i="8"/>
  <c r="AC1374" i="8"/>
  <c r="AC1371" i="8"/>
  <c r="AC339" i="8"/>
  <c r="AC340" i="8"/>
  <c r="AC341" i="8"/>
  <c r="AC347" i="8"/>
  <c r="AC348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7" i="8"/>
  <c r="AC378" i="8"/>
  <c r="AC379" i="8"/>
  <c r="AC380" i="8"/>
  <c r="AC381" i="8"/>
  <c r="AC382" i="8"/>
  <c r="AC383" i="8"/>
  <c r="AC384" i="8"/>
  <c r="AC385" i="8"/>
  <c r="AC386" i="8"/>
  <c r="AC387" i="8"/>
  <c r="AC388" i="8"/>
  <c r="AC389" i="8"/>
  <c r="AC390" i="8"/>
  <c r="AC391" i="8"/>
  <c r="AC392" i="8"/>
  <c r="AC393" i="8"/>
  <c r="AC394" i="8"/>
  <c r="AC395" i="8"/>
  <c r="AC396" i="8"/>
  <c r="AC397" i="8"/>
  <c r="AC1373" i="8"/>
  <c r="AC398" i="8"/>
  <c r="AC399" i="8"/>
  <c r="AC400" i="8"/>
  <c r="AC401" i="8"/>
  <c r="AC402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1372" i="8"/>
  <c r="AC424" i="8"/>
  <c r="AC425" i="8"/>
  <c r="AC426" i="8"/>
  <c r="AC428" i="8"/>
  <c r="AC429" i="8"/>
  <c r="AC430" i="8"/>
  <c r="AC431" i="8"/>
  <c r="AC432" i="8"/>
  <c r="AC433" i="8"/>
  <c r="AC434" i="8"/>
  <c r="AC435" i="8"/>
  <c r="AC436" i="8"/>
  <c r="AC437" i="8"/>
  <c r="AC438" i="8"/>
  <c r="AC439" i="8"/>
  <c r="AC442" i="8"/>
  <c r="AC443" i="8"/>
  <c r="AC444" i="8"/>
  <c r="AC445" i="8"/>
  <c r="AC446" i="8"/>
  <c r="AC1377" i="8"/>
  <c r="AC447" i="8"/>
  <c r="AC449" i="8"/>
  <c r="AC450" i="8"/>
  <c r="AC452" i="8"/>
  <c r="AC453" i="8"/>
  <c r="AC454" i="8"/>
  <c r="AC1413" i="8"/>
  <c r="AC1414" i="8"/>
  <c r="AC1409" i="8"/>
  <c r="AC1410" i="8"/>
  <c r="AC1411" i="8"/>
  <c r="AC1412" i="8"/>
  <c r="AC455" i="8"/>
  <c r="AC456" i="8"/>
  <c r="AC457" i="8"/>
  <c r="AC458" i="8"/>
  <c r="AC459" i="8"/>
  <c r="AC460" i="8"/>
  <c r="AC461" i="8"/>
  <c r="AC462" i="8"/>
  <c r="AC468" i="8"/>
  <c r="AC469" i="8"/>
  <c r="AC470" i="8"/>
  <c r="AC467" i="8"/>
  <c r="AC473" i="8"/>
  <c r="AC472" i="8"/>
  <c r="AC1416" i="8"/>
  <c r="AC1415" i="8"/>
  <c r="AC464" i="8"/>
  <c r="AC475" i="8"/>
  <c r="AC477" i="8"/>
  <c r="AC476" i="8"/>
  <c r="AC478" i="8"/>
  <c r="AC479" i="8"/>
  <c r="AC1548" i="8"/>
  <c r="AC480" i="8"/>
  <c r="AC481" i="8"/>
  <c r="AC482" i="8"/>
  <c r="AC483" i="8"/>
  <c r="AC484" i="8"/>
  <c r="AC485" i="8"/>
  <c r="AC486" i="8"/>
  <c r="AC487" i="8"/>
  <c r="AC488" i="8"/>
  <c r="AC489" i="8"/>
  <c r="AC490" i="8"/>
  <c r="AC491" i="8"/>
  <c r="AC492" i="8"/>
  <c r="AC504" i="8"/>
  <c r="AC503" i="8"/>
  <c r="AC508" i="8"/>
  <c r="AC505" i="8"/>
  <c r="AC506" i="8"/>
  <c r="AC496" i="8"/>
  <c r="AC507" i="8"/>
  <c r="AC510" i="8"/>
  <c r="AC519" i="8"/>
  <c r="AC1587" i="8"/>
  <c r="AC520" i="8"/>
  <c r="AC521" i="8"/>
  <c r="AC522" i="8"/>
  <c r="AC1586" i="8"/>
  <c r="AC523" i="8"/>
  <c r="AC524" i="8"/>
  <c r="AC525" i="8"/>
  <c r="AC526" i="8"/>
  <c r="AC527" i="8"/>
  <c r="AC528" i="8"/>
  <c r="AC529" i="8"/>
  <c r="AC530" i="8"/>
  <c r="AC531" i="8"/>
  <c r="AC532" i="8"/>
  <c r="AC533" i="8"/>
  <c r="AC534" i="8"/>
  <c r="AC535" i="8"/>
  <c r="AC536" i="8"/>
  <c r="AC537" i="8"/>
  <c r="AC543" i="8"/>
  <c r="AC538" i="8"/>
  <c r="AC540" i="8"/>
  <c r="AC541" i="8"/>
  <c r="AC539" i="8"/>
  <c r="AC542" i="8"/>
  <c r="AC1580" i="8"/>
  <c r="AC1581" i="8"/>
  <c r="AC1578" i="8"/>
  <c r="AC1582" i="8"/>
  <c r="AC1579" i="8"/>
  <c r="AC1583" i="8"/>
  <c r="AC1584" i="8"/>
  <c r="AC545" i="8"/>
  <c r="AC1585" i="8"/>
  <c r="AC547" i="8"/>
  <c r="AC546" i="8"/>
  <c r="AC1588" i="8"/>
  <c r="AC549" i="8"/>
  <c r="AC555" i="8"/>
  <c r="AC550" i="8"/>
  <c r="AC551" i="8"/>
  <c r="AC552" i="8"/>
  <c r="AC553" i="8"/>
  <c r="AC554" i="8"/>
  <c r="AC557" i="8"/>
  <c r="AC558" i="8"/>
  <c r="AC560" i="8"/>
  <c r="AC561" i="8"/>
  <c r="AC562" i="8"/>
  <c r="AC563" i="8"/>
  <c r="AC564" i="8"/>
  <c r="AC565" i="8"/>
  <c r="AC566" i="8"/>
  <c r="AC567" i="8"/>
  <c r="AC568" i="8"/>
  <c r="AC569" i="8"/>
  <c r="AC570" i="8"/>
  <c r="AC571" i="8"/>
  <c r="AC572" i="8"/>
  <c r="AC573" i="8"/>
  <c r="AC574" i="8"/>
  <c r="AC575" i="8"/>
  <c r="AC576" i="8"/>
  <c r="AC577" i="8"/>
  <c r="AC578" i="8"/>
  <c r="AC579" i="8"/>
  <c r="AC583" i="8"/>
  <c r="AC584" i="8"/>
  <c r="AC580" i="8"/>
  <c r="AC581" i="8"/>
  <c r="AC582" i="8"/>
  <c r="AC585" i="8"/>
  <c r="AC586" i="8"/>
  <c r="AC590" i="8"/>
  <c r="AC594" i="8"/>
  <c r="AC592" i="8"/>
  <c r="AC593" i="8"/>
  <c r="AC588" i="8"/>
  <c r="AC587" i="8"/>
  <c r="AC596" i="8"/>
  <c r="AC597" i="8"/>
  <c r="AC598" i="8"/>
  <c r="AC599" i="8"/>
  <c r="AC600" i="8"/>
  <c r="AC601" i="8"/>
  <c r="AC602" i="8"/>
  <c r="AC603" i="8"/>
  <c r="AC605" i="8"/>
  <c r="AC606" i="8"/>
  <c r="AC607" i="8"/>
  <c r="AC608" i="8"/>
  <c r="AC609" i="8"/>
  <c r="AC610" i="8"/>
  <c r="AC611" i="8"/>
  <c r="AC612" i="8"/>
  <c r="AC613" i="8"/>
  <c r="AC604" i="8"/>
  <c r="AC614" i="8"/>
  <c r="AC615" i="8"/>
  <c r="AC616" i="8"/>
  <c r="AC617" i="8"/>
  <c r="AC618" i="8"/>
  <c r="AC619" i="8"/>
  <c r="AC620" i="8"/>
  <c r="AC621" i="8"/>
  <c r="AC622" i="8"/>
  <c r="AC623" i="8"/>
  <c r="AC624" i="8"/>
  <c r="AC625" i="8"/>
  <c r="AC626" i="8"/>
  <c r="AC627" i="8"/>
  <c r="AC674" i="8"/>
  <c r="AC675" i="8"/>
  <c r="AC628" i="8"/>
  <c r="AC629" i="8"/>
  <c r="AC631" i="8"/>
  <c r="AC632" i="8"/>
  <c r="AC633" i="8"/>
  <c r="AC634" i="8"/>
  <c r="AC635" i="8"/>
  <c r="AC636" i="8"/>
  <c r="AC637" i="8"/>
  <c r="AC638" i="8"/>
  <c r="AC642" i="8"/>
  <c r="AC643" i="8"/>
  <c r="AC644" i="8"/>
  <c r="AC645" i="8"/>
  <c r="AC646" i="8"/>
  <c r="AC1618" i="8"/>
  <c r="AC647" i="8"/>
  <c r="AC648" i="8"/>
  <c r="AC649" i="8"/>
  <c r="AC650" i="8"/>
  <c r="AC1617" i="8"/>
  <c r="AC1619" i="8"/>
  <c r="AC651" i="8"/>
  <c r="AC652" i="8"/>
  <c r="AC653" i="8"/>
  <c r="AC654" i="8"/>
  <c r="AC655" i="8"/>
  <c r="AC656" i="8"/>
  <c r="AC657" i="8"/>
  <c r="AC658" i="8"/>
  <c r="AC660" i="8"/>
  <c r="AC661" i="8"/>
  <c r="AC662" i="8"/>
  <c r="AC663" i="8"/>
  <c r="AC664" i="8"/>
  <c r="AC665" i="8"/>
  <c r="AC666" i="8"/>
  <c r="AC667" i="8"/>
  <c r="AC668" i="8"/>
  <c r="AC669" i="8"/>
  <c r="AC670" i="8"/>
  <c r="AC671" i="8"/>
  <c r="AC691" i="8"/>
  <c r="AC692" i="8"/>
  <c r="AC693" i="8"/>
  <c r="AC694" i="8"/>
  <c r="AC695" i="8"/>
  <c r="AC696" i="8"/>
  <c r="AC697" i="8"/>
  <c r="AC698" i="8"/>
  <c r="AC699" i="8"/>
  <c r="AC700" i="8"/>
  <c r="AC701" i="8"/>
  <c r="AC702" i="8"/>
  <c r="AC703" i="8"/>
  <c r="AC704" i="8"/>
  <c r="AC705" i="8"/>
  <c r="AC706" i="8"/>
  <c r="AC707" i="8"/>
  <c r="AC708" i="8"/>
  <c r="AC709" i="8"/>
  <c r="AC710" i="8"/>
  <c r="AC712" i="8"/>
  <c r="AC715" i="8"/>
  <c r="AC716" i="8"/>
  <c r="AC717" i="8"/>
  <c r="AC718" i="8"/>
  <c r="AC1621" i="8"/>
  <c r="AC723" i="8"/>
  <c r="AC724" i="8"/>
  <c r="AC725" i="8"/>
  <c r="AC726" i="8"/>
  <c r="AC728" i="8"/>
  <c r="AC731" i="8"/>
  <c r="AC732" i="8"/>
  <c r="AC733" i="8"/>
  <c r="AC737" i="8"/>
  <c r="AC738" i="8"/>
  <c r="AC739" i="8"/>
  <c r="AC740" i="8"/>
  <c r="AC741" i="8"/>
  <c r="AC742" i="8"/>
  <c r="AC743" i="8"/>
  <c r="AC744" i="8"/>
  <c r="AC745" i="8"/>
  <c r="AC746" i="8"/>
  <c r="AC747" i="8"/>
  <c r="AC748" i="8"/>
  <c r="AC749" i="8"/>
  <c r="AC750" i="8"/>
  <c r="AC751" i="8"/>
  <c r="AC752" i="8"/>
  <c r="AC753" i="8"/>
  <c r="AC754" i="8"/>
  <c r="AC755" i="8"/>
  <c r="AC756" i="8"/>
  <c r="AC757" i="8"/>
  <c r="AC758" i="8"/>
  <c r="AC759" i="8"/>
  <c r="AC760" i="8"/>
  <c r="AC761" i="8"/>
  <c r="AC762" i="8"/>
  <c r="AC764" i="8"/>
  <c r="AC765" i="8"/>
  <c r="AC766" i="8"/>
  <c r="AC767" i="8"/>
  <c r="AC768" i="8"/>
  <c r="AC769" i="8"/>
  <c r="AC770" i="8"/>
  <c r="AC771" i="8"/>
  <c r="AC772" i="8"/>
  <c r="AC773" i="8"/>
  <c r="AC774" i="8"/>
  <c r="AC775" i="8"/>
  <c r="AC776" i="8"/>
  <c r="AC777" i="8"/>
  <c r="AC778" i="8"/>
  <c r="AC779" i="8"/>
  <c r="AC780" i="8"/>
  <c r="AC781" i="8"/>
  <c r="AC782" i="8"/>
  <c r="AC783" i="8"/>
  <c r="AC784" i="8"/>
  <c r="AC785" i="8"/>
  <c r="AC786" i="8"/>
  <c r="AC787" i="8"/>
  <c r="AC788" i="8"/>
  <c r="AC789" i="8"/>
  <c r="AC790" i="8"/>
  <c r="AC791" i="8"/>
  <c r="AC792" i="8"/>
  <c r="AC793" i="8"/>
  <c r="AC794" i="8"/>
  <c r="AC795" i="8"/>
  <c r="AC796" i="8"/>
  <c r="AC797" i="8"/>
  <c r="AC798" i="8"/>
  <c r="AC799" i="8"/>
  <c r="AC800" i="8"/>
  <c r="AC801" i="8"/>
  <c r="AC802" i="8"/>
  <c r="AC803" i="8"/>
  <c r="AC804" i="8"/>
  <c r="AC805" i="8"/>
  <c r="AC806" i="8"/>
  <c r="AC807" i="8"/>
  <c r="AC808" i="8"/>
  <c r="AC809" i="8"/>
  <c r="AC810" i="8"/>
  <c r="AC811" i="8"/>
  <c r="AC812" i="8"/>
  <c r="AC813" i="8"/>
  <c r="AC814" i="8"/>
  <c r="AC815" i="8"/>
  <c r="AC816" i="8"/>
  <c r="AC817" i="8"/>
  <c r="AC818" i="8"/>
  <c r="AC819" i="8"/>
  <c r="AC820" i="8"/>
  <c r="AC821" i="8"/>
  <c r="AC822" i="8"/>
  <c r="AC823" i="8"/>
  <c r="AC824" i="8"/>
  <c r="AC826" i="8"/>
  <c r="AC827" i="8"/>
  <c r="AC828" i="8"/>
  <c r="AC829" i="8"/>
  <c r="AC830" i="8"/>
  <c r="AC831" i="8"/>
  <c r="AC832" i="8"/>
  <c r="AC833" i="8"/>
  <c r="AC834" i="8"/>
  <c r="AC835" i="8"/>
  <c r="AC836" i="8"/>
  <c r="AC837" i="8"/>
  <c r="AC838" i="8"/>
  <c r="AC839" i="8"/>
  <c r="AC840" i="8"/>
  <c r="AC841" i="8"/>
  <c r="AC842" i="8"/>
  <c r="AC843" i="8"/>
  <c r="AC844" i="8"/>
  <c r="AC845" i="8"/>
  <c r="AC846" i="8"/>
  <c r="AC847" i="8"/>
  <c r="AC848" i="8"/>
  <c r="AC849" i="8"/>
  <c r="AC850" i="8"/>
  <c r="AC851" i="8"/>
  <c r="AC852" i="8"/>
  <c r="AC853" i="8"/>
  <c r="AC854" i="8"/>
  <c r="AC855" i="8"/>
  <c r="AC856" i="8"/>
  <c r="AC857" i="8"/>
  <c r="AC858" i="8"/>
  <c r="AC859" i="8"/>
  <c r="AC860" i="8"/>
  <c r="AC861" i="8"/>
  <c r="AC862" i="8"/>
  <c r="AC863" i="8"/>
  <c r="AC864" i="8"/>
  <c r="AC865" i="8"/>
  <c r="AC866" i="8"/>
  <c r="AC867" i="8"/>
  <c r="AC868" i="8"/>
  <c r="AC890" i="8"/>
  <c r="AC891" i="8"/>
  <c r="AC892" i="8"/>
  <c r="AC893" i="8"/>
  <c r="AC894" i="8"/>
  <c r="AC895" i="8"/>
  <c r="AC896" i="8"/>
  <c r="AC898" i="8"/>
  <c r="AC899" i="8"/>
  <c r="AC900" i="8"/>
  <c r="AC901" i="8"/>
  <c r="AC902" i="8"/>
  <c r="AC903" i="8"/>
  <c r="AC907" i="8"/>
  <c r="AC908" i="8"/>
  <c r="AC909" i="8"/>
  <c r="AC910" i="8"/>
  <c r="AC911" i="8"/>
  <c r="AC912" i="8"/>
  <c r="AC913" i="8"/>
  <c r="AC914" i="8"/>
  <c r="AC915" i="8"/>
  <c r="AC916" i="8"/>
  <c r="AC918" i="8"/>
  <c r="AC919" i="8"/>
  <c r="AC920" i="8"/>
  <c r="AC921" i="8"/>
  <c r="AC922" i="8"/>
  <c r="AC923" i="8"/>
  <c r="AC924" i="8"/>
  <c r="AC925" i="8"/>
  <c r="AC926" i="8"/>
  <c r="AC927" i="8"/>
  <c r="AC928" i="8"/>
  <c r="AC929" i="8"/>
  <c r="AC930" i="8"/>
  <c r="AC931" i="8"/>
  <c r="AC932" i="8"/>
  <c r="AC933" i="8"/>
  <c r="AC934" i="8"/>
  <c r="AC935" i="8"/>
  <c r="AC936" i="8"/>
  <c r="AC937" i="8"/>
  <c r="AC938" i="8"/>
  <c r="AC939" i="8"/>
  <c r="AC940" i="8"/>
  <c r="AC941" i="8"/>
  <c r="AC942" i="8"/>
  <c r="AC944" i="8"/>
  <c r="AC945" i="8"/>
  <c r="AC946" i="8"/>
  <c r="AC947" i="8"/>
  <c r="AC948" i="8"/>
  <c r="AC949" i="8"/>
  <c r="AC950" i="8"/>
  <c r="AC951" i="8"/>
  <c r="AC952" i="8"/>
  <c r="AC953" i="8"/>
  <c r="AC954" i="8"/>
  <c r="AC955" i="8"/>
  <c r="AC956" i="8"/>
  <c r="AC957" i="8"/>
  <c r="AC958" i="8"/>
  <c r="AC959" i="8"/>
  <c r="AC960" i="8"/>
  <c r="AC961" i="8"/>
  <c r="AC184" i="8"/>
  <c r="AC962" i="8"/>
  <c r="AC963" i="8"/>
  <c r="AC964" i="8"/>
  <c r="AC965" i="8"/>
  <c r="AC966" i="8"/>
  <c r="AC967" i="8"/>
  <c r="AC968" i="8"/>
  <c r="AC969" i="8"/>
  <c r="AC970" i="8"/>
  <c r="AC971" i="8"/>
  <c r="AC972" i="8"/>
  <c r="AC973" i="8"/>
  <c r="AC974" i="8"/>
  <c r="AC975" i="8"/>
  <c r="AC976" i="8"/>
  <c r="AC977" i="8"/>
  <c r="AC978" i="8"/>
  <c r="AC979" i="8"/>
  <c r="AC980" i="8"/>
  <c r="AC981" i="8"/>
  <c r="AC982" i="8"/>
  <c r="AC983" i="8"/>
  <c r="AC984" i="8"/>
  <c r="AC985" i="8"/>
  <c r="AC986" i="8"/>
  <c r="AC987" i="8"/>
  <c r="AC988" i="8"/>
  <c r="AC989" i="8"/>
  <c r="AC183" i="8"/>
  <c r="AC994" i="8"/>
  <c r="AC995" i="8"/>
  <c r="AC996" i="8"/>
  <c r="AC997" i="8"/>
  <c r="AC998" i="8"/>
  <c r="AC999" i="8"/>
  <c r="AC1000" i="8"/>
  <c r="AC1001" i="8"/>
  <c r="AC1002" i="8"/>
  <c r="AC1003" i="8"/>
  <c r="AC1004" i="8"/>
  <c r="AC1005" i="8"/>
  <c r="AC1006" i="8"/>
  <c r="AC1007" i="8"/>
  <c r="AC1008" i="8"/>
  <c r="AC1009" i="8"/>
  <c r="AC1010" i="8"/>
  <c r="AC1011" i="8"/>
  <c r="AC1012" i="8"/>
  <c r="AC1013" i="8"/>
  <c r="AC1014" i="8"/>
  <c r="AC1015" i="8"/>
  <c r="AC1016" i="8"/>
  <c r="AC1017" i="8"/>
  <c r="AC1018" i="8"/>
  <c r="AC1019" i="8"/>
  <c r="AC1020" i="8"/>
  <c r="AC1021" i="8"/>
  <c r="AC1022" i="8"/>
  <c r="AC1023" i="8"/>
  <c r="AC1024" i="8"/>
  <c r="AC1025" i="8"/>
  <c r="AC1026" i="8"/>
  <c r="AC1027" i="8"/>
  <c r="AC1028" i="8"/>
  <c r="AC1029" i="8"/>
  <c r="AC1030" i="8"/>
  <c r="AC1031" i="8"/>
  <c r="AC1032" i="8"/>
  <c r="AC1034" i="8"/>
  <c r="AC1035" i="8"/>
  <c r="AC1036" i="8"/>
  <c r="AC1037" i="8"/>
  <c r="AC1038" i="8"/>
  <c r="AC1039" i="8"/>
  <c r="AC1040" i="8"/>
  <c r="AC1041" i="8"/>
  <c r="AC1042" i="8"/>
  <c r="AC1043" i="8"/>
  <c r="AC1044" i="8"/>
  <c r="AC1045" i="8"/>
  <c r="AC1046" i="8"/>
  <c r="AC1047" i="8"/>
  <c r="AC1049" i="8"/>
  <c r="AC1050" i="8"/>
  <c r="AC1051" i="8"/>
  <c r="AC1052" i="8"/>
  <c r="AC1053" i="8"/>
  <c r="AC1054" i="8"/>
  <c r="AC1055" i="8"/>
  <c r="AC1056" i="8"/>
  <c r="AC1057" i="8"/>
  <c r="AC1058" i="8"/>
  <c r="AC1059" i="8"/>
  <c r="AC1060" i="8"/>
  <c r="AC1061" i="8"/>
  <c r="AC1062" i="8"/>
  <c r="AC1063" i="8"/>
  <c r="AC1064" i="8"/>
  <c r="AC1065" i="8"/>
  <c r="AC1066" i="8"/>
  <c r="AC1067" i="8"/>
  <c r="AC1068" i="8"/>
  <c r="AC1069" i="8"/>
  <c r="AC1070" i="8"/>
  <c r="AC1071" i="8"/>
  <c r="AC1072" i="8"/>
  <c r="AC1073" i="8"/>
  <c r="AC1074" i="8"/>
  <c r="AC1075" i="8"/>
  <c r="AC1076" i="8"/>
  <c r="AC1077" i="8"/>
  <c r="AC1078" i="8"/>
  <c r="AC1079" i="8"/>
  <c r="AC1080" i="8"/>
  <c r="AC1081" i="8"/>
  <c r="AC1082" i="8"/>
  <c r="AC1083" i="8"/>
  <c r="AC1084" i="8"/>
  <c r="AC1085" i="8"/>
  <c r="AC1086" i="8"/>
  <c r="AC1087" i="8"/>
  <c r="AC1088" i="8"/>
  <c r="AC1089" i="8"/>
  <c r="AC1090" i="8"/>
  <c r="AC1091" i="8"/>
  <c r="AC1092" i="8"/>
  <c r="AC1093" i="8"/>
  <c r="AC1094" i="8"/>
  <c r="AC1095" i="8"/>
  <c r="AC1096" i="8"/>
  <c r="AC1097" i="8"/>
  <c r="AC1098" i="8"/>
  <c r="AC1099" i="8"/>
  <c r="AC1100" i="8"/>
  <c r="AC1101" i="8"/>
  <c r="AC1102" i="8"/>
  <c r="AC1103" i="8"/>
  <c r="AC1104" i="8"/>
  <c r="AC1105" i="8"/>
  <c r="AC1106" i="8"/>
  <c r="AC1107" i="8"/>
  <c r="AC1108" i="8"/>
  <c r="AC1109" i="8"/>
  <c r="AC1110" i="8"/>
  <c r="AC1111" i="8"/>
  <c r="AC1112" i="8"/>
  <c r="AC1113" i="8"/>
  <c r="AC1114" i="8"/>
  <c r="AC1115" i="8"/>
  <c r="AC1116" i="8"/>
  <c r="AC1117" i="8"/>
  <c r="AC1118" i="8"/>
  <c r="AC1119" i="8"/>
  <c r="AC1120" i="8"/>
  <c r="AC1121" i="8"/>
  <c r="AC1122" i="8"/>
  <c r="AC1123" i="8"/>
  <c r="AC1124" i="8"/>
  <c r="AC1125" i="8"/>
  <c r="AC1126" i="8"/>
  <c r="AC1127" i="8"/>
  <c r="AC1128" i="8"/>
  <c r="AC1129" i="8"/>
  <c r="AC1130" i="8"/>
  <c r="AC1131" i="8"/>
  <c r="AC1132" i="8"/>
  <c r="AC1133" i="8"/>
  <c r="AC1134" i="8"/>
  <c r="AC1135" i="8"/>
  <c r="AC1136" i="8"/>
  <c r="AC1137" i="8"/>
  <c r="AC1138" i="8"/>
  <c r="AC1139" i="8"/>
  <c r="AC1140" i="8"/>
  <c r="AC1141" i="8"/>
  <c r="AC1142" i="8"/>
  <c r="AC1143" i="8"/>
  <c r="AC1144" i="8"/>
  <c r="AC1145" i="8"/>
  <c r="AC1146" i="8"/>
  <c r="AC1147" i="8"/>
  <c r="AC1148" i="8"/>
  <c r="AC1149" i="8"/>
  <c r="AC1150" i="8"/>
  <c r="AC1151" i="8"/>
  <c r="AC1152" i="8"/>
  <c r="AC1153" i="8"/>
  <c r="AC1154" i="8"/>
  <c r="AC1155" i="8"/>
  <c r="AC1156" i="8"/>
  <c r="AC1157" i="8"/>
  <c r="AC1158" i="8"/>
  <c r="AC1159" i="8"/>
  <c r="AC1160" i="8"/>
  <c r="AC1161" i="8"/>
  <c r="AC1162" i="8"/>
  <c r="AC1163" i="8"/>
  <c r="AC1164" i="8"/>
  <c r="AC1165" i="8"/>
  <c r="AC1166" i="8"/>
  <c r="AC1167" i="8"/>
  <c r="AC1168" i="8"/>
  <c r="AC1169" i="8"/>
  <c r="AC1170" i="8"/>
  <c r="AC1171" i="8"/>
  <c r="AC1172" i="8"/>
  <c r="AC1173" i="8"/>
  <c r="AC1174" i="8"/>
  <c r="AC1175" i="8"/>
  <c r="AC1176" i="8"/>
  <c r="AC1177" i="8"/>
  <c r="AC1178" i="8"/>
  <c r="AC1179" i="8"/>
  <c r="AC1180" i="8"/>
  <c r="AC1181" i="8"/>
  <c r="AC1182" i="8"/>
  <c r="AC1183" i="8"/>
  <c r="AC1184" i="8"/>
  <c r="AC1185" i="8"/>
  <c r="AC1186" i="8"/>
  <c r="AC1187" i="8"/>
  <c r="AC1221" i="8"/>
  <c r="AC1222" i="8"/>
  <c r="AC1223" i="8"/>
  <c r="AC1224" i="8"/>
  <c r="AC1225" i="8"/>
  <c r="AC1226" i="8"/>
  <c r="AC1227" i="8"/>
  <c r="AC1228" i="8"/>
  <c r="AC1229" i="8"/>
  <c r="AC1230" i="8"/>
  <c r="AC1231" i="8"/>
  <c r="AC1232" i="8"/>
  <c r="AC1233" i="8"/>
  <c r="AC1234" i="8"/>
  <c r="AC1235" i="8"/>
  <c r="AC1236" i="8"/>
  <c r="AC1237" i="8"/>
  <c r="AC1238" i="8"/>
  <c r="AC1239" i="8"/>
  <c r="AC1240" i="8"/>
  <c r="AC1241" i="8"/>
  <c r="AC1242" i="8"/>
  <c r="AC1243" i="8"/>
  <c r="AC1244" i="8"/>
  <c r="AC1245" i="8"/>
  <c r="AC1246" i="8"/>
  <c r="AC1247" i="8"/>
  <c r="AC1248" i="8"/>
  <c r="AC1249" i="8"/>
  <c r="AC1250" i="8"/>
  <c r="AC1251" i="8"/>
  <c r="AC1252" i="8"/>
  <c r="AC1253" i="8"/>
  <c r="AC1254" i="8"/>
  <c r="AC1255" i="8"/>
  <c r="AC1256" i="8"/>
  <c r="AC1257" i="8"/>
  <c r="AC1258" i="8"/>
  <c r="AC1259" i="8"/>
  <c r="AC1263" i="8"/>
  <c r="AC1264" i="8"/>
  <c r="AC1265" i="8"/>
  <c r="AC1266" i="8"/>
  <c r="AC1267" i="8"/>
  <c r="AC1268" i="8"/>
  <c r="AC1269" i="8"/>
  <c r="AC1270" i="8"/>
  <c r="AC1271" i="8"/>
  <c r="AC1272" i="8"/>
  <c r="AC1273" i="8"/>
  <c r="AC1274" i="8"/>
  <c r="AC1275" i="8"/>
  <c r="AC1276" i="8"/>
  <c r="AC1277" i="8"/>
  <c r="AC1278" i="8"/>
  <c r="AC1279" i="8"/>
  <c r="AC1280" i="8"/>
  <c r="AC1281" i="8"/>
  <c r="AC1282" i="8"/>
  <c r="AC1283" i="8"/>
  <c r="AC1284" i="8"/>
  <c r="AC1285" i="8"/>
  <c r="AC1286" i="8"/>
  <c r="AC1287" i="8"/>
  <c r="AC1288" i="8"/>
  <c r="AC1289" i="8"/>
  <c r="AC1290" i="8"/>
  <c r="AC1291" i="8"/>
  <c r="AC1292" i="8"/>
  <c r="AC1293" i="8"/>
  <c r="AC1294" i="8"/>
  <c r="AC1295" i="8"/>
  <c r="AC1296" i="8"/>
  <c r="AC1297" i="8"/>
  <c r="AC1298" i="8"/>
  <c r="AC1299" i="8"/>
  <c r="AC1300" i="8"/>
  <c r="AC1301" i="8"/>
  <c r="AC1302" i="8"/>
  <c r="AC1303" i="8"/>
  <c r="AC1304" i="8"/>
  <c r="AC1305" i="8"/>
  <c r="AC1306" i="8"/>
  <c r="AC1307" i="8"/>
  <c r="AC1308" i="8"/>
  <c r="AC1309" i="8"/>
  <c r="AC1310" i="8"/>
  <c r="AC1311" i="8"/>
  <c r="AC1312" i="8"/>
  <c r="AC1313" i="8"/>
  <c r="AC1314" i="8"/>
  <c r="AC1315" i="8"/>
  <c r="AC1316" i="8"/>
  <c r="AC1317" i="8"/>
  <c r="AC1318" i="8"/>
  <c r="AC1319" i="8"/>
  <c r="AC1320" i="8"/>
  <c r="AC1321" i="8"/>
  <c r="AC1322" i="8"/>
  <c r="AC1323" i="8"/>
  <c r="AC1324" i="8"/>
  <c r="AC1325" i="8"/>
  <c r="AC1326" i="8"/>
  <c r="AC1327" i="8"/>
  <c r="AC1328" i="8"/>
  <c r="AC1329" i="8"/>
  <c r="AC1330" i="8"/>
  <c r="AC1331" i="8"/>
  <c r="AC1332" i="8"/>
  <c r="AC1333" i="8"/>
  <c r="AC1334" i="8"/>
  <c r="AC1335" i="8"/>
  <c r="AC1336" i="8"/>
  <c r="AC1337" i="8"/>
  <c r="AC1338" i="8"/>
  <c r="AC1339" i="8"/>
  <c r="AC1340" i="8"/>
  <c r="AC1341" i="8"/>
  <c r="AC1342" i="8"/>
  <c r="AC1343" i="8"/>
  <c r="AC1344" i="8"/>
  <c r="AC1345" i="8"/>
  <c r="AC1346" i="8"/>
  <c r="AC1347" i="8"/>
  <c r="AC1348" i="8"/>
  <c r="AC1349" i="8"/>
  <c r="AC1350" i="8"/>
  <c r="AC1351" i="8"/>
  <c r="AC1352" i="8"/>
  <c r="AC1353" i="8"/>
  <c r="AC1354" i="8"/>
  <c r="AC1355" i="8"/>
  <c r="AC1356" i="8"/>
  <c r="AC1357" i="8"/>
  <c r="AC1358" i="8"/>
  <c r="AC1359" i="8"/>
  <c r="AC1360" i="8"/>
  <c r="AC1361" i="8"/>
  <c r="AC1362" i="8"/>
  <c r="AC1363" i="8"/>
  <c r="AC1364" i="8"/>
  <c r="AC1365" i="8"/>
  <c r="AC1366" i="8"/>
  <c r="AC1367" i="8"/>
  <c r="AC1368" i="8"/>
  <c r="AC1369" i="8"/>
  <c r="AC1370" i="8"/>
  <c r="AC1376" i="8"/>
  <c r="AC1379" i="8"/>
  <c r="AC1380" i="8"/>
  <c r="AC1381" i="8"/>
  <c r="AC1382" i="8"/>
  <c r="AC1383" i="8"/>
  <c r="AC1384" i="8"/>
  <c r="AC1385" i="8"/>
  <c r="AC1386" i="8"/>
  <c r="AC1387" i="8"/>
  <c r="AC1388" i="8"/>
  <c r="AC1389" i="8"/>
  <c r="AC1390" i="8"/>
  <c r="AC1391" i="8"/>
  <c r="AC1392" i="8"/>
  <c r="AC1393" i="8"/>
  <c r="AC1394" i="8"/>
  <c r="AC1395" i="8"/>
  <c r="AC1396" i="8"/>
  <c r="AC1397" i="8"/>
  <c r="AC1398" i="8"/>
  <c r="AC1399" i="8"/>
  <c r="AC1400" i="8"/>
  <c r="AC1401" i="8"/>
  <c r="AC1402" i="8"/>
  <c r="AC1403" i="8"/>
  <c r="AC1404" i="8"/>
  <c r="AC1405" i="8"/>
  <c r="AC1406" i="8"/>
  <c r="AC1407" i="8"/>
  <c r="AC1408" i="8"/>
  <c r="AC1418" i="8"/>
  <c r="AC1419" i="8"/>
  <c r="AC1420" i="8"/>
  <c r="AC1421" i="8"/>
  <c r="AC1422" i="8"/>
  <c r="AC1423" i="8"/>
  <c r="AC1424" i="8"/>
  <c r="AC1425" i="8"/>
  <c r="AC1426" i="8"/>
  <c r="AC1427" i="8"/>
  <c r="AC1428" i="8"/>
  <c r="AC1429" i="8"/>
  <c r="AC1430" i="8"/>
  <c r="AC1431" i="8"/>
  <c r="AC1432" i="8"/>
  <c r="AC1433" i="8"/>
  <c r="AC1434" i="8"/>
  <c r="AC1435" i="8"/>
  <c r="AC1436" i="8"/>
  <c r="AC1437" i="8"/>
  <c r="AC1438" i="8"/>
  <c r="AC1439" i="8"/>
  <c r="AC1440" i="8"/>
  <c r="AC1441" i="8"/>
  <c r="AC1442" i="8"/>
  <c r="AC1443" i="8"/>
  <c r="AC1444" i="8"/>
  <c r="AC1445" i="8"/>
  <c r="AC1446" i="8"/>
  <c r="AC1447" i="8"/>
  <c r="AC1448" i="8"/>
  <c r="AC1449" i="8"/>
  <c r="AC1450" i="8"/>
  <c r="AC1451" i="8"/>
  <c r="AC1452" i="8"/>
  <c r="AC1453" i="8"/>
  <c r="AC1454" i="8"/>
  <c r="AC1455" i="8"/>
  <c r="AC1456" i="8"/>
  <c r="AC1457" i="8"/>
  <c r="AC1458" i="8"/>
  <c r="AC1459" i="8"/>
  <c r="AC1460" i="8"/>
  <c r="AC1461" i="8"/>
  <c r="AC1462" i="8"/>
  <c r="AC1463" i="8"/>
  <c r="AC1464" i="8"/>
  <c r="AC1465" i="8"/>
  <c r="AC1466" i="8"/>
  <c r="AC1467" i="8"/>
  <c r="AC1468" i="8"/>
  <c r="AC1469" i="8"/>
  <c r="AC1470" i="8"/>
  <c r="AC1471" i="8"/>
  <c r="AC1472" i="8"/>
  <c r="AC1473" i="8"/>
  <c r="AC1474" i="8"/>
  <c r="AC1475" i="8"/>
  <c r="AC1476" i="8"/>
  <c r="AC1477" i="8"/>
  <c r="AC1478" i="8"/>
  <c r="AC1479" i="8"/>
  <c r="AC1480" i="8"/>
  <c r="AC1481" i="8"/>
  <c r="AC1482" i="8"/>
  <c r="AC1483" i="8"/>
  <c r="AC1484" i="8"/>
  <c r="AC1485" i="8"/>
  <c r="AC1486" i="8"/>
  <c r="AC1487" i="8"/>
  <c r="AC1488" i="8"/>
  <c r="AC1489" i="8"/>
  <c r="AC1490" i="8"/>
  <c r="AC1491" i="8"/>
  <c r="AC1492" i="8"/>
  <c r="AC1493" i="8"/>
  <c r="AC1494" i="8"/>
  <c r="AC1495" i="8"/>
  <c r="AC1496" i="8"/>
  <c r="AC1497" i="8"/>
  <c r="AC1498" i="8"/>
  <c r="AC1499" i="8"/>
  <c r="AC1500" i="8"/>
  <c r="AC1501" i="8"/>
  <c r="AC1503" i="8"/>
  <c r="AC1504" i="8"/>
  <c r="AC1505" i="8"/>
  <c r="AC1507" i="8"/>
  <c r="AC1508" i="8"/>
  <c r="AC1509" i="8"/>
  <c r="AC1510" i="8"/>
  <c r="AC1511" i="8"/>
  <c r="AC1512" i="8"/>
  <c r="AC1513" i="8"/>
  <c r="AC1514" i="8"/>
  <c r="AC1515" i="8"/>
  <c r="AC1516" i="8"/>
  <c r="AC1517" i="8"/>
  <c r="AC1518" i="8"/>
  <c r="AC1519" i="8"/>
  <c r="AC1520" i="8"/>
  <c r="AC1521" i="8"/>
  <c r="AC1522" i="8"/>
  <c r="AC1523" i="8"/>
  <c r="AC1524" i="8"/>
  <c r="AC1525" i="8"/>
  <c r="AC1526" i="8"/>
  <c r="AC1528" i="8"/>
  <c r="AC1529" i="8"/>
  <c r="AC1530" i="8"/>
  <c r="AC1531" i="8"/>
  <c r="AC1532" i="8"/>
  <c r="AC1533" i="8"/>
  <c r="AC1534" i="8"/>
  <c r="AC1535" i="8"/>
  <c r="AC1536" i="8"/>
  <c r="AC1537" i="8"/>
  <c r="AC1538" i="8"/>
  <c r="AC1539" i="8"/>
  <c r="AC1540" i="8"/>
  <c r="AC1541" i="8"/>
  <c r="AC1542" i="8"/>
  <c r="AC1543" i="8"/>
  <c r="AC1544" i="8"/>
  <c r="AC1545" i="8"/>
  <c r="AC1546" i="8"/>
  <c r="AC1547" i="8"/>
  <c r="AC1550" i="8"/>
  <c r="AC1551" i="8"/>
  <c r="AC1552" i="8"/>
  <c r="AC1553" i="8"/>
  <c r="AC1554" i="8"/>
  <c r="AC1555" i="8"/>
  <c r="AC1556" i="8"/>
  <c r="AC1557" i="8"/>
  <c r="AC1558" i="8"/>
  <c r="AC1559" i="8"/>
  <c r="AC1560" i="8"/>
  <c r="AC1561" i="8"/>
  <c r="AC1562" i="8"/>
  <c r="AC1563" i="8"/>
  <c r="AC1564" i="8"/>
  <c r="AC1565" i="8"/>
  <c r="AC1566" i="8"/>
  <c r="AC1567" i="8"/>
  <c r="AC1568" i="8"/>
  <c r="AC1569" i="8"/>
  <c r="AC1570" i="8"/>
  <c r="AC1571" i="8"/>
  <c r="AC1572" i="8"/>
  <c r="AC1573" i="8"/>
  <c r="AC1574" i="8"/>
  <c r="AC1575" i="8"/>
  <c r="AC1576" i="8"/>
  <c r="AC1577" i="8"/>
  <c r="AC1590" i="8"/>
  <c r="AC1591" i="8"/>
  <c r="AC1592" i="8"/>
  <c r="AC1593" i="8"/>
  <c r="AC1594" i="8"/>
  <c r="AC1595" i="8"/>
  <c r="AC1597" i="8"/>
  <c r="AC1598" i="8"/>
  <c r="AC1599" i="8"/>
  <c r="AC1600" i="8"/>
  <c r="AC1601" i="8"/>
  <c r="AC1602" i="8"/>
  <c r="AC1603" i="8"/>
  <c r="AC1604" i="8"/>
  <c r="AC1605" i="8"/>
  <c r="AC1606" i="8"/>
  <c r="AC1607" i="8"/>
  <c r="AC1608" i="8"/>
  <c r="AC1609" i="8"/>
  <c r="AC1610" i="8"/>
  <c r="AC1611" i="8"/>
  <c r="AC1612" i="8"/>
  <c r="AC1613" i="8"/>
  <c r="AC1614" i="8"/>
  <c r="AC1615" i="8"/>
  <c r="AC1616" i="8"/>
  <c r="AC1622" i="8"/>
  <c r="AC1624" i="8"/>
  <c r="AC1625" i="8"/>
  <c r="AC1627" i="8"/>
  <c r="AC1629" i="8"/>
  <c r="AC1630" i="8"/>
  <c r="AC1631" i="8"/>
  <c r="AC1632" i="8"/>
  <c r="AC1633" i="8"/>
  <c r="AC1634" i="8"/>
  <c r="AC1635" i="8"/>
  <c r="AC1636" i="8"/>
  <c r="AC1637" i="8"/>
  <c r="AC1638" i="8"/>
  <c r="AC1639" i="8"/>
  <c r="AC1640" i="8"/>
  <c r="AC1641" i="8"/>
  <c r="AC1642" i="8"/>
  <c r="AC1643" i="8"/>
  <c r="AC1644" i="8"/>
  <c r="AC1645" i="8"/>
  <c r="AC1646" i="8"/>
  <c r="AC1647" i="8"/>
  <c r="AC1648" i="8"/>
  <c r="AC1649" i="8"/>
  <c r="AC1650" i="8"/>
  <c r="AC1651" i="8"/>
  <c r="AC1652" i="8"/>
  <c r="AC1653" i="8"/>
  <c r="AC1654" i="8"/>
  <c r="AC1655" i="8"/>
  <c r="AC1656" i="8"/>
  <c r="AC1657" i="8"/>
  <c r="AC1658" i="8"/>
  <c r="AC1659" i="8"/>
  <c r="AC1660" i="8"/>
  <c r="AC1661" i="8"/>
  <c r="AC1662" i="8"/>
  <c r="AC1663" i="8"/>
  <c r="AC1664" i="8"/>
  <c r="AC1665" i="8"/>
  <c r="AC1666" i="8"/>
  <c r="AC1667" i="8"/>
  <c r="AC1668" i="8"/>
  <c r="AC1669" i="8"/>
  <c r="AC1670" i="8"/>
  <c r="AC1671" i="8"/>
  <c r="AC1672" i="8"/>
  <c r="AC1673" i="8"/>
  <c r="AC1674" i="8"/>
  <c r="AC1675" i="8"/>
  <c r="AC1676" i="8"/>
  <c r="AC1677" i="8"/>
  <c r="AC1678" i="8"/>
  <c r="AC1679" i="8"/>
  <c r="AC1680" i="8"/>
  <c r="AC1681" i="8"/>
  <c r="AC1682" i="8"/>
  <c r="AC1683" i="8"/>
  <c r="AC1684" i="8"/>
  <c r="AC1685" i="8"/>
  <c r="AC1686" i="8"/>
  <c r="AC1687" i="8"/>
  <c r="AC1688" i="8"/>
  <c r="AC1689" i="8"/>
  <c r="AC1690" i="8"/>
  <c r="AC1691" i="8"/>
  <c r="AC1692" i="8"/>
  <c r="AC1693" i="8"/>
  <c r="AC1694" i="8"/>
  <c r="AC1695" i="8"/>
  <c r="AC1696" i="8"/>
  <c r="AC1697" i="8"/>
  <c r="AC1698" i="8"/>
  <c r="AC1699" i="8"/>
  <c r="AC1700" i="8"/>
  <c r="AC1701" i="8"/>
  <c r="AC1702" i="8"/>
  <c r="AC1703" i="8"/>
  <c r="AC1704" i="8"/>
  <c r="AC1705" i="8"/>
  <c r="AC1706" i="8"/>
  <c r="AC1707" i="8"/>
  <c r="AC1708" i="8"/>
  <c r="AC1709" i="8"/>
  <c r="AC1710" i="8"/>
  <c r="AC1711" i="8"/>
  <c r="AC1712" i="8"/>
  <c r="AC1713" i="8"/>
  <c r="AC1714" i="8"/>
  <c r="AC1715" i="8"/>
  <c r="AC1716" i="8"/>
  <c r="AC1717" i="8"/>
  <c r="AC1718" i="8"/>
  <c r="AC1719" i="8"/>
  <c r="AC1720" i="8"/>
  <c r="AC1721" i="8"/>
  <c r="AC1722" i="8"/>
  <c r="AC1723" i="8"/>
  <c r="AC1724" i="8"/>
  <c r="AC1725" i="8"/>
  <c r="AC1726" i="8"/>
  <c r="AC1727" i="8"/>
  <c r="AC1728" i="8"/>
  <c r="AC1729" i="8"/>
  <c r="AC1730" i="8"/>
  <c r="AC1731" i="8"/>
  <c r="AC1732" i="8"/>
  <c r="AC1733" i="8"/>
  <c r="AC1734" i="8"/>
  <c r="AC1735" i="8"/>
  <c r="AC1736" i="8"/>
  <c r="AC1737" i="8"/>
  <c r="AC1738" i="8"/>
  <c r="AC1739" i="8"/>
  <c r="AC1740" i="8"/>
  <c r="AC1741" i="8"/>
  <c r="AC1742" i="8"/>
  <c r="AC1743" i="8"/>
  <c r="AC1744" i="8"/>
  <c r="AC1745" i="8"/>
  <c r="AC1746" i="8"/>
  <c r="AC1747" i="8"/>
  <c r="AC1748" i="8"/>
  <c r="AC1749" i="8"/>
  <c r="AC1750" i="8"/>
  <c r="AC1751" i="8"/>
  <c r="AC1752" i="8"/>
  <c r="AC1753" i="8"/>
  <c r="AC1754" i="8"/>
  <c r="AC1755" i="8"/>
  <c r="AC1756" i="8"/>
  <c r="AC1758" i="8"/>
  <c r="AC1759" i="8"/>
  <c r="AC1760" i="8"/>
  <c r="AC1761" i="8"/>
  <c r="AC1762" i="8"/>
  <c r="AC1763" i="8"/>
  <c r="AC1764" i="8"/>
  <c r="AC1765" i="8"/>
  <c r="AC1766" i="8"/>
  <c r="AC1767" i="8"/>
  <c r="AC1768" i="8"/>
  <c r="AC1769" i="8"/>
  <c r="AC1770" i="8"/>
  <c r="AC1771" i="8"/>
  <c r="AC1772" i="8"/>
  <c r="AC1773" i="8"/>
  <c r="AC1774" i="8"/>
  <c r="AC1775" i="8"/>
  <c r="AC1776" i="8"/>
  <c r="AC1777" i="8"/>
  <c r="AC1778" i="8"/>
  <c r="AC1779" i="8"/>
  <c r="AC1780" i="8"/>
  <c r="AC1781" i="8"/>
  <c r="AC1782" i="8"/>
  <c r="AC1783" i="8"/>
  <c r="AC1784" i="8"/>
  <c r="AC1785" i="8"/>
  <c r="AC1786" i="8"/>
  <c r="AC1787" i="8"/>
  <c r="AC1788" i="8"/>
  <c r="AC1789" i="8"/>
  <c r="AC1790" i="8"/>
  <c r="AC1791" i="8"/>
  <c r="AC1792" i="8"/>
  <c r="AC1793" i="8"/>
  <c r="AC1794" i="8"/>
  <c r="AC1795" i="8"/>
  <c r="AC1796" i="8"/>
  <c r="AC1797" i="8"/>
  <c r="AC1798" i="8"/>
  <c r="AC1799" i="8"/>
  <c r="AC1800" i="8"/>
  <c r="AC1801" i="8"/>
  <c r="AC1802" i="8"/>
  <c r="AC1803" i="8"/>
  <c r="AC1804" i="8"/>
  <c r="AC1805" i="8"/>
  <c r="AC1806" i="8"/>
  <c r="AC1807" i="8"/>
  <c r="AC1808" i="8"/>
  <c r="AC1809" i="8"/>
  <c r="AC1810" i="8"/>
  <c r="AC1811" i="8"/>
  <c r="AC1812" i="8"/>
  <c r="AC1813" i="8"/>
  <c r="AC1814" i="8"/>
  <c r="AC1815" i="8"/>
  <c r="AC1816" i="8"/>
  <c r="AC1817" i="8"/>
  <c r="AC1818" i="8"/>
  <c r="AC1819" i="8"/>
  <c r="AC1820" i="8"/>
  <c r="AC1821" i="8"/>
  <c r="AC1822" i="8"/>
  <c r="AC1823" i="8"/>
  <c r="AC1824" i="8"/>
  <c r="AC1825" i="8"/>
  <c r="AC1826" i="8"/>
  <c r="AC1827" i="8"/>
  <c r="AC1828" i="8"/>
  <c r="AC1829" i="8"/>
  <c r="AC1830" i="8"/>
  <c r="AC1831" i="8"/>
  <c r="AC1832" i="8"/>
  <c r="AC1833" i="8"/>
  <c r="AC1834" i="8"/>
  <c r="AC1835" i="8"/>
  <c r="AC1836" i="8"/>
  <c r="AC1837" i="8"/>
  <c r="AC1838" i="8"/>
  <c r="AC1839" i="8"/>
  <c r="AC1840" i="8"/>
  <c r="AC1841" i="8"/>
  <c r="AC1842" i="8"/>
  <c r="AC1843" i="8"/>
  <c r="AC1844" i="8"/>
  <c r="AC1845" i="8"/>
  <c r="AC1846" i="8"/>
  <c r="AC1847" i="8"/>
  <c r="AC1848" i="8"/>
  <c r="AC1849" i="8"/>
  <c r="AC1850" i="8"/>
  <c r="AC1851" i="8"/>
  <c r="AC1852" i="8"/>
  <c r="AC1853" i="8"/>
  <c r="AC1854" i="8"/>
  <c r="AC1855" i="8"/>
  <c r="AC1856" i="8"/>
  <c r="AC1857" i="8"/>
  <c r="AC1858" i="8"/>
  <c r="AC1859" i="8"/>
  <c r="AC1860" i="8"/>
  <c r="AC1861" i="8"/>
  <c r="AC1862" i="8"/>
  <c r="AC1863" i="8"/>
  <c r="AC1864" i="8"/>
  <c r="AC1865" i="8"/>
  <c r="AC1866" i="8"/>
  <c r="AC1867" i="8"/>
  <c r="AC1868" i="8"/>
  <c r="AC1869" i="8"/>
  <c r="AC1870" i="8"/>
  <c r="AC1871" i="8"/>
  <c r="AC1872" i="8"/>
  <c r="AC1873" i="8"/>
  <c r="AC1874" i="8"/>
  <c r="AC1875" i="8"/>
  <c r="AC1876" i="8"/>
  <c r="AC1877" i="8"/>
  <c r="AC1878" i="8"/>
  <c r="AC1879" i="8"/>
  <c r="AC1880" i="8"/>
  <c r="AC1881" i="8"/>
  <c r="AC1882" i="8"/>
  <c r="AC1883" i="8"/>
  <c r="AC1884" i="8"/>
  <c r="AC1885" i="8"/>
  <c r="AC1886" i="8"/>
  <c r="AC1887" i="8"/>
  <c r="AC1888" i="8"/>
  <c r="AC1889" i="8"/>
  <c r="AC1890" i="8"/>
  <c r="AC1891" i="8"/>
  <c r="AC1892" i="8"/>
  <c r="AC1893" i="8"/>
  <c r="AC1894" i="8"/>
  <c r="AC1895" i="8"/>
  <c r="AC1896" i="8"/>
  <c r="AC1897" i="8"/>
  <c r="AC1898" i="8"/>
  <c r="AC1899" i="8"/>
  <c r="AC1900" i="8"/>
  <c r="AC1901" i="8"/>
  <c r="AC1902" i="8"/>
  <c r="AC1903" i="8"/>
  <c r="AC1904" i="8"/>
  <c r="AC1905" i="8"/>
  <c r="AC1906" i="8"/>
  <c r="AC1907" i="8"/>
  <c r="AC1908" i="8"/>
  <c r="AC1909" i="8"/>
  <c r="AC1910" i="8"/>
  <c r="AC1911" i="8"/>
  <c r="AC1912" i="8"/>
  <c r="AC1913" i="8"/>
  <c r="AC1914" i="8"/>
  <c r="AC1915" i="8"/>
  <c r="AC1916" i="8"/>
  <c r="AC1917" i="8"/>
  <c r="AC1918" i="8"/>
  <c r="AC1919" i="8"/>
  <c r="AC1920" i="8"/>
  <c r="AC1921" i="8"/>
  <c r="AC1922" i="8"/>
  <c r="AC1923" i="8"/>
  <c r="AC1924" i="8"/>
  <c r="AC1925" i="8"/>
  <c r="AC1926" i="8"/>
  <c r="AC1927" i="8"/>
  <c r="AC1928" i="8"/>
  <c r="AC1929" i="8"/>
  <c r="AC1930" i="8"/>
  <c r="AC1931" i="8"/>
  <c r="AC1932" i="8"/>
  <c r="AC1933" i="8"/>
  <c r="AC1934" i="8"/>
  <c r="AC1935" i="8"/>
  <c r="AC1936" i="8"/>
  <c r="AC1937" i="8"/>
  <c r="AC1938" i="8"/>
  <c r="AC1939" i="8"/>
  <c r="AC1940" i="8"/>
  <c r="AB301" i="8"/>
  <c r="AD301" i="8"/>
  <c r="AB439" i="8"/>
  <c r="AD439" i="8"/>
  <c r="AB441" i="8"/>
  <c r="AB334" i="8"/>
  <c r="AD334" i="8"/>
  <c r="AB671" i="8"/>
  <c r="AD671" i="8"/>
  <c r="AB655" i="8"/>
  <c r="AD655" i="8"/>
  <c r="AB656" i="8"/>
  <c r="AD656" i="8"/>
  <c r="AB657" i="8"/>
  <c r="AD657" i="8"/>
  <c r="AB658" i="8"/>
  <c r="AD658" i="8"/>
  <c r="AB651" i="8"/>
  <c r="AD651" i="8"/>
  <c r="AB652" i="8"/>
  <c r="AD652" i="8"/>
  <c r="AB653" i="8"/>
  <c r="AD653" i="8"/>
  <c r="AB654" i="8"/>
  <c r="AD654" i="8"/>
  <c r="AB506" i="8"/>
  <c r="AD506" i="8"/>
  <c r="AB125" i="8"/>
  <c r="AD125" i="8"/>
  <c r="AB126" i="8"/>
  <c r="AD126" i="8"/>
  <c r="AB546" i="8"/>
  <c r="AD546" i="8"/>
  <c r="AB505" i="8"/>
  <c r="AD505" i="8"/>
  <c r="AB188" i="8"/>
  <c r="AD188" i="8"/>
  <c r="AB131" i="8"/>
  <c r="AB132" i="8"/>
  <c r="AD132" i="8"/>
  <c r="AB133" i="8"/>
  <c r="AD133" i="8"/>
  <c r="AB134" i="8"/>
  <c r="AD134" i="8"/>
  <c r="AB135" i="8"/>
  <c r="AD135" i="8"/>
  <c r="AB547" i="8" l="1"/>
  <c r="AD547" i="8"/>
  <c r="AB551" i="8"/>
  <c r="AD551" i="8"/>
  <c r="AB649" i="8"/>
  <c r="AD649" i="8"/>
  <c r="AB650" i="8"/>
  <c r="AD650" i="8"/>
  <c r="AB337" i="8"/>
  <c r="AD337" i="8"/>
  <c r="AB124" i="8"/>
  <c r="AD124" i="8"/>
  <c r="AB669" i="8"/>
  <c r="AD669" i="8"/>
  <c r="AB670" i="8"/>
  <c r="AD670" i="8"/>
  <c r="AB115" i="8"/>
  <c r="AD115" i="8"/>
  <c r="AB553" i="8"/>
  <c r="AD553" i="8"/>
  <c r="AB554" i="8"/>
  <c r="AD554" i="8"/>
  <c r="AB510" i="8"/>
  <c r="AD510" i="8"/>
  <c r="AD348" i="8"/>
  <c r="AB348" i="8"/>
  <c r="AD317" i="8"/>
  <c r="AB317" i="8"/>
  <c r="AB711" i="8"/>
  <c r="AB712" i="8"/>
  <c r="AD712" i="8"/>
  <c r="AB122" i="8"/>
  <c r="AD122" i="8"/>
  <c r="AB123" i="8"/>
  <c r="AD123" i="8"/>
  <c r="AD341" i="8"/>
  <c r="AB341" i="8"/>
  <c r="AD438" i="8" l="1"/>
  <c r="AB438" i="8"/>
  <c r="AB552" i="8" l="1"/>
  <c r="AD552" i="8"/>
  <c r="AB507" i="8"/>
  <c r="AD507" i="8"/>
  <c r="AB480" i="8"/>
  <c r="AD480" i="8"/>
  <c r="AB431" i="8"/>
  <c r="AD431" i="8"/>
  <c r="AB340" i="8"/>
  <c r="AD340" i="8"/>
  <c r="AB299" i="8"/>
  <c r="AD299" i="8"/>
  <c r="AB300" i="8"/>
  <c r="AD300" i="8"/>
  <c r="AB140" i="8" l="1"/>
  <c r="AD140" i="8"/>
  <c r="AB141" i="8"/>
  <c r="AD141" i="8"/>
  <c r="AB142" i="8"/>
  <c r="AD142" i="8"/>
  <c r="AB613" i="8" l="1"/>
  <c r="AB509" i="8"/>
  <c r="AB496" i="8"/>
  <c r="AD496" i="8"/>
  <c r="AB491" i="8"/>
  <c r="AD491" i="8"/>
  <c r="AB492" i="8"/>
  <c r="AD492" i="8"/>
  <c r="AB449" i="8"/>
  <c r="AD449" i="8"/>
  <c r="AB450" i="8"/>
  <c r="AD450" i="8"/>
  <c r="AB436" i="8"/>
  <c r="AD436" i="8"/>
  <c r="AB437" i="8"/>
  <c r="AD437" i="8"/>
  <c r="AB218" i="8"/>
  <c r="AD218" i="8"/>
  <c r="AB219" i="8"/>
  <c r="AD219" i="8"/>
  <c r="AD613" i="8"/>
  <c r="AB229" i="8"/>
  <c r="AD229" i="8"/>
  <c r="AD158" i="8"/>
  <c r="AB158" i="8"/>
  <c r="AD1219" i="8"/>
  <c r="AB1219" i="8"/>
  <c r="AB163" i="8"/>
  <c r="AD163" i="8"/>
  <c r="AB464" i="8" l="1"/>
  <c r="AD464" i="8"/>
  <c r="AB157" i="8"/>
  <c r="AD157" i="8"/>
  <c r="AB159" i="8"/>
  <c r="AD159" i="8"/>
  <c r="AB714" i="8" l="1"/>
  <c r="AB715" i="8"/>
  <c r="AD715" i="8"/>
  <c r="AB716" i="8"/>
  <c r="AD716" i="8"/>
  <c r="AB717" i="8"/>
  <c r="AD717" i="8"/>
  <c r="AB718" i="8"/>
  <c r="AD718" i="8"/>
  <c r="AB881" i="8"/>
  <c r="AD881" i="8"/>
  <c r="AB490" i="8"/>
  <c r="AD490" i="8"/>
  <c r="AD1689" i="8"/>
  <c r="AD181" i="8"/>
  <c r="AB1689" i="8"/>
  <c r="AA1689" i="8"/>
  <c r="AB181" i="8"/>
  <c r="AB709" i="8"/>
  <c r="AD709" i="8"/>
  <c r="AB335" i="8"/>
  <c r="AB336" i="8"/>
  <c r="AB338" i="8"/>
  <c r="AD336" i="8"/>
  <c r="AB298" i="8"/>
  <c r="AB130" i="8" l="1"/>
  <c r="AD130" i="8"/>
  <c r="AD298" i="8" l="1"/>
  <c r="AD638" i="8"/>
  <c r="AD637" i="8"/>
  <c r="AD636" i="8"/>
  <c r="AD635" i="8"/>
  <c r="AD634" i="8"/>
  <c r="AD633" i="8"/>
  <c r="AD632" i="8"/>
  <c r="AD631" i="8"/>
  <c r="AD629" i="8"/>
  <c r="AD628" i="8"/>
  <c r="AD710" i="8"/>
  <c r="AB165" i="8" l="1"/>
  <c r="AD165" i="8"/>
  <c r="AB166" i="8"/>
  <c r="AD166" i="8"/>
  <c r="AB162" i="8"/>
  <c r="AD162" i="8"/>
  <c r="AD708" i="8"/>
  <c r="AB708" i="8"/>
  <c r="AD707" i="8"/>
  <c r="AB707" i="8"/>
  <c r="AD706" i="8"/>
  <c r="AB706" i="8"/>
  <c r="AD705" i="8"/>
  <c r="AB705" i="8"/>
  <c r="AB638" i="8" l="1"/>
  <c r="AB710" i="8"/>
  <c r="AB637" i="8"/>
  <c r="AB636" i="8"/>
  <c r="AB635" i="8"/>
  <c r="AB634" i="8"/>
  <c r="AB633" i="8"/>
  <c r="AB632" i="8"/>
  <c r="AB631" i="8"/>
  <c r="AB629" i="8"/>
  <c r="AB628" i="8"/>
  <c r="AD704" i="8" l="1"/>
  <c r="AB703" i="8"/>
  <c r="AB704" i="8"/>
  <c r="AD664" i="8"/>
  <c r="AD665" i="8"/>
  <c r="AB664" i="8"/>
  <c r="AB665" i="8"/>
  <c r="AB690" i="8"/>
  <c r="AD257" i="8"/>
  <c r="AB257" i="8"/>
  <c r="AD580" i="8" l="1"/>
  <c r="AD581" i="8"/>
  <c r="AD582" i="8"/>
  <c r="AD585" i="8"/>
  <c r="AB580" i="8"/>
  <c r="AB581" i="8"/>
  <c r="AB582" i="8"/>
  <c r="AB886" i="8"/>
  <c r="AD703" i="8"/>
  <c r="AD1585" i="8" l="1"/>
  <c r="AB451" i="8"/>
  <c r="AB466" i="8"/>
  <c r="AB471" i="8"/>
  <c r="AB474" i="8"/>
  <c r="AB502" i="8"/>
  <c r="AB518" i="8"/>
  <c r="AB544" i="8"/>
  <c r="AB548" i="8"/>
  <c r="AB1585" i="8"/>
  <c r="AB556" i="8"/>
  <c r="AB641" i="8"/>
  <c r="AB659" i="8"/>
  <c r="AB722" i="8"/>
  <c r="AD164" i="8" l="1"/>
  <c r="AB584" i="8"/>
  <c r="AB349" i="8"/>
  <c r="AB346" i="8"/>
  <c r="AB323" i="8"/>
  <c r="AB320" i="8"/>
  <c r="AB313" i="8"/>
  <c r="AB208" i="8"/>
  <c r="AB191" i="8"/>
  <c r="AB189" i="8"/>
  <c r="AB164" i="8"/>
  <c r="AB147" i="8"/>
  <c r="AB118" i="8"/>
  <c r="AB2" i="8"/>
  <c r="AA2" i="8"/>
  <c r="AB23" i="8"/>
  <c r="AB112" i="8"/>
  <c r="AD114" i="8"/>
  <c r="AD584" i="8"/>
  <c r="AD208" i="8"/>
  <c r="AD542" i="8"/>
  <c r="AD872" i="8"/>
  <c r="AD1618" i="8"/>
  <c r="AD503" i="8"/>
  <c r="AD311" i="8"/>
  <c r="AB311" i="8"/>
  <c r="AB114" i="8"/>
  <c r="AB872" i="8"/>
  <c r="AB503" i="8"/>
  <c r="AB542" i="8"/>
  <c r="AB1618" i="8"/>
  <c r="AD1744" i="8"/>
  <c r="AB1774" i="8"/>
  <c r="AA1774" i="8"/>
  <c r="AB1773" i="8"/>
  <c r="AA1773" i="8"/>
  <c r="AB1744" i="8"/>
  <c r="AA1744" i="8"/>
  <c r="AB644" i="8"/>
  <c r="AD644" i="8"/>
  <c r="AB645" i="8"/>
  <c r="AD645" i="8"/>
  <c r="AB646" i="8"/>
  <c r="AD646" i="8"/>
  <c r="AB727" i="8"/>
  <c r="AB643" i="8"/>
  <c r="AD643" i="8"/>
  <c r="AB728" i="8"/>
  <c r="AD728" i="8"/>
  <c r="AB550" i="8"/>
  <c r="AD550" i="8"/>
  <c r="AB365" i="8"/>
  <c r="AD365" i="8"/>
  <c r="AB366" i="8"/>
  <c r="AD366" i="8"/>
  <c r="AB1214" i="8"/>
  <c r="AD1214" i="8"/>
  <c r="AB121" i="8"/>
  <c r="AD121" i="8"/>
  <c r="AB888" i="8"/>
  <c r="AD888" i="8"/>
  <c r="AB879" i="8"/>
  <c r="AD879" i="8"/>
  <c r="AB1375" i="8" l="1"/>
  <c r="AD837" i="8" l="1"/>
  <c r="AD838" i="8"/>
  <c r="AD839" i="8"/>
  <c r="AD840" i="8"/>
  <c r="AD841" i="8"/>
  <c r="AD846" i="8"/>
  <c r="AD847" i="8"/>
  <c r="AD848" i="8"/>
  <c r="AD849" i="8"/>
  <c r="AD850" i="8"/>
  <c r="AD851" i="8"/>
  <c r="AD852" i="8"/>
  <c r="AD853" i="8"/>
  <c r="AD854" i="8"/>
  <c r="AD855" i="8"/>
  <c r="AD856" i="8"/>
  <c r="AD857" i="8"/>
  <c r="AD858" i="8"/>
  <c r="AD80" i="8"/>
  <c r="AD81" i="8"/>
  <c r="AD82" i="8"/>
  <c r="AD861" i="8"/>
  <c r="AD862" i="8"/>
  <c r="AD84" i="8"/>
  <c r="AD85" i="8"/>
  <c r="AD863" i="8"/>
  <c r="AD864" i="8"/>
  <c r="AD873" i="8"/>
  <c r="AD865" i="8"/>
  <c r="AD866" i="8"/>
  <c r="AD874" i="8"/>
  <c r="AD870" i="8"/>
  <c r="AD871" i="8"/>
  <c r="AD875" i="8"/>
  <c r="AD876" i="8"/>
  <c r="AD867" i="8"/>
  <c r="AD868" i="8"/>
  <c r="AD110" i="8"/>
  <c r="AD859" i="8"/>
  <c r="AD860" i="8"/>
  <c r="AD127" i="8"/>
  <c r="AD119" i="8"/>
  <c r="AD844" i="8"/>
  <c r="AD845" i="8"/>
  <c r="AD880" i="8"/>
  <c r="AD885" i="8"/>
  <c r="AD92" i="8"/>
  <c r="AD93" i="8"/>
  <c r="AD94" i="8"/>
  <c r="AD95" i="8"/>
  <c r="AD101" i="8"/>
  <c r="AD102" i="8"/>
  <c r="AD103" i="8"/>
  <c r="AD104" i="8"/>
  <c r="AD105" i="8"/>
  <c r="AD106" i="8"/>
  <c r="AD107" i="8"/>
  <c r="AD91" i="8"/>
  <c r="AD96" i="8"/>
  <c r="AD97" i="8"/>
  <c r="AD98" i="8"/>
  <c r="AD99" i="8"/>
  <c r="AD100" i="8"/>
  <c r="AD842" i="8"/>
  <c r="AD843" i="8"/>
  <c r="AD111" i="8"/>
  <c r="AD79" i="8"/>
  <c r="AD83" i="8"/>
  <c r="AD86" i="8"/>
  <c r="AD87" i="8"/>
  <c r="AD88" i="8"/>
  <c r="AD89" i="8"/>
  <c r="AD90" i="8"/>
  <c r="AD24" i="8"/>
  <c r="AD108" i="8"/>
  <c r="AD886" i="8"/>
  <c r="AD882" i="8"/>
  <c r="AD877" i="8"/>
  <c r="AD113" i="8"/>
  <c r="AD883" i="8"/>
  <c r="AD120" i="8"/>
  <c r="AD878" i="8"/>
  <c r="AD884" i="8"/>
  <c r="AD964" i="8"/>
  <c r="AD965" i="8"/>
  <c r="AD966" i="8"/>
  <c r="AD967" i="8"/>
  <c r="AD968" i="8"/>
  <c r="AD969" i="8"/>
  <c r="AD167" i="8"/>
  <c r="AD168" i="8"/>
  <c r="AD169" i="8"/>
  <c r="AD170" i="8"/>
  <c r="AD171" i="8"/>
  <c r="AD980" i="8"/>
  <c r="AD981" i="8"/>
  <c r="AD172" i="8"/>
  <c r="AD970" i="8"/>
  <c r="AD971" i="8"/>
  <c r="AD972" i="8"/>
  <c r="AD973" i="8"/>
  <c r="AD974" i="8"/>
  <c r="AD975" i="8"/>
  <c r="AD976" i="8"/>
  <c r="AD977" i="8"/>
  <c r="AD978" i="8"/>
  <c r="AD979" i="8"/>
  <c r="AD173" i="8"/>
  <c r="AD174" i="8"/>
  <c r="AD175" i="8"/>
  <c r="AD176" i="8"/>
  <c r="AD177" i="8"/>
  <c r="AD178" i="8"/>
  <c r="AD982" i="8"/>
  <c r="AD983" i="8"/>
  <c r="AD984" i="8"/>
  <c r="AD985" i="8"/>
  <c r="AD986" i="8"/>
  <c r="AD148" i="8"/>
  <c r="AD149" i="8"/>
  <c r="AD150" i="8"/>
  <c r="AD151" i="8"/>
  <c r="AD179" i="8"/>
  <c r="AD180" i="8"/>
  <c r="AD152" i="8"/>
  <c r="AD153" i="8"/>
  <c r="AD154" i="8"/>
  <c r="AD155" i="8"/>
  <c r="AD156" i="8"/>
  <c r="AD160" i="8"/>
  <c r="AD161" i="8"/>
  <c r="AD187" i="8"/>
  <c r="AD987" i="8"/>
  <c r="AD988" i="8"/>
  <c r="AD989" i="8"/>
  <c r="AD183" i="8"/>
  <c r="AD182" i="8"/>
  <c r="AD990" i="8"/>
  <c r="AD992" i="8"/>
  <c r="AD1031" i="8"/>
  <c r="AD1032" i="8"/>
  <c r="AD190" i="8"/>
  <c r="AD991" i="8"/>
  <c r="AD1137" i="8"/>
  <c r="AD1138" i="8"/>
  <c r="AD1139" i="8"/>
  <c r="AD297" i="8"/>
  <c r="AD1144" i="8"/>
  <c r="AD1145" i="8"/>
  <c r="AD1146" i="8"/>
  <c r="AD1147" i="8"/>
  <c r="AD1148" i="8"/>
  <c r="AD1187" i="8"/>
  <c r="AD192" i="8"/>
  <c r="AD193" i="8"/>
  <c r="AD194" i="8"/>
  <c r="AD195" i="8"/>
  <c r="AD1197" i="8"/>
  <c r="AD1201" i="8"/>
  <c r="AD314" i="8"/>
  <c r="AD1188" i="8"/>
  <c r="AD1189" i="8"/>
  <c r="AD1190" i="8"/>
  <c r="AD196" i="8"/>
  <c r="AD1198" i="8"/>
  <c r="AD1150" i="8"/>
  <c r="AD1151" i="8"/>
  <c r="AD1199" i="8"/>
  <c r="AD1140" i="8"/>
  <c r="AD1141" i="8"/>
  <c r="AD1142" i="8"/>
  <c r="AD1143" i="8"/>
  <c r="AD197" i="8"/>
  <c r="AD198" i="8"/>
  <c r="AD1149" i="8"/>
  <c r="AD222" i="8"/>
  <c r="AD223" i="8"/>
  <c r="AD224" i="8"/>
  <c r="AD225" i="8"/>
  <c r="AD226" i="8"/>
  <c r="AD227" i="8"/>
  <c r="AD228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4" i="8"/>
  <c r="AD285" i="8"/>
  <c r="AD1152" i="8"/>
  <c r="AD1153" i="8"/>
  <c r="AD1154" i="8"/>
  <c r="AD1155" i="8"/>
  <c r="AD1156" i="8"/>
  <c r="AD286" i="8"/>
  <c r="AD1157" i="8"/>
  <c r="AD287" i="8"/>
  <c r="AD1218" i="8"/>
  <c r="AD288" i="8"/>
  <c r="AD289" i="8"/>
  <c r="AD290" i="8"/>
  <c r="AD291" i="8"/>
  <c r="AD292" i="8"/>
  <c r="AD1202" i="8"/>
  <c r="AD1203" i="8"/>
  <c r="AD1204" i="8"/>
  <c r="AD1205" i="8"/>
  <c r="AD1206" i="8"/>
  <c r="AD1193" i="8"/>
  <c r="AD1196" i="8"/>
  <c r="AD293" i="8"/>
  <c r="AD294" i="8"/>
  <c r="AD1207" i="8"/>
  <c r="AD315" i="8"/>
  <c r="AD1159" i="8"/>
  <c r="AD1160" i="8"/>
  <c r="AD1161" i="8"/>
  <c r="AD1162" i="8"/>
  <c r="AD1163" i="8"/>
  <c r="AD1164" i="8"/>
  <c r="AD1165" i="8"/>
  <c r="AD295" i="8"/>
  <c r="AD1166" i="8"/>
  <c r="AD1167" i="8"/>
  <c r="AD1168" i="8"/>
  <c r="AD1169" i="8"/>
  <c r="AD1170" i="8"/>
  <c r="AD1171" i="8"/>
  <c r="AD1172" i="8"/>
  <c r="AD1194" i="8"/>
  <c r="AD1216" i="8"/>
  <c r="AD316" i="8"/>
  <c r="AD1217" i="8"/>
  <c r="AD1173" i="8"/>
  <c r="AD1174" i="8"/>
  <c r="AD1175" i="8"/>
  <c r="AD1176" i="8"/>
  <c r="AD1177" i="8"/>
  <c r="AD1178" i="8"/>
  <c r="AD1179" i="8"/>
  <c r="AD1180" i="8"/>
  <c r="AD1181" i="8"/>
  <c r="AD1182" i="8"/>
  <c r="AD1183" i="8"/>
  <c r="AD1184" i="8"/>
  <c r="AD1185" i="8"/>
  <c r="AD1210" i="8"/>
  <c r="AD296" i="8"/>
  <c r="AD1211" i="8"/>
  <c r="AD1212" i="8"/>
  <c r="AD310" i="8"/>
  <c r="AD1213" i="8"/>
  <c r="AD1186" i="8"/>
  <c r="AD201" i="8"/>
  <c r="AD202" i="8"/>
  <c r="AD312" i="8"/>
  <c r="AD203" i="8"/>
  <c r="AD200" i="8"/>
  <c r="AD1208" i="8"/>
  <c r="AD1209" i="8"/>
  <c r="AD204" i="8"/>
  <c r="AD205" i="8"/>
  <c r="AD206" i="8"/>
  <c r="AD1158" i="8"/>
  <c r="AD207" i="8"/>
  <c r="AD1215" i="8"/>
  <c r="AD209" i="8"/>
  <c r="AD210" i="8"/>
  <c r="AD211" i="8"/>
  <c r="AD212" i="8"/>
  <c r="AD213" i="8"/>
  <c r="AD214" i="8"/>
  <c r="AD215" i="8"/>
  <c r="AD216" i="8"/>
  <c r="AD217" i="8"/>
  <c r="AD199" i="8"/>
  <c r="AD1200" i="8"/>
  <c r="AD319" i="8"/>
  <c r="AD109" i="8"/>
  <c r="AD220" i="8"/>
  <c r="AD1191" i="8"/>
  <c r="AD1192" i="8"/>
  <c r="AD321" i="8"/>
  <c r="AD1195" i="8"/>
  <c r="AD324" i="8"/>
  <c r="AD325" i="8"/>
  <c r="AD326" i="8"/>
  <c r="AD327" i="8"/>
  <c r="AD328" i="8"/>
  <c r="AD329" i="8"/>
  <c r="AD330" i="8"/>
  <c r="AD331" i="8"/>
  <c r="AD332" i="8"/>
  <c r="AD1253" i="8"/>
  <c r="AD1254" i="8"/>
  <c r="AD1255" i="8"/>
  <c r="AD1256" i="8"/>
  <c r="AD1257" i="8"/>
  <c r="AD1258" i="8"/>
  <c r="AD1259" i="8"/>
  <c r="AD1261" i="8"/>
  <c r="AD1260" i="8"/>
  <c r="AD333" i="8"/>
  <c r="AD1374" i="8"/>
  <c r="AD1371" i="8"/>
  <c r="AD339" i="8"/>
  <c r="AD1331" i="8"/>
  <c r="AD1332" i="8"/>
  <c r="AD1333" i="8"/>
  <c r="AD1334" i="8"/>
  <c r="AD1335" i="8"/>
  <c r="AD1336" i="8"/>
  <c r="AD1337" i="8"/>
  <c r="AD1338" i="8"/>
  <c r="AD1339" i="8"/>
  <c r="AD1340" i="8"/>
  <c r="AD1341" i="8"/>
  <c r="AD1342" i="8"/>
  <c r="AD1343" i="8"/>
  <c r="AD1344" i="8"/>
  <c r="AD1345" i="8"/>
  <c r="AD1346" i="8"/>
  <c r="AD1347" i="8"/>
  <c r="AD1348" i="8"/>
  <c r="AD1349" i="8"/>
  <c r="AD1350" i="8"/>
  <c r="AD350" i="8"/>
  <c r="AD1351" i="8"/>
  <c r="AD351" i="8"/>
  <c r="AD352" i="8"/>
  <c r="AD353" i="8"/>
  <c r="AD354" i="8"/>
  <c r="AD355" i="8"/>
  <c r="AD356" i="8"/>
  <c r="AD1352" i="8"/>
  <c r="AD1353" i="8"/>
  <c r="AD1354" i="8"/>
  <c r="AD1355" i="8"/>
  <c r="AD357" i="8"/>
  <c r="AD358" i="8"/>
  <c r="AD359" i="8"/>
  <c r="AD360" i="8"/>
  <c r="AD361" i="8"/>
  <c r="AD362" i="8"/>
  <c r="AD1356" i="8"/>
  <c r="AD1357" i="8"/>
  <c r="AD1358" i="8"/>
  <c r="AD1359" i="8"/>
  <c r="AD363" i="8"/>
  <c r="AD364" i="8"/>
  <c r="AD367" i="8"/>
  <c r="AD368" i="8"/>
  <c r="AD369" i="8"/>
  <c r="AD370" i="8"/>
  <c r="AD371" i="8"/>
  <c r="AD372" i="8"/>
  <c r="AD373" i="8"/>
  <c r="AD374" i="8"/>
  <c r="AD375" i="8"/>
  <c r="AD1372" i="8"/>
  <c r="AD376" i="8"/>
  <c r="AD377" i="8"/>
  <c r="AD1360" i="8"/>
  <c r="AD1361" i="8"/>
  <c r="AD1362" i="8"/>
  <c r="AD1363" i="8"/>
  <c r="AD378" i="8"/>
  <c r="AD379" i="8"/>
  <c r="AD380" i="8"/>
  <c r="AD1364" i="8"/>
  <c r="AD1365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1373" i="8"/>
  <c r="AD398" i="8"/>
  <c r="AD399" i="8"/>
  <c r="AD400" i="8"/>
  <c r="AD401" i="8"/>
  <c r="AD402" i="8"/>
  <c r="AD403" i="8"/>
  <c r="AD404" i="8"/>
  <c r="AD405" i="8"/>
  <c r="AD406" i="8"/>
  <c r="AD407" i="8"/>
  <c r="AD408" i="8"/>
  <c r="AD409" i="8"/>
  <c r="AD410" i="8"/>
  <c r="AD411" i="8"/>
  <c r="AD412" i="8"/>
  <c r="AD413" i="8"/>
  <c r="AD414" i="8"/>
  <c r="AD415" i="8"/>
  <c r="AD416" i="8"/>
  <c r="AD417" i="8"/>
  <c r="AD418" i="8"/>
  <c r="AD419" i="8"/>
  <c r="AD420" i="8"/>
  <c r="AD421" i="8"/>
  <c r="AD1366" i="8"/>
  <c r="AD424" i="8"/>
  <c r="AD425" i="8"/>
  <c r="AD426" i="8"/>
  <c r="AD428" i="8"/>
  <c r="AD429" i="8"/>
  <c r="AD1367" i="8"/>
  <c r="AD430" i="8"/>
  <c r="AD1368" i="8"/>
  <c r="AD1369" i="8"/>
  <c r="AD432" i="8"/>
  <c r="AD433" i="8"/>
  <c r="AD434" i="8"/>
  <c r="AD1370" i="8"/>
  <c r="AD347" i="8"/>
  <c r="AD422" i="8"/>
  <c r="AD423" i="8"/>
  <c r="AD435" i="8"/>
  <c r="AD442" i="8"/>
  <c r="AD1376" i="8"/>
  <c r="AD443" i="8"/>
  <c r="AD444" i="8"/>
  <c r="AD445" i="8"/>
  <c r="AD446" i="8"/>
  <c r="AD1377" i="8"/>
  <c r="AD447" i="8"/>
  <c r="AD452" i="8"/>
  <c r="AD453" i="8"/>
  <c r="AD454" i="8"/>
  <c r="AD1405" i="8"/>
  <c r="AD1406" i="8"/>
  <c r="AD1413" i="8"/>
  <c r="AD1414" i="8"/>
  <c r="AD1409" i="8"/>
  <c r="AD1410" i="8"/>
  <c r="AD1407" i="8"/>
  <c r="AD1411" i="8"/>
  <c r="AD1408" i="8"/>
  <c r="AD1412" i="8"/>
  <c r="AD455" i="8"/>
  <c r="AD456" i="8"/>
  <c r="AD457" i="8"/>
  <c r="AD458" i="8"/>
  <c r="AD459" i="8"/>
  <c r="AD460" i="8"/>
  <c r="AD461" i="8"/>
  <c r="AD462" i="8"/>
  <c r="AD468" i="8"/>
  <c r="AD469" i="8"/>
  <c r="AD470" i="8"/>
  <c r="AD467" i="8"/>
  <c r="AD473" i="8"/>
  <c r="AD472" i="8"/>
  <c r="AD1416" i="8"/>
  <c r="AD1415" i="8"/>
  <c r="AD1497" i="8"/>
  <c r="AD1498" i="8"/>
  <c r="AD1499" i="8"/>
  <c r="AD1500" i="8"/>
  <c r="AD1501" i="8"/>
  <c r="AD475" i="8"/>
  <c r="AD477" i="8"/>
  <c r="AD476" i="8"/>
  <c r="AD478" i="8"/>
  <c r="AD479" i="8"/>
  <c r="AD1548" i="8"/>
  <c r="AD481" i="8"/>
  <c r="AD1541" i="8"/>
  <c r="AD1542" i="8"/>
  <c r="AD1543" i="8"/>
  <c r="AD1544" i="8"/>
  <c r="AD1545" i="8"/>
  <c r="AD482" i="8"/>
  <c r="AD483" i="8"/>
  <c r="AD484" i="8"/>
  <c r="AD485" i="8"/>
  <c r="AD486" i="8"/>
  <c r="AD487" i="8"/>
  <c r="AD488" i="8"/>
  <c r="AD504" i="8"/>
  <c r="AD1546" i="8"/>
  <c r="AD1547" i="8"/>
  <c r="AD489" i="8"/>
  <c r="AD508" i="8"/>
  <c r="AD1569" i="8"/>
  <c r="AD1570" i="8"/>
  <c r="AD1571" i="8"/>
  <c r="AD519" i="8"/>
  <c r="AD1587" i="8"/>
  <c r="AD520" i="8"/>
  <c r="AD521" i="8"/>
  <c r="AD1572" i="8"/>
  <c r="AD522" i="8"/>
  <c r="AD1586" i="8"/>
  <c r="AD523" i="8"/>
  <c r="AD524" i="8"/>
  <c r="AD525" i="8"/>
  <c r="AD526" i="8"/>
  <c r="AD527" i="8"/>
  <c r="AD1573" i="8"/>
  <c r="AD1574" i="8"/>
  <c r="AD1575" i="8"/>
  <c r="AD528" i="8"/>
  <c r="AD529" i="8"/>
  <c r="AD530" i="8"/>
  <c r="AD531" i="8"/>
  <c r="AD532" i="8"/>
  <c r="AD533" i="8"/>
  <c r="AD534" i="8"/>
  <c r="AD1583" i="8"/>
  <c r="AD1584" i="8"/>
  <c r="AD545" i="8"/>
  <c r="AD535" i="8"/>
  <c r="AD536" i="8"/>
  <c r="AD537" i="8"/>
  <c r="AD543" i="8"/>
  <c r="AD1577" i="8"/>
  <c r="AD538" i="8"/>
  <c r="AD540" i="8"/>
  <c r="AD1582" i="8"/>
  <c r="AD1579" i="8"/>
  <c r="AD541" i="8"/>
  <c r="AD1576" i="8"/>
  <c r="AD539" i="8"/>
  <c r="AD1580" i="8"/>
  <c r="AD128" i="8"/>
  <c r="AD129" i="8"/>
  <c r="AD1581" i="8"/>
  <c r="AD1578" i="8"/>
  <c r="AD1588" i="8"/>
  <c r="AD549" i="8"/>
  <c r="AD555" i="8"/>
  <c r="AD1614" i="8"/>
  <c r="AD1615" i="8"/>
  <c r="AD1616" i="8"/>
  <c r="AD557" i="8"/>
  <c r="AD558" i="8"/>
  <c r="AD560" i="8"/>
  <c r="AD561" i="8"/>
  <c r="AD562" i="8"/>
  <c r="AD563" i="8"/>
  <c r="AD564" i="8"/>
  <c r="AD565" i="8"/>
  <c r="AD566" i="8"/>
  <c r="AD567" i="8"/>
  <c r="AD568" i="8"/>
  <c r="AD1609" i="8"/>
  <c r="AD1610" i="8"/>
  <c r="AD1611" i="8"/>
  <c r="AD1612" i="8"/>
  <c r="AD1613" i="8"/>
  <c r="AD569" i="8"/>
  <c r="AD570" i="8"/>
  <c r="AD571" i="8"/>
  <c r="AD572" i="8"/>
  <c r="AD573" i="8"/>
  <c r="AD574" i="8"/>
  <c r="AD575" i="8"/>
  <c r="AD576" i="8"/>
  <c r="AD577" i="8"/>
  <c r="AD578" i="8"/>
  <c r="AD579" i="8"/>
  <c r="AD583" i="8"/>
  <c r="AD586" i="8"/>
  <c r="AD590" i="8"/>
  <c r="AD594" i="8"/>
  <c r="AD592" i="8"/>
  <c r="AD593" i="8"/>
  <c r="AD588" i="8"/>
  <c r="AD587" i="8"/>
  <c r="AD596" i="8"/>
  <c r="AD597" i="8"/>
  <c r="AD598" i="8"/>
  <c r="AD599" i="8"/>
  <c r="AD600" i="8"/>
  <c r="AD601" i="8"/>
  <c r="AD602" i="8"/>
  <c r="AD603" i="8"/>
  <c r="AD605" i="8"/>
  <c r="AD606" i="8"/>
  <c r="AD607" i="8"/>
  <c r="AD608" i="8"/>
  <c r="AD609" i="8"/>
  <c r="AD610" i="8"/>
  <c r="AD611" i="8"/>
  <c r="AD612" i="8"/>
  <c r="AD604" i="8"/>
  <c r="AD614" i="8"/>
  <c r="AD615" i="8"/>
  <c r="AD616" i="8"/>
  <c r="AD617" i="8"/>
  <c r="AD618" i="8"/>
  <c r="AD619" i="8"/>
  <c r="AD620" i="8"/>
  <c r="AD621" i="8"/>
  <c r="AD622" i="8"/>
  <c r="AD623" i="8"/>
  <c r="AD1617" i="8"/>
  <c r="AD1619" i="8"/>
  <c r="AD675" i="8"/>
  <c r="AD667" i="8"/>
  <c r="AD662" i="8"/>
  <c r="AD668" i="8"/>
  <c r="AD663" i="8"/>
  <c r="AD666" i="8"/>
  <c r="AD647" i="8"/>
  <c r="AD648" i="8"/>
  <c r="AD624" i="8"/>
  <c r="AD625" i="8"/>
  <c r="AD626" i="8"/>
  <c r="AD627" i="8"/>
  <c r="AD642" i="8"/>
  <c r="AD660" i="8"/>
  <c r="AD661" i="8"/>
  <c r="AD674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1621" i="8"/>
  <c r="AD730" i="8"/>
  <c r="AD731" i="8"/>
  <c r="AD732" i="8"/>
  <c r="AD733" i="8"/>
  <c r="AD737" i="8"/>
  <c r="AD738" i="8"/>
  <c r="AD739" i="8"/>
  <c r="AD740" i="8"/>
  <c r="AD741" i="8"/>
  <c r="AD742" i="8"/>
  <c r="AD743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AD795" i="8"/>
  <c r="AD796" i="8"/>
  <c r="AD797" i="8"/>
  <c r="AD798" i="8"/>
  <c r="AD799" i="8"/>
  <c r="AD800" i="8"/>
  <c r="AD801" i="8"/>
  <c r="AD802" i="8"/>
  <c r="AD803" i="8"/>
  <c r="AD804" i="8"/>
  <c r="AD805" i="8"/>
  <c r="AD806" i="8"/>
  <c r="AD807" i="8"/>
  <c r="AD808" i="8"/>
  <c r="AD809" i="8"/>
  <c r="AD810" i="8"/>
  <c r="AD811" i="8"/>
  <c r="AD812" i="8"/>
  <c r="AD813" i="8"/>
  <c r="AD814" i="8"/>
  <c r="AD815" i="8"/>
  <c r="AD816" i="8"/>
  <c r="AD817" i="8"/>
  <c r="AD818" i="8"/>
  <c r="AD819" i="8"/>
  <c r="AD820" i="8"/>
  <c r="AD821" i="8"/>
  <c r="AD822" i="8"/>
  <c r="AD823" i="8"/>
  <c r="AD824" i="8"/>
  <c r="AD826" i="8"/>
  <c r="AD827" i="8"/>
  <c r="AD828" i="8"/>
  <c r="AD829" i="8"/>
  <c r="AD830" i="8"/>
  <c r="AD831" i="8"/>
  <c r="AD832" i="8"/>
  <c r="AD833" i="8"/>
  <c r="AD834" i="8"/>
  <c r="AD835" i="8"/>
  <c r="AD836" i="8"/>
  <c r="AD890" i="8"/>
  <c r="AD891" i="8"/>
  <c r="AD892" i="8"/>
  <c r="AD893" i="8"/>
  <c r="AD894" i="8"/>
  <c r="AD895" i="8"/>
  <c r="AD896" i="8"/>
  <c r="AD898" i="8"/>
  <c r="AD899" i="8"/>
  <c r="AD900" i="8"/>
  <c r="AD901" i="8"/>
  <c r="AD902" i="8"/>
  <c r="AD903" i="8"/>
  <c r="AD907" i="8"/>
  <c r="AD908" i="8"/>
  <c r="AD909" i="8"/>
  <c r="AD910" i="8"/>
  <c r="AD911" i="8"/>
  <c r="AD912" i="8"/>
  <c r="AD913" i="8"/>
  <c r="AD914" i="8"/>
  <c r="AD915" i="8"/>
  <c r="AD916" i="8"/>
  <c r="AD918" i="8"/>
  <c r="AD919" i="8"/>
  <c r="AD920" i="8"/>
  <c r="AD921" i="8"/>
  <c r="AD922" i="8"/>
  <c r="AD923" i="8"/>
  <c r="AD924" i="8"/>
  <c r="AD925" i="8"/>
  <c r="AD926" i="8"/>
  <c r="AD927" i="8"/>
  <c r="AD928" i="8"/>
  <c r="AD929" i="8"/>
  <c r="AD930" i="8"/>
  <c r="AD931" i="8"/>
  <c r="AD932" i="8"/>
  <c r="AD933" i="8"/>
  <c r="AD934" i="8"/>
  <c r="AD935" i="8"/>
  <c r="AD936" i="8"/>
  <c r="AD937" i="8"/>
  <c r="AD938" i="8"/>
  <c r="AD939" i="8"/>
  <c r="AD940" i="8"/>
  <c r="AD941" i="8"/>
  <c r="AD942" i="8"/>
  <c r="AD944" i="8"/>
  <c r="AD945" i="8"/>
  <c r="AD946" i="8"/>
  <c r="AD947" i="8"/>
  <c r="AD948" i="8"/>
  <c r="AD949" i="8"/>
  <c r="AD950" i="8"/>
  <c r="AD951" i="8"/>
  <c r="AD952" i="8"/>
  <c r="AD953" i="8"/>
  <c r="AD954" i="8"/>
  <c r="AD955" i="8"/>
  <c r="AD956" i="8"/>
  <c r="AD957" i="8"/>
  <c r="AD958" i="8"/>
  <c r="AD959" i="8"/>
  <c r="AD960" i="8"/>
  <c r="AD961" i="8"/>
  <c r="AD184" i="8"/>
  <c r="AD962" i="8"/>
  <c r="AD963" i="8"/>
  <c r="AD994" i="8"/>
  <c r="AD995" i="8"/>
  <c r="AD996" i="8"/>
  <c r="AD997" i="8"/>
  <c r="AD998" i="8"/>
  <c r="AD999" i="8"/>
  <c r="AD1000" i="8"/>
  <c r="AD1001" i="8"/>
  <c r="AD1002" i="8"/>
  <c r="AD1003" i="8"/>
  <c r="AD1004" i="8"/>
  <c r="AD1005" i="8"/>
  <c r="AD1006" i="8"/>
  <c r="AD1007" i="8"/>
  <c r="AD1008" i="8"/>
  <c r="AD1009" i="8"/>
  <c r="AD1010" i="8"/>
  <c r="AD1011" i="8"/>
  <c r="AD1012" i="8"/>
  <c r="AD1013" i="8"/>
  <c r="AD1014" i="8"/>
  <c r="AD1015" i="8"/>
  <c r="AD1016" i="8"/>
  <c r="AD1017" i="8"/>
  <c r="AD1018" i="8"/>
  <c r="AD1019" i="8"/>
  <c r="AD1020" i="8"/>
  <c r="AD1021" i="8"/>
  <c r="AD1022" i="8"/>
  <c r="AD1023" i="8"/>
  <c r="AD1024" i="8"/>
  <c r="AD1025" i="8"/>
  <c r="AD1026" i="8"/>
  <c r="AD1027" i="8"/>
  <c r="AD1028" i="8"/>
  <c r="AD1029" i="8"/>
  <c r="AD1030" i="8"/>
  <c r="AD1034" i="8"/>
  <c r="AD1035" i="8"/>
  <c r="AD1036" i="8"/>
  <c r="AD1037" i="8"/>
  <c r="AD1038" i="8"/>
  <c r="AD1039" i="8"/>
  <c r="AD1040" i="8"/>
  <c r="AD1041" i="8"/>
  <c r="AD1042" i="8"/>
  <c r="AD1043" i="8"/>
  <c r="AD1044" i="8"/>
  <c r="AD1045" i="8"/>
  <c r="AD1046" i="8"/>
  <c r="AD1047" i="8"/>
  <c r="AD1049" i="8"/>
  <c r="AD1050" i="8"/>
  <c r="AD1051" i="8"/>
  <c r="AD1052" i="8"/>
  <c r="AD1053" i="8"/>
  <c r="AD1054" i="8"/>
  <c r="AD1055" i="8"/>
  <c r="AD1056" i="8"/>
  <c r="AD1057" i="8"/>
  <c r="AD1058" i="8"/>
  <c r="AD1059" i="8"/>
  <c r="AD1060" i="8"/>
  <c r="AD1061" i="8"/>
  <c r="AD1062" i="8"/>
  <c r="AD1063" i="8"/>
  <c r="AD1064" i="8"/>
  <c r="AD1065" i="8"/>
  <c r="AD1066" i="8"/>
  <c r="AD1067" i="8"/>
  <c r="AD1068" i="8"/>
  <c r="AD1069" i="8"/>
  <c r="AD1070" i="8"/>
  <c r="AD1071" i="8"/>
  <c r="AD1072" i="8"/>
  <c r="AD1073" i="8"/>
  <c r="AD1074" i="8"/>
  <c r="AD1075" i="8"/>
  <c r="AD1076" i="8"/>
  <c r="AD1077" i="8"/>
  <c r="AD1078" i="8"/>
  <c r="AD1079" i="8"/>
  <c r="AD1080" i="8"/>
  <c r="AD1081" i="8"/>
  <c r="AD1082" i="8"/>
  <c r="AD1083" i="8"/>
  <c r="AD1084" i="8"/>
  <c r="AD1085" i="8"/>
  <c r="AD1086" i="8"/>
  <c r="AD1087" i="8"/>
  <c r="AD1088" i="8"/>
  <c r="AD1089" i="8"/>
  <c r="AD1090" i="8"/>
  <c r="AD1091" i="8"/>
  <c r="AD1092" i="8"/>
  <c r="AD1093" i="8"/>
  <c r="AD1094" i="8"/>
  <c r="AD1095" i="8"/>
  <c r="AD1096" i="8"/>
  <c r="AD1097" i="8"/>
  <c r="AD1098" i="8"/>
  <c r="AD1099" i="8"/>
  <c r="AD1100" i="8"/>
  <c r="AD1101" i="8"/>
  <c r="AD1102" i="8"/>
  <c r="AD1103" i="8"/>
  <c r="AD1104" i="8"/>
  <c r="AD1105" i="8"/>
  <c r="AD1106" i="8"/>
  <c r="AD1107" i="8"/>
  <c r="AD1108" i="8"/>
  <c r="AD1109" i="8"/>
  <c r="AD1110" i="8"/>
  <c r="AD1111" i="8"/>
  <c r="AD1112" i="8"/>
  <c r="AD1113" i="8"/>
  <c r="AD1114" i="8"/>
  <c r="AD1115" i="8"/>
  <c r="AD1116" i="8"/>
  <c r="AD1117" i="8"/>
  <c r="AD1118" i="8"/>
  <c r="AD1119" i="8"/>
  <c r="AD1120" i="8"/>
  <c r="AD1121" i="8"/>
  <c r="AD1122" i="8"/>
  <c r="AD1123" i="8"/>
  <c r="AD1124" i="8"/>
  <c r="AD1125" i="8"/>
  <c r="AD1126" i="8"/>
  <c r="AD1127" i="8"/>
  <c r="AD1128" i="8"/>
  <c r="AD1129" i="8"/>
  <c r="AD1130" i="8"/>
  <c r="AD1131" i="8"/>
  <c r="AD1132" i="8"/>
  <c r="AD1133" i="8"/>
  <c r="AD1134" i="8"/>
  <c r="AD1135" i="8"/>
  <c r="AD1136" i="8"/>
  <c r="AD1221" i="8"/>
  <c r="AD1222" i="8"/>
  <c r="AD1223" i="8"/>
  <c r="AD1224" i="8"/>
  <c r="AD1225" i="8"/>
  <c r="AD1226" i="8"/>
  <c r="AD1227" i="8"/>
  <c r="AD1228" i="8"/>
  <c r="AD1229" i="8"/>
  <c r="AD1230" i="8"/>
  <c r="AD1231" i="8"/>
  <c r="AD1232" i="8"/>
  <c r="AD1233" i="8"/>
  <c r="AD1234" i="8"/>
  <c r="AD1235" i="8"/>
  <c r="AD1236" i="8"/>
  <c r="AD1237" i="8"/>
  <c r="AD1238" i="8"/>
  <c r="AD1239" i="8"/>
  <c r="AD1240" i="8"/>
  <c r="AD1241" i="8"/>
  <c r="AD1242" i="8"/>
  <c r="AD1243" i="8"/>
  <c r="AD1244" i="8"/>
  <c r="AD1245" i="8"/>
  <c r="AD1246" i="8"/>
  <c r="AD1247" i="8"/>
  <c r="AD1248" i="8"/>
  <c r="AD1249" i="8"/>
  <c r="AD1250" i="8"/>
  <c r="AD1251" i="8"/>
  <c r="AD1252" i="8"/>
  <c r="AD1263" i="8"/>
  <c r="AD1264" i="8"/>
  <c r="AD1265" i="8"/>
  <c r="AD1266" i="8"/>
  <c r="AD1267" i="8"/>
  <c r="AD1268" i="8"/>
  <c r="AD1269" i="8"/>
  <c r="AD1270" i="8"/>
  <c r="AD1271" i="8"/>
  <c r="AD1272" i="8"/>
  <c r="AD1273" i="8"/>
  <c r="AD1274" i="8"/>
  <c r="AD1275" i="8"/>
  <c r="AD1276" i="8"/>
  <c r="AD1277" i="8"/>
  <c r="AD1278" i="8"/>
  <c r="AD1279" i="8"/>
  <c r="AD1280" i="8"/>
  <c r="AD1281" i="8"/>
  <c r="AD1282" i="8"/>
  <c r="AD1283" i="8"/>
  <c r="AD1284" i="8"/>
  <c r="AD1285" i="8"/>
  <c r="AD1286" i="8"/>
  <c r="AD1287" i="8"/>
  <c r="AD1288" i="8"/>
  <c r="AD1289" i="8"/>
  <c r="AD1290" i="8"/>
  <c r="AD1291" i="8"/>
  <c r="AD1292" i="8"/>
  <c r="AD1293" i="8"/>
  <c r="AD1294" i="8"/>
  <c r="AD1295" i="8"/>
  <c r="AD1296" i="8"/>
  <c r="AD1297" i="8"/>
  <c r="AD1298" i="8"/>
  <c r="AD1299" i="8"/>
  <c r="AD1300" i="8"/>
  <c r="AD1301" i="8"/>
  <c r="AD1302" i="8"/>
  <c r="AD1303" i="8"/>
  <c r="AD1304" i="8"/>
  <c r="AD1305" i="8"/>
  <c r="AD1306" i="8"/>
  <c r="AD1307" i="8"/>
  <c r="AD1308" i="8"/>
  <c r="AD1309" i="8"/>
  <c r="AD1310" i="8"/>
  <c r="AD1311" i="8"/>
  <c r="AD1312" i="8"/>
  <c r="AD1313" i="8"/>
  <c r="AD1314" i="8"/>
  <c r="AD1315" i="8"/>
  <c r="AD1316" i="8"/>
  <c r="AD1317" i="8"/>
  <c r="AD1318" i="8"/>
  <c r="AD1319" i="8"/>
  <c r="AD1320" i="8"/>
  <c r="AD1321" i="8"/>
  <c r="AD1322" i="8"/>
  <c r="AD1323" i="8"/>
  <c r="AD1324" i="8"/>
  <c r="AD1325" i="8"/>
  <c r="AD1326" i="8"/>
  <c r="AD1327" i="8"/>
  <c r="AD1328" i="8"/>
  <c r="AD1329" i="8"/>
  <c r="AD1330" i="8"/>
  <c r="AD1379" i="8"/>
  <c r="AD1380" i="8"/>
  <c r="AD1381" i="8"/>
  <c r="AD1382" i="8"/>
  <c r="AD1383" i="8"/>
  <c r="AD1384" i="8"/>
  <c r="AD1385" i="8"/>
  <c r="AD1386" i="8"/>
  <c r="AD1387" i="8"/>
  <c r="AD1388" i="8"/>
  <c r="AD1389" i="8"/>
  <c r="AD1390" i="8"/>
  <c r="AD1391" i="8"/>
  <c r="AD1392" i="8"/>
  <c r="AD1393" i="8"/>
  <c r="AD1394" i="8"/>
  <c r="AD1395" i="8"/>
  <c r="AD1396" i="8"/>
  <c r="AD1397" i="8"/>
  <c r="AD1398" i="8"/>
  <c r="AD1399" i="8"/>
  <c r="AD1400" i="8"/>
  <c r="AD1401" i="8"/>
  <c r="AD1402" i="8"/>
  <c r="AD1403" i="8"/>
  <c r="AD1404" i="8"/>
  <c r="AD1418" i="8"/>
  <c r="AD1419" i="8"/>
  <c r="AD1420" i="8"/>
  <c r="AD1421" i="8"/>
  <c r="AD1422" i="8"/>
  <c r="AD1423" i="8"/>
  <c r="AD1424" i="8"/>
  <c r="AD1425" i="8"/>
  <c r="AD1426" i="8"/>
  <c r="AD1427" i="8"/>
  <c r="AD1428" i="8"/>
  <c r="AD1429" i="8"/>
  <c r="AD1430" i="8"/>
  <c r="AD1431" i="8"/>
  <c r="AD1432" i="8"/>
  <c r="AD1433" i="8"/>
  <c r="AD1434" i="8"/>
  <c r="AD1435" i="8"/>
  <c r="AD1436" i="8"/>
  <c r="AD1437" i="8"/>
  <c r="AD1438" i="8"/>
  <c r="AD1439" i="8"/>
  <c r="AD1440" i="8"/>
  <c r="AD1441" i="8"/>
  <c r="AD1442" i="8"/>
  <c r="AD1443" i="8"/>
  <c r="AD1444" i="8"/>
  <c r="AD1445" i="8"/>
  <c r="AD1446" i="8"/>
  <c r="AD1447" i="8"/>
  <c r="AD1448" i="8"/>
  <c r="AD1449" i="8"/>
  <c r="AD1450" i="8"/>
  <c r="AD1451" i="8"/>
  <c r="AD1452" i="8"/>
  <c r="AD1453" i="8"/>
  <c r="AD1454" i="8"/>
  <c r="AD1455" i="8"/>
  <c r="AD1456" i="8"/>
  <c r="AD1457" i="8"/>
  <c r="AD1458" i="8"/>
  <c r="AD1459" i="8"/>
  <c r="AD1460" i="8"/>
  <c r="AD1461" i="8"/>
  <c r="AD1462" i="8"/>
  <c r="AD1463" i="8"/>
  <c r="AD1464" i="8"/>
  <c r="AD1465" i="8"/>
  <c r="AD1466" i="8"/>
  <c r="AD1467" i="8"/>
  <c r="AD1468" i="8"/>
  <c r="AD1469" i="8"/>
  <c r="AD1470" i="8"/>
  <c r="AD1471" i="8"/>
  <c r="AD1472" i="8"/>
  <c r="AD1473" i="8"/>
  <c r="AD1474" i="8"/>
  <c r="AD1475" i="8"/>
  <c r="AD1476" i="8"/>
  <c r="AD1477" i="8"/>
  <c r="AD1478" i="8"/>
  <c r="AD1479" i="8"/>
  <c r="AD1480" i="8"/>
  <c r="AD1481" i="8"/>
  <c r="AD1482" i="8"/>
  <c r="AD1483" i="8"/>
  <c r="AD1484" i="8"/>
  <c r="AD1485" i="8"/>
  <c r="AD1486" i="8"/>
  <c r="AD1487" i="8"/>
  <c r="AD1488" i="8"/>
  <c r="AD1489" i="8"/>
  <c r="AD1490" i="8"/>
  <c r="AD1491" i="8"/>
  <c r="AD1492" i="8"/>
  <c r="AD1493" i="8"/>
  <c r="AD1494" i="8"/>
  <c r="AD1495" i="8"/>
  <c r="AD1496" i="8"/>
  <c r="AD1503" i="8"/>
  <c r="AD1504" i="8"/>
  <c r="AD1505" i="8"/>
  <c r="AD1507" i="8"/>
  <c r="AD1508" i="8"/>
  <c r="AD1509" i="8"/>
  <c r="AD1510" i="8"/>
  <c r="AD1511" i="8"/>
  <c r="AD1512" i="8"/>
  <c r="AD1513" i="8"/>
  <c r="AD1514" i="8"/>
  <c r="AD1515" i="8"/>
  <c r="AD1516" i="8"/>
  <c r="AD1517" i="8"/>
  <c r="AD1518" i="8"/>
  <c r="AD1519" i="8"/>
  <c r="AD1520" i="8"/>
  <c r="AD1521" i="8"/>
  <c r="AD1522" i="8"/>
  <c r="AD1523" i="8"/>
  <c r="AD1524" i="8"/>
  <c r="AD1525" i="8"/>
  <c r="AD1526" i="8"/>
  <c r="AD1528" i="8"/>
  <c r="AD1529" i="8"/>
  <c r="AD1530" i="8"/>
  <c r="AD1531" i="8"/>
  <c r="AD1532" i="8"/>
  <c r="AD1533" i="8"/>
  <c r="AD1534" i="8"/>
  <c r="AD1535" i="8"/>
  <c r="AD1536" i="8"/>
  <c r="AD1537" i="8"/>
  <c r="AD1538" i="8"/>
  <c r="AD1539" i="8"/>
  <c r="AD1540" i="8"/>
  <c r="AD1550" i="8"/>
  <c r="AD1551" i="8"/>
  <c r="AD1552" i="8"/>
  <c r="AD1553" i="8"/>
  <c r="AD1554" i="8"/>
  <c r="AD1555" i="8"/>
  <c r="AD1556" i="8"/>
  <c r="AD1557" i="8"/>
  <c r="AD1558" i="8"/>
  <c r="AD1559" i="8"/>
  <c r="AD1560" i="8"/>
  <c r="AD1561" i="8"/>
  <c r="AD1562" i="8"/>
  <c r="AD1563" i="8"/>
  <c r="AD1564" i="8"/>
  <c r="AD1565" i="8"/>
  <c r="AD1566" i="8"/>
  <c r="AD1567" i="8"/>
  <c r="AD1568" i="8"/>
  <c r="AD1590" i="8"/>
  <c r="AD1591" i="8"/>
  <c r="AD1592" i="8"/>
  <c r="AD1593" i="8"/>
  <c r="AD1594" i="8"/>
  <c r="AD1595" i="8"/>
  <c r="AD1597" i="8"/>
  <c r="AD1598" i="8"/>
  <c r="AD1599" i="8"/>
  <c r="AD1600" i="8"/>
  <c r="AD1601" i="8"/>
  <c r="AD1602" i="8"/>
  <c r="AD1603" i="8"/>
  <c r="AD1604" i="8"/>
  <c r="AD1605" i="8"/>
  <c r="AD1606" i="8"/>
  <c r="AD1607" i="8"/>
  <c r="AD1608" i="8"/>
  <c r="AD1622" i="8"/>
  <c r="AD1624" i="8"/>
  <c r="AD1625" i="8"/>
  <c r="AD1627" i="8"/>
  <c r="AB837" i="8" l="1"/>
  <c r="AB838" i="8"/>
  <c r="AB839" i="8"/>
  <c r="AB840" i="8"/>
  <c r="AB841" i="8"/>
  <c r="AB846" i="8"/>
  <c r="AB847" i="8"/>
  <c r="AB848" i="8"/>
  <c r="AB849" i="8"/>
  <c r="AB850" i="8"/>
  <c r="AB851" i="8"/>
  <c r="AB852" i="8"/>
  <c r="AB853" i="8"/>
  <c r="AB854" i="8"/>
  <c r="AB855" i="8"/>
  <c r="AB856" i="8"/>
  <c r="AB857" i="8"/>
  <c r="AB858" i="8"/>
  <c r="AB80" i="8"/>
  <c r="AB81" i="8"/>
  <c r="AB82" i="8"/>
  <c r="AB861" i="8"/>
  <c r="AB862" i="8"/>
  <c r="AB84" i="8"/>
  <c r="AB85" i="8"/>
  <c r="AB863" i="8"/>
  <c r="AB864" i="8"/>
  <c r="AB873" i="8"/>
  <c r="AB865" i="8"/>
  <c r="AB866" i="8"/>
  <c r="AB874" i="8"/>
  <c r="AB870" i="8"/>
  <c r="AB871" i="8"/>
  <c r="AB875" i="8"/>
  <c r="AB876" i="8"/>
  <c r="AB867" i="8"/>
  <c r="AB868" i="8"/>
  <c r="AB110" i="8"/>
  <c r="AB859" i="8"/>
  <c r="AB860" i="8"/>
  <c r="AB127" i="8"/>
  <c r="AB119" i="8"/>
  <c r="AB844" i="8"/>
  <c r="AB845" i="8"/>
  <c r="AB880" i="8"/>
  <c r="AB885" i="8"/>
  <c r="AB92" i="8"/>
  <c r="AB93" i="8"/>
  <c r="AB94" i="8"/>
  <c r="AB95" i="8"/>
  <c r="AB101" i="8"/>
  <c r="AB102" i="8"/>
  <c r="AB103" i="8"/>
  <c r="AB104" i="8"/>
  <c r="AB105" i="8"/>
  <c r="AB106" i="8"/>
  <c r="AB107" i="8"/>
  <c r="AB91" i="8"/>
  <c r="AB96" i="8"/>
  <c r="AB97" i="8"/>
  <c r="AB98" i="8"/>
  <c r="AB99" i="8"/>
  <c r="AB100" i="8"/>
  <c r="AB842" i="8"/>
  <c r="AB843" i="8"/>
  <c r="AB111" i="8"/>
  <c r="AB79" i="8"/>
  <c r="AB83" i="8"/>
  <c r="AB86" i="8"/>
  <c r="AB87" i="8"/>
  <c r="AB88" i="8"/>
  <c r="AB89" i="8"/>
  <c r="AB90" i="8"/>
  <c r="AB24" i="8"/>
  <c r="AB108" i="8"/>
  <c r="AB882" i="8"/>
  <c r="AB877" i="8"/>
  <c r="AB113" i="8"/>
  <c r="AB883" i="8"/>
  <c r="AB120" i="8"/>
  <c r="AB878" i="8"/>
  <c r="AB884" i="8"/>
  <c r="AB964" i="8"/>
  <c r="AB965" i="8"/>
  <c r="AB966" i="8"/>
  <c r="AB967" i="8"/>
  <c r="AB968" i="8"/>
  <c r="AB969" i="8"/>
  <c r="AB167" i="8"/>
  <c r="AB168" i="8"/>
  <c r="AB169" i="8"/>
  <c r="AB170" i="8"/>
  <c r="AB171" i="8"/>
  <c r="AB980" i="8"/>
  <c r="AB981" i="8"/>
  <c r="AB172" i="8"/>
  <c r="AB970" i="8"/>
  <c r="AB971" i="8"/>
  <c r="AB972" i="8"/>
  <c r="AB973" i="8"/>
  <c r="AB974" i="8"/>
  <c r="AB975" i="8"/>
  <c r="AB976" i="8"/>
  <c r="AB977" i="8"/>
  <c r="AB978" i="8"/>
  <c r="AB979" i="8"/>
  <c r="AB173" i="8"/>
  <c r="AB174" i="8"/>
  <c r="AB175" i="8"/>
  <c r="AB176" i="8"/>
  <c r="AB177" i="8"/>
  <c r="AB178" i="8"/>
  <c r="AB982" i="8"/>
  <c r="AB983" i="8"/>
  <c r="AB984" i="8"/>
  <c r="AB985" i="8"/>
  <c r="AB986" i="8"/>
  <c r="AB148" i="8"/>
  <c r="AB149" i="8"/>
  <c r="AB150" i="8"/>
  <c r="AB151" i="8"/>
  <c r="AB179" i="8"/>
  <c r="AB180" i="8"/>
  <c r="AB152" i="8"/>
  <c r="AB153" i="8"/>
  <c r="AB154" i="8"/>
  <c r="AB155" i="8"/>
  <c r="AB156" i="8"/>
  <c r="AB160" i="8"/>
  <c r="AB161" i="8"/>
  <c r="AB187" i="8"/>
  <c r="AB987" i="8"/>
  <c r="AB988" i="8"/>
  <c r="AB989" i="8"/>
  <c r="AB183" i="8"/>
  <c r="AB182" i="8"/>
  <c r="AB990" i="8"/>
  <c r="AB992" i="8"/>
  <c r="AB1031" i="8"/>
  <c r="AB1032" i="8"/>
  <c r="AB190" i="8"/>
  <c r="AB991" i="8"/>
  <c r="AB1137" i="8"/>
  <c r="AB1138" i="8"/>
  <c r="AB1139" i="8"/>
  <c r="AB297" i="8"/>
  <c r="AB1144" i="8"/>
  <c r="AB1145" i="8"/>
  <c r="AB1146" i="8"/>
  <c r="AB1147" i="8"/>
  <c r="AB1148" i="8"/>
  <c r="AB1187" i="8"/>
  <c r="AB192" i="8"/>
  <c r="AB193" i="8"/>
  <c r="AB194" i="8"/>
  <c r="AB195" i="8"/>
  <c r="AB1197" i="8"/>
  <c r="AB1201" i="8"/>
  <c r="AB314" i="8"/>
  <c r="AB1188" i="8"/>
  <c r="AB1189" i="8"/>
  <c r="AB1190" i="8"/>
  <c r="AB196" i="8"/>
  <c r="AB1198" i="8"/>
  <c r="AB1150" i="8"/>
  <c r="AB1151" i="8"/>
  <c r="AB1199" i="8"/>
  <c r="AB1140" i="8"/>
  <c r="AB1141" i="8"/>
  <c r="AB1142" i="8"/>
  <c r="AB1143" i="8"/>
  <c r="AB197" i="8"/>
  <c r="AB198" i="8"/>
  <c r="AB1149" i="8"/>
  <c r="AB222" i="8"/>
  <c r="AB223" i="8"/>
  <c r="AB224" i="8"/>
  <c r="AB225" i="8"/>
  <c r="AB226" i="8"/>
  <c r="AB227" i="8"/>
  <c r="AB228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4" i="8"/>
  <c r="AB285" i="8"/>
  <c r="AB1152" i="8"/>
  <c r="AB1153" i="8"/>
  <c r="AB1154" i="8"/>
  <c r="AB1155" i="8"/>
  <c r="AB1156" i="8"/>
  <c r="AB286" i="8"/>
  <c r="AB1157" i="8"/>
  <c r="AB287" i="8"/>
  <c r="AB1218" i="8"/>
  <c r="AB288" i="8"/>
  <c r="AB289" i="8"/>
  <c r="AB290" i="8"/>
  <c r="AB291" i="8"/>
  <c r="AB292" i="8"/>
  <c r="AB1202" i="8"/>
  <c r="AB1203" i="8"/>
  <c r="AB1204" i="8"/>
  <c r="AB1205" i="8"/>
  <c r="AB1206" i="8"/>
  <c r="AB1193" i="8"/>
  <c r="AB1196" i="8"/>
  <c r="AB293" i="8"/>
  <c r="AB294" i="8"/>
  <c r="AB1207" i="8"/>
  <c r="AB315" i="8"/>
  <c r="AB1159" i="8"/>
  <c r="AB1160" i="8"/>
  <c r="AB1161" i="8"/>
  <c r="AB1162" i="8"/>
  <c r="AB1163" i="8"/>
  <c r="AB1164" i="8"/>
  <c r="AB1165" i="8"/>
  <c r="AB295" i="8"/>
  <c r="AB1166" i="8"/>
  <c r="AB1167" i="8"/>
  <c r="AB1168" i="8"/>
  <c r="AB1169" i="8"/>
  <c r="AB1170" i="8"/>
  <c r="AB1171" i="8"/>
  <c r="AB1172" i="8"/>
  <c r="AB1194" i="8"/>
  <c r="AB1216" i="8"/>
  <c r="AB316" i="8"/>
  <c r="AB1217" i="8"/>
  <c r="AB1173" i="8"/>
  <c r="AB1174" i="8"/>
  <c r="AB1175" i="8"/>
  <c r="AB1176" i="8"/>
  <c r="AB1177" i="8"/>
  <c r="AB1178" i="8"/>
  <c r="AB1179" i="8"/>
  <c r="AB1180" i="8"/>
  <c r="AB1181" i="8"/>
  <c r="AB1182" i="8"/>
  <c r="AB1183" i="8"/>
  <c r="AB1184" i="8"/>
  <c r="AB1185" i="8"/>
  <c r="AB1210" i="8"/>
  <c r="AB296" i="8"/>
  <c r="AB1211" i="8"/>
  <c r="AB1212" i="8"/>
  <c r="AB310" i="8"/>
  <c r="AB1213" i="8"/>
  <c r="AB1186" i="8"/>
  <c r="AB201" i="8"/>
  <c r="AB202" i="8"/>
  <c r="AB312" i="8"/>
  <c r="AB203" i="8"/>
  <c r="AB200" i="8"/>
  <c r="AB1208" i="8"/>
  <c r="AB1209" i="8"/>
  <c r="AB204" i="8"/>
  <c r="AB205" i="8"/>
  <c r="AB206" i="8"/>
  <c r="AB1158" i="8"/>
  <c r="AB207" i="8"/>
  <c r="AB1215" i="8"/>
  <c r="AB209" i="8"/>
  <c r="AB210" i="8"/>
  <c r="AB211" i="8"/>
  <c r="AB212" i="8"/>
  <c r="AB213" i="8"/>
  <c r="AB214" i="8"/>
  <c r="AB215" i="8"/>
  <c r="AB216" i="8"/>
  <c r="AB217" i="8"/>
  <c r="AB199" i="8"/>
  <c r="AB1200" i="8"/>
  <c r="AB319" i="8"/>
  <c r="AB109" i="8"/>
  <c r="AB220" i="8"/>
  <c r="AB1191" i="8"/>
  <c r="AB1192" i="8"/>
  <c r="AB321" i="8"/>
  <c r="AB1195" i="8"/>
  <c r="AB324" i="8"/>
  <c r="AB325" i="8"/>
  <c r="AB326" i="8"/>
  <c r="AB327" i="8"/>
  <c r="AB328" i="8"/>
  <c r="AB329" i="8"/>
  <c r="AB330" i="8"/>
  <c r="AB331" i="8"/>
  <c r="AB332" i="8"/>
  <c r="AB1253" i="8"/>
  <c r="AB1254" i="8"/>
  <c r="AB1255" i="8"/>
  <c r="AB1256" i="8"/>
  <c r="AB1257" i="8"/>
  <c r="AB1258" i="8"/>
  <c r="AB1259" i="8"/>
  <c r="AB1261" i="8"/>
  <c r="AB1260" i="8"/>
  <c r="AB333" i="8"/>
  <c r="AB1374" i="8"/>
  <c r="AB1371" i="8"/>
  <c r="AB339" i="8"/>
  <c r="AB1331" i="8"/>
  <c r="AB1332" i="8"/>
  <c r="AB1333" i="8"/>
  <c r="AB1334" i="8"/>
  <c r="AB1335" i="8"/>
  <c r="AB1336" i="8"/>
  <c r="AB1337" i="8"/>
  <c r="AB1338" i="8"/>
  <c r="AB1339" i="8"/>
  <c r="AB1340" i="8"/>
  <c r="AB1341" i="8"/>
  <c r="AB1342" i="8"/>
  <c r="AB1343" i="8"/>
  <c r="AB1344" i="8"/>
  <c r="AB1345" i="8"/>
  <c r="AB1346" i="8"/>
  <c r="AB1347" i="8"/>
  <c r="AB1348" i="8"/>
  <c r="AB1349" i="8"/>
  <c r="AB1350" i="8"/>
  <c r="AB350" i="8"/>
  <c r="AB1351" i="8"/>
  <c r="AB351" i="8"/>
  <c r="AB352" i="8"/>
  <c r="AB353" i="8"/>
  <c r="AB354" i="8"/>
  <c r="AB355" i="8"/>
  <c r="AB356" i="8"/>
  <c r="AB1352" i="8"/>
  <c r="AB1353" i="8"/>
  <c r="AB1354" i="8"/>
  <c r="AB1355" i="8"/>
  <c r="AB357" i="8"/>
  <c r="AB358" i="8"/>
  <c r="AB359" i="8"/>
  <c r="AB360" i="8"/>
  <c r="AB361" i="8"/>
  <c r="AB362" i="8"/>
  <c r="AB1356" i="8"/>
  <c r="AB1357" i="8"/>
  <c r="AB1358" i="8"/>
  <c r="AB1359" i="8"/>
  <c r="AB363" i="8"/>
  <c r="AB364" i="8"/>
  <c r="AB367" i="8"/>
  <c r="AB368" i="8"/>
  <c r="AB369" i="8"/>
  <c r="AB370" i="8"/>
  <c r="AB371" i="8"/>
  <c r="AB372" i="8"/>
  <c r="AB373" i="8"/>
  <c r="AB374" i="8"/>
  <c r="AB375" i="8"/>
  <c r="AB1372" i="8"/>
  <c r="AB376" i="8"/>
  <c r="AB377" i="8"/>
  <c r="AB1360" i="8"/>
  <c r="AB1361" i="8"/>
  <c r="AB1362" i="8"/>
  <c r="AB1363" i="8"/>
  <c r="AB378" i="8"/>
  <c r="AB379" i="8"/>
  <c r="AB380" i="8"/>
  <c r="AB1364" i="8"/>
  <c r="AB1365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1373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1366" i="8"/>
  <c r="AB424" i="8"/>
  <c r="AB425" i="8"/>
  <c r="AB426" i="8"/>
  <c r="AB428" i="8"/>
  <c r="AB429" i="8"/>
  <c r="AB1367" i="8"/>
  <c r="AB430" i="8"/>
  <c r="AB1368" i="8"/>
  <c r="AB1369" i="8"/>
  <c r="AB432" i="8"/>
  <c r="AB433" i="8"/>
  <c r="AB434" i="8"/>
  <c r="AB1370" i="8"/>
  <c r="AB347" i="8"/>
  <c r="AB422" i="8"/>
  <c r="AB423" i="8"/>
  <c r="AB435" i="8"/>
  <c r="AB442" i="8"/>
  <c r="AB1376" i="8"/>
  <c r="AB443" i="8"/>
  <c r="AB444" i="8"/>
  <c r="AB445" i="8"/>
  <c r="AB446" i="8"/>
  <c r="AB1377" i="8"/>
  <c r="AB447" i="8"/>
  <c r="AB452" i="8"/>
  <c r="AB453" i="8"/>
  <c r="AB454" i="8"/>
  <c r="AB1405" i="8"/>
  <c r="AB1406" i="8"/>
  <c r="AB1413" i="8"/>
  <c r="AB1414" i="8"/>
  <c r="AB1409" i="8"/>
  <c r="AB1410" i="8"/>
  <c r="AB1407" i="8"/>
  <c r="AB1411" i="8"/>
  <c r="AB1408" i="8"/>
  <c r="AB1412" i="8"/>
  <c r="AB455" i="8"/>
  <c r="AB456" i="8"/>
  <c r="AB457" i="8"/>
  <c r="AB458" i="8"/>
  <c r="AB459" i="8"/>
  <c r="AB460" i="8"/>
  <c r="AB461" i="8"/>
  <c r="AB462" i="8"/>
  <c r="AB468" i="8"/>
  <c r="AB469" i="8"/>
  <c r="AB470" i="8"/>
  <c r="AB467" i="8"/>
  <c r="AB473" i="8"/>
  <c r="AB472" i="8"/>
  <c r="AB1416" i="8"/>
  <c r="AB1415" i="8"/>
  <c r="AB1497" i="8"/>
  <c r="AB1498" i="8"/>
  <c r="AB1499" i="8"/>
  <c r="AB1500" i="8"/>
  <c r="AB1501" i="8"/>
  <c r="AB475" i="8"/>
  <c r="AB477" i="8"/>
  <c r="AB476" i="8"/>
  <c r="AB478" i="8"/>
  <c r="AB479" i="8"/>
  <c r="AB1548" i="8"/>
  <c r="AB481" i="8"/>
  <c r="AB1541" i="8"/>
  <c r="AB1542" i="8"/>
  <c r="AB1543" i="8"/>
  <c r="AB1544" i="8"/>
  <c r="AB1545" i="8"/>
  <c r="AB482" i="8"/>
  <c r="AB483" i="8"/>
  <c r="AB484" i="8"/>
  <c r="AB485" i="8"/>
  <c r="AB486" i="8"/>
  <c r="AB487" i="8"/>
  <c r="AB488" i="8"/>
  <c r="AB504" i="8"/>
  <c r="AB1546" i="8"/>
  <c r="AB1547" i="8"/>
  <c r="AB489" i="8"/>
  <c r="AB508" i="8"/>
  <c r="AB1569" i="8"/>
  <c r="AB1570" i="8"/>
  <c r="AB1571" i="8"/>
  <c r="AB519" i="8"/>
  <c r="AB1587" i="8"/>
  <c r="AB520" i="8"/>
  <c r="AB521" i="8"/>
  <c r="AB1572" i="8"/>
  <c r="AB522" i="8"/>
  <c r="AB1586" i="8"/>
  <c r="AB523" i="8"/>
  <c r="AB524" i="8"/>
  <c r="AB525" i="8"/>
  <c r="AB526" i="8"/>
  <c r="AB527" i="8"/>
  <c r="AB1573" i="8"/>
  <c r="AB1574" i="8"/>
  <c r="AB1575" i="8"/>
  <c r="AB528" i="8"/>
  <c r="AB529" i="8"/>
  <c r="AB530" i="8"/>
  <c r="AB531" i="8"/>
  <c r="AB532" i="8"/>
  <c r="AB533" i="8"/>
  <c r="AB534" i="8"/>
  <c r="AB1583" i="8"/>
  <c r="AB1584" i="8"/>
  <c r="AB545" i="8"/>
  <c r="AB535" i="8"/>
  <c r="AB536" i="8"/>
  <c r="AB537" i="8"/>
  <c r="AB543" i="8"/>
  <c r="AB1577" i="8"/>
  <c r="AB538" i="8"/>
  <c r="AB540" i="8"/>
  <c r="AB1582" i="8"/>
  <c r="AB1579" i="8"/>
  <c r="AB541" i="8"/>
  <c r="AB1576" i="8"/>
  <c r="AB539" i="8"/>
  <c r="AB1580" i="8"/>
  <c r="AB128" i="8"/>
  <c r="AB129" i="8"/>
  <c r="AB1581" i="8"/>
  <c r="AB1578" i="8"/>
  <c r="AB1588" i="8"/>
  <c r="AB549" i="8"/>
  <c r="AB555" i="8"/>
  <c r="AB1614" i="8"/>
  <c r="AB1615" i="8"/>
  <c r="AB1616" i="8"/>
  <c r="AB557" i="8"/>
  <c r="AB558" i="8"/>
  <c r="AB560" i="8"/>
  <c r="AB561" i="8"/>
  <c r="AB562" i="8"/>
  <c r="AB563" i="8"/>
  <c r="AB564" i="8"/>
  <c r="AB565" i="8"/>
  <c r="AB566" i="8"/>
  <c r="AB567" i="8"/>
  <c r="AB568" i="8"/>
  <c r="AB1609" i="8"/>
  <c r="AB1610" i="8"/>
  <c r="AB1611" i="8"/>
  <c r="AB1612" i="8"/>
  <c r="AB1613" i="8"/>
  <c r="AB569" i="8"/>
  <c r="AB570" i="8"/>
  <c r="AB571" i="8"/>
  <c r="AB572" i="8"/>
  <c r="AB573" i="8"/>
  <c r="AB574" i="8"/>
  <c r="AB575" i="8"/>
  <c r="AB576" i="8"/>
  <c r="AB577" i="8"/>
  <c r="AB578" i="8"/>
  <c r="AB579" i="8"/>
  <c r="AB583" i="8"/>
  <c r="AB585" i="8"/>
  <c r="AB586" i="8"/>
  <c r="AB590" i="8"/>
  <c r="AB594" i="8"/>
  <c r="AB592" i="8"/>
  <c r="AB593" i="8"/>
  <c r="AB588" i="8"/>
  <c r="AB587" i="8"/>
  <c r="AB596" i="8"/>
  <c r="AB597" i="8"/>
  <c r="AB598" i="8"/>
  <c r="AB599" i="8"/>
  <c r="AB600" i="8"/>
  <c r="AB601" i="8"/>
  <c r="AB602" i="8"/>
  <c r="AB603" i="8"/>
  <c r="AB605" i="8"/>
  <c r="AB606" i="8"/>
  <c r="AB607" i="8"/>
  <c r="AB608" i="8"/>
  <c r="AB609" i="8"/>
  <c r="AB610" i="8"/>
  <c r="AB611" i="8"/>
  <c r="AB612" i="8"/>
  <c r="AB604" i="8"/>
  <c r="AB614" i="8"/>
  <c r="AB615" i="8"/>
  <c r="AB616" i="8"/>
  <c r="AB617" i="8"/>
  <c r="AB618" i="8"/>
  <c r="AB619" i="8"/>
  <c r="AB620" i="8"/>
  <c r="AB621" i="8"/>
  <c r="AB622" i="8"/>
  <c r="AB623" i="8"/>
  <c r="AB1617" i="8"/>
  <c r="AB1619" i="8"/>
  <c r="AB675" i="8"/>
  <c r="AB667" i="8"/>
  <c r="AB662" i="8"/>
  <c r="AB668" i="8"/>
  <c r="AB663" i="8"/>
  <c r="AB666" i="8"/>
  <c r="AB647" i="8"/>
  <c r="AB648" i="8"/>
  <c r="AB624" i="8"/>
  <c r="AB625" i="8"/>
  <c r="AB626" i="8"/>
  <c r="AB627" i="8"/>
  <c r="AB642" i="8"/>
  <c r="AB660" i="8"/>
  <c r="AB661" i="8"/>
  <c r="AB674" i="8"/>
  <c r="AB691" i="8"/>
  <c r="AB692" i="8"/>
  <c r="AB693" i="8"/>
  <c r="AB694" i="8"/>
  <c r="AB695" i="8"/>
  <c r="AB696" i="8"/>
  <c r="AB697" i="8"/>
  <c r="AB698" i="8"/>
  <c r="AB699" i="8"/>
  <c r="AB700" i="8"/>
  <c r="AB701" i="8"/>
  <c r="AB702" i="8"/>
  <c r="AB1621" i="8"/>
  <c r="AB723" i="8"/>
  <c r="AB724" i="8"/>
  <c r="AB725" i="8"/>
  <c r="AB726" i="8"/>
  <c r="AB729" i="8"/>
  <c r="AB730" i="8"/>
  <c r="AB731" i="8"/>
  <c r="AB732" i="8"/>
  <c r="AB733" i="8"/>
  <c r="AB736" i="8"/>
  <c r="AB737" i="8"/>
  <c r="AB738" i="8"/>
  <c r="AB739" i="8"/>
  <c r="AB740" i="8"/>
  <c r="AB741" i="8"/>
  <c r="AB742" i="8"/>
  <c r="AB743" i="8"/>
  <c r="AB744" i="8"/>
  <c r="AB745" i="8"/>
  <c r="AB746" i="8"/>
  <c r="AB747" i="8"/>
  <c r="AB748" i="8"/>
  <c r="AB749" i="8"/>
  <c r="AB750" i="8"/>
  <c r="AB751" i="8"/>
  <c r="AB752" i="8"/>
  <c r="AB753" i="8"/>
  <c r="AB754" i="8"/>
  <c r="AB755" i="8"/>
  <c r="AB756" i="8"/>
  <c r="AB757" i="8"/>
  <c r="AB758" i="8"/>
  <c r="AB759" i="8"/>
  <c r="AB760" i="8"/>
  <c r="AB761" i="8"/>
  <c r="AB762" i="8"/>
  <c r="AB763" i="8"/>
  <c r="AB764" i="8"/>
  <c r="AB765" i="8"/>
  <c r="AB766" i="8"/>
  <c r="AB767" i="8"/>
  <c r="AB768" i="8"/>
  <c r="AB769" i="8"/>
  <c r="AB770" i="8"/>
  <c r="AB771" i="8"/>
  <c r="AB772" i="8"/>
  <c r="AB773" i="8"/>
  <c r="AB774" i="8"/>
  <c r="AB775" i="8"/>
  <c r="AB776" i="8"/>
  <c r="AB777" i="8"/>
  <c r="AB778" i="8"/>
  <c r="AB779" i="8"/>
  <c r="AB780" i="8"/>
  <c r="AB781" i="8"/>
  <c r="AB782" i="8"/>
  <c r="AB783" i="8"/>
  <c r="AB784" i="8"/>
  <c r="AB785" i="8"/>
  <c r="AB786" i="8"/>
  <c r="AB787" i="8"/>
  <c r="AB788" i="8"/>
  <c r="AB789" i="8"/>
  <c r="AB790" i="8"/>
  <c r="AB791" i="8"/>
  <c r="AB792" i="8"/>
  <c r="AB793" i="8"/>
  <c r="AB794" i="8"/>
  <c r="AB795" i="8"/>
  <c r="AB796" i="8"/>
  <c r="AB797" i="8"/>
  <c r="AB798" i="8"/>
  <c r="AB799" i="8"/>
  <c r="AB800" i="8"/>
  <c r="AB801" i="8"/>
  <c r="AB802" i="8"/>
  <c r="AB803" i="8"/>
  <c r="AB804" i="8"/>
  <c r="AB805" i="8"/>
  <c r="AB806" i="8"/>
  <c r="AB807" i="8"/>
  <c r="AB808" i="8"/>
  <c r="AB809" i="8"/>
  <c r="AB810" i="8"/>
  <c r="AB811" i="8"/>
  <c r="AB812" i="8"/>
  <c r="AB813" i="8"/>
  <c r="AB814" i="8"/>
  <c r="AB815" i="8"/>
  <c r="AB816" i="8"/>
  <c r="AB817" i="8"/>
  <c r="AB818" i="8"/>
  <c r="AB819" i="8"/>
  <c r="AB820" i="8"/>
  <c r="AB821" i="8"/>
  <c r="AB822" i="8"/>
  <c r="AB823" i="8"/>
  <c r="AB824" i="8"/>
  <c r="AB826" i="8"/>
  <c r="AB827" i="8"/>
  <c r="AB828" i="8"/>
  <c r="AB829" i="8"/>
  <c r="AB830" i="8"/>
  <c r="AB831" i="8"/>
  <c r="AB832" i="8"/>
  <c r="AB833" i="8"/>
  <c r="AB834" i="8"/>
  <c r="AB835" i="8"/>
  <c r="AB836" i="8"/>
  <c r="AB889" i="8"/>
  <c r="AB890" i="8"/>
  <c r="AB891" i="8"/>
  <c r="AB892" i="8"/>
  <c r="AB893" i="8"/>
  <c r="AB894" i="8"/>
  <c r="AB895" i="8"/>
  <c r="AB896" i="8"/>
  <c r="AB897" i="8"/>
  <c r="AB898" i="8"/>
  <c r="AB899" i="8"/>
  <c r="AB900" i="8"/>
  <c r="AB901" i="8"/>
  <c r="AB902" i="8"/>
  <c r="AB903" i="8"/>
  <c r="AB906" i="8"/>
  <c r="AB907" i="8"/>
  <c r="AB908" i="8"/>
  <c r="AB909" i="8"/>
  <c r="AB910" i="8"/>
  <c r="AB911" i="8"/>
  <c r="AB912" i="8"/>
  <c r="AB913" i="8"/>
  <c r="AB914" i="8"/>
  <c r="AB915" i="8"/>
  <c r="AB916" i="8"/>
  <c r="AB917" i="8"/>
  <c r="AB918" i="8"/>
  <c r="AB919" i="8"/>
  <c r="AB920" i="8"/>
  <c r="AB921" i="8"/>
  <c r="AB922" i="8"/>
  <c r="AB923" i="8"/>
  <c r="AB924" i="8"/>
  <c r="AB925" i="8"/>
  <c r="AB926" i="8"/>
  <c r="AB927" i="8"/>
  <c r="AB928" i="8"/>
  <c r="AB929" i="8"/>
  <c r="AB930" i="8"/>
  <c r="AB931" i="8"/>
  <c r="AB932" i="8"/>
  <c r="AB933" i="8"/>
  <c r="AB934" i="8"/>
  <c r="AB935" i="8"/>
  <c r="AB936" i="8"/>
  <c r="AB937" i="8"/>
  <c r="AB938" i="8"/>
  <c r="AB939" i="8"/>
  <c r="AB940" i="8"/>
  <c r="AB941" i="8"/>
  <c r="AB942" i="8"/>
  <c r="AB943" i="8"/>
  <c r="AB944" i="8"/>
  <c r="AB945" i="8"/>
  <c r="AB946" i="8"/>
  <c r="AB947" i="8"/>
  <c r="AB948" i="8"/>
  <c r="AB949" i="8"/>
  <c r="AB950" i="8"/>
  <c r="AB951" i="8"/>
  <c r="AB952" i="8"/>
  <c r="AB953" i="8"/>
  <c r="AB954" i="8"/>
  <c r="AB955" i="8"/>
  <c r="AB956" i="8"/>
  <c r="AB957" i="8"/>
  <c r="AB958" i="8"/>
  <c r="AB959" i="8"/>
  <c r="AB960" i="8"/>
  <c r="AB961" i="8"/>
  <c r="AB184" i="8"/>
  <c r="AB962" i="8"/>
  <c r="AB963" i="8"/>
  <c r="AB993" i="8"/>
  <c r="AB994" i="8"/>
  <c r="AB995" i="8"/>
  <c r="AB996" i="8"/>
  <c r="AB997" i="8"/>
  <c r="AB998" i="8"/>
  <c r="AB999" i="8"/>
  <c r="AB1000" i="8"/>
  <c r="AB1001" i="8"/>
  <c r="AB1002" i="8"/>
  <c r="AB1003" i="8"/>
  <c r="AB1004" i="8"/>
  <c r="AB1005" i="8"/>
  <c r="AB1006" i="8"/>
  <c r="AB1007" i="8"/>
  <c r="AB1008" i="8"/>
  <c r="AB1009" i="8"/>
  <c r="AB1010" i="8"/>
  <c r="AB1011" i="8"/>
  <c r="AB1012" i="8"/>
  <c r="AB1013" i="8"/>
  <c r="AB1014" i="8"/>
  <c r="AB1015" i="8"/>
  <c r="AB1016" i="8"/>
  <c r="AB1017" i="8"/>
  <c r="AB1018" i="8"/>
  <c r="AB1019" i="8"/>
  <c r="AB1020" i="8"/>
  <c r="AB1021" i="8"/>
  <c r="AB1022" i="8"/>
  <c r="AB1023" i="8"/>
  <c r="AB1024" i="8"/>
  <c r="AB1025" i="8"/>
  <c r="AB1026" i="8"/>
  <c r="AB1027" i="8"/>
  <c r="AB1028" i="8"/>
  <c r="AB1029" i="8"/>
  <c r="AB1030" i="8"/>
  <c r="AB1033" i="8"/>
  <c r="AB1034" i="8"/>
  <c r="AB1035" i="8"/>
  <c r="AB1036" i="8"/>
  <c r="AB1037" i="8"/>
  <c r="AB1038" i="8"/>
  <c r="AB1039" i="8"/>
  <c r="AB1040" i="8"/>
  <c r="AB1041" i="8"/>
  <c r="AB1042" i="8"/>
  <c r="AB1043" i="8"/>
  <c r="AB1044" i="8"/>
  <c r="AB1045" i="8"/>
  <c r="AB1046" i="8"/>
  <c r="AB1047" i="8"/>
  <c r="AB1048" i="8"/>
  <c r="AB1049" i="8"/>
  <c r="AB1050" i="8"/>
  <c r="AB1051" i="8"/>
  <c r="AB1052" i="8"/>
  <c r="AB1053" i="8"/>
  <c r="AB1054" i="8"/>
  <c r="AB1055" i="8"/>
  <c r="AB1056" i="8"/>
  <c r="AB1057" i="8"/>
  <c r="AB1058" i="8"/>
  <c r="AB1059" i="8"/>
  <c r="AB1060" i="8"/>
  <c r="AB1061" i="8"/>
  <c r="AB1062" i="8"/>
  <c r="AB1063" i="8"/>
  <c r="AB1064" i="8"/>
  <c r="AB1065" i="8"/>
  <c r="AB1066" i="8"/>
  <c r="AB1067" i="8"/>
  <c r="AB1068" i="8"/>
  <c r="AB1069" i="8"/>
  <c r="AB1070" i="8"/>
  <c r="AB1071" i="8"/>
  <c r="AB1072" i="8"/>
  <c r="AB1073" i="8"/>
  <c r="AB1074" i="8"/>
  <c r="AB1075" i="8"/>
  <c r="AB1076" i="8"/>
  <c r="AB1077" i="8"/>
  <c r="AB1078" i="8"/>
  <c r="AB1079" i="8"/>
  <c r="AB1080" i="8"/>
  <c r="AB1081" i="8"/>
  <c r="AB1082" i="8"/>
  <c r="AB1083" i="8"/>
  <c r="AB1084" i="8"/>
  <c r="AB1085" i="8"/>
  <c r="AB1086" i="8"/>
  <c r="AB1087" i="8"/>
  <c r="AB1088" i="8"/>
  <c r="AB1089" i="8"/>
  <c r="AB1090" i="8"/>
  <c r="AB1091" i="8"/>
  <c r="AB1092" i="8"/>
  <c r="AB1093" i="8"/>
  <c r="AB1094" i="8"/>
  <c r="AB1095" i="8"/>
  <c r="AB1096" i="8"/>
  <c r="AB1097" i="8"/>
  <c r="AB1098" i="8"/>
  <c r="AB1099" i="8"/>
  <c r="AB1100" i="8"/>
  <c r="AB1101" i="8"/>
  <c r="AB1102" i="8"/>
  <c r="AB1103" i="8"/>
  <c r="AB1104" i="8"/>
  <c r="AB1105" i="8"/>
  <c r="AB1106" i="8"/>
  <c r="AB1107" i="8"/>
  <c r="AB1108" i="8"/>
  <c r="AB1109" i="8"/>
  <c r="AB1110" i="8"/>
  <c r="AB1111" i="8"/>
  <c r="AB1112" i="8"/>
  <c r="AB1113" i="8"/>
  <c r="AB1114" i="8"/>
  <c r="AB1115" i="8"/>
  <c r="AB1116" i="8"/>
  <c r="AB1117" i="8"/>
  <c r="AB1118" i="8"/>
  <c r="AB1119" i="8"/>
  <c r="AB1120" i="8"/>
  <c r="AB1121" i="8"/>
  <c r="AB1122" i="8"/>
  <c r="AB1123" i="8"/>
  <c r="AB1124" i="8"/>
  <c r="AB1125" i="8"/>
  <c r="AB1126" i="8"/>
  <c r="AB1127" i="8"/>
  <c r="AB1128" i="8"/>
  <c r="AB1129" i="8"/>
  <c r="AB1130" i="8"/>
  <c r="AB1131" i="8"/>
  <c r="AB1132" i="8"/>
  <c r="AB1133" i="8"/>
  <c r="AB1134" i="8"/>
  <c r="AB1135" i="8"/>
  <c r="AB1136" i="8"/>
  <c r="AB1220" i="8"/>
  <c r="AB1221" i="8"/>
  <c r="AB1222" i="8"/>
  <c r="AB1223" i="8"/>
  <c r="AB1224" i="8"/>
  <c r="AB1225" i="8"/>
  <c r="AB1226" i="8"/>
  <c r="AB1227" i="8"/>
  <c r="AB1228" i="8"/>
  <c r="AB1229" i="8"/>
  <c r="AB1230" i="8"/>
  <c r="AB1231" i="8"/>
  <c r="AB1232" i="8"/>
  <c r="AB1233" i="8"/>
  <c r="AB1234" i="8"/>
  <c r="AB1235" i="8"/>
  <c r="AB1236" i="8"/>
  <c r="AB1237" i="8"/>
  <c r="AB1238" i="8"/>
  <c r="AB1239" i="8"/>
  <c r="AB1240" i="8"/>
  <c r="AB1241" i="8"/>
  <c r="AB1242" i="8"/>
  <c r="AB1243" i="8"/>
  <c r="AB1244" i="8"/>
  <c r="AB1245" i="8"/>
  <c r="AB1246" i="8"/>
  <c r="AB1247" i="8"/>
  <c r="AB1248" i="8"/>
  <c r="AB1249" i="8"/>
  <c r="AB1250" i="8"/>
  <c r="AB1251" i="8"/>
  <c r="AB1252" i="8"/>
  <c r="AB1262" i="8"/>
  <c r="AB1263" i="8"/>
  <c r="AB1264" i="8"/>
  <c r="AB1265" i="8"/>
  <c r="AB1266" i="8"/>
  <c r="AB1267" i="8"/>
  <c r="AB1268" i="8"/>
  <c r="AB1269" i="8"/>
  <c r="AB1270" i="8"/>
  <c r="AB1271" i="8"/>
  <c r="AB1272" i="8"/>
  <c r="AB1273" i="8"/>
  <c r="AB1274" i="8"/>
  <c r="AB1275" i="8"/>
  <c r="AB1276" i="8"/>
  <c r="AB1277" i="8"/>
  <c r="AB1278" i="8"/>
  <c r="AB1279" i="8"/>
  <c r="AB1280" i="8"/>
  <c r="AB1281" i="8"/>
  <c r="AB1282" i="8"/>
  <c r="AB1283" i="8"/>
  <c r="AB1284" i="8"/>
  <c r="AB1285" i="8"/>
  <c r="AB1286" i="8"/>
  <c r="AB1287" i="8"/>
  <c r="AB1288" i="8"/>
  <c r="AB1289" i="8"/>
  <c r="AB1290" i="8"/>
  <c r="AB1291" i="8"/>
  <c r="AB1292" i="8"/>
  <c r="AB1293" i="8"/>
  <c r="AB1294" i="8"/>
  <c r="AB1295" i="8"/>
  <c r="AB1296" i="8"/>
  <c r="AB1297" i="8"/>
  <c r="AB1298" i="8"/>
  <c r="AB1299" i="8"/>
  <c r="AB1300" i="8"/>
  <c r="AB1301" i="8"/>
  <c r="AB1302" i="8"/>
  <c r="AB1303" i="8"/>
  <c r="AB1304" i="8"/>
  <c r="AB1305" i="8"/>
  <c r="AB1306" i="8"/>
  <c r="AB1307" i="8"/>
  <c r="AB1308" i="8"/>
  <c r="AB1309" i="8"/>
  <c r="AB1310" i="8"/>
  <c r="AB1311" i="8"/>
  <c r="AB1312" i="8"/>
  <c r="AB1313" i="8"/>
  <c r="AB1314" i="8"/>
  <c r="AB1315" i="8"/>
  <c r="AB1316" i="8"/>
  <c r="AB1317" i="8"/>
  <c r="AB1318" i="8"/>
  <c r="AB1319" i="8"/>
  <c r="AB1320" i="8"/>
  <c r="AB1321" i="8"/>
  <c r="AB1322" i="8"/>
  <c r="AB1323" i="8"/>
  <c r="AB1324" i="8"/>
  <c r="AB1325" i="8"/>
  <c r="AB1326" i="8"/>
  <c r="AB1327" i="8"/>
  <c r="AB1328" i="8"/>
  <c r="AB1329" i="8"/>
  <c r="AB1330" i="8"/>
  <c r="AB1378" i="8"/>
  <c r="AB1379" i="8"/>
  <c r="AB1380" i="8"/>
  <c r="AB1381" i="8"/>
  <c r="AB1382" i="8"/>
  <c r="AB1383" i="8"/>
  <c r="AB1384" i="8"/>
  <c r="AB1385" i="8"/>
  <c r="AB1386" i="8"/>
  <c r="AB1387" i="8"/>
  <c r="AB1388" i="8"/>
  <c r="AB1389" i="8"/>
  <c r="AB1390" i="8"/>
  <c r="AB1391" i="8"/>
  <c r="AB1392" i="8"/>
  <c r="AB1393" i="8"/>
  <c r="AB1394" i="8"/>
  <c r="AB1395" i="8"/>
  <c r="AB1396" i="8"/>
  <c r="AB1397" i="8"/>
  <c r="AB1398" i="8"/>
  <c r="AB1399" i="8"/>
  <c r="AB1400" i="8"/>
  <c r="AB1401" i="8"/>
  <c r="AB1402" i="8"/>
  <c r="AB1403" i="8"/>
  <c r="AB1404" i="8"/>
  <c r="AB1417" i="8"/>
  <c r="AB1418" i="8"/>
  <c r="AB1419" i="8"/>
  <c r="AB1420" i="8"/>
  <c r="AB1421" i="8"/>
  <c r="AB1422" i="8"/>
  <c r="AB1423" i="8"/>
  <c r="AB1424" i="8"/>
  <c r="AB1425" i="8"/>
  <c r="AB1426" i="8"/>
  <c r="AB1427" i="8"/>
  <c r="AB1428" i="8"/>
  <c r="AB1429" i="8"/>
  <c r="AB1430" i="8"/>
  <c r="AB1431" i="8"/>
  <c r="AB1432" i="8"/>
  <c r="AB1433" i="8"/>
  <c r="AB1434" i="8"/>
  <c r="AB1435" i="8"/>
  <c r="AB1436" i="8"/>
  <c r="AB1437" i="8"/>
  <c r="AB1438" i="8"/>
  <c r="AB1439" i="8"/>
  <c r="AB1440" i="8"/>
  <c r="AB1441" i="8"/>
  <c r="AB1442" i="8"/>
  <c r="AB1443" i="8"/>
  <c r="AB1444" i="8"/>
  <c r="AB1445" i="8"/>
  <c r="AB1446" i="8"/>
  <c r="AB1447" i="8"/>
  <c r="AB1448" i="8"/>
  <c r="AB1449" i="8"/>
  <c r="AB1450" i="8"/>
  <c r="AB1451" i="8"/>
  <c r="AB1452" i="8"/>
  <c r="AB1453" i="8"/>
  <c r="AB1454" i="8"/>
  <c r="AB1455" i="8"/>
  <c r="AB1456" i="8"/>
  <c r="AB1457" i="8"/>
  <c r="AB1458" i="8"/>
  <c r="AB1459" i="8"/>
  <c r="AB1460" i="8"/>
  <c r="AB1461" i="8"/>
  <c r="AB1462" i="8"/>
  <c r="AB1463" i="8"/>
  <c r="AB1464" i="8"/>
  <c r="AB1465" i="8"/>
  <c r="AB1466" i="8"/>
  <c r="AB1467" i="8"/>
  <c r="AB1468" i="8"/>
  <c r="AB1469" i="8"/>
  <c r="AB1470" i="8"/>
  <c r="AB1471" i="8"/>
  <c r="AB1472" i="8"/>
  <c r="AB1473" i="8"/>
  <c r="AB1474" i="8"/>
  <c r="AB1475" i="8"/>
  <c r="AB1476" i="8"/>
  <c r="AB1477" i="8"/>
  <c r="AB1478" i="8"/>
  <c r="AB1479" i="8"/>
  <c r="AB1480" i="8"/>
  <c r="AB1481" i="8"/>
  <c r="AB1482" i="8"/>
  <c r="AB1483" i="8"/>
  <c r="AB1484" i="8"/>
  <c r="AB1485" i="8"/>
  <c r="AB1486" i="8"/>
  <c r="AB1487" i="8"/>
  <c r="AB1488" i="8"/>
  <c r="AB1489" i="8"/>
  <c r="AB1490" i="8"/>
  <c r="AB1491" i="8"/>
  <c r="AB1492" i="8"/>
  <c r="AB1493" i="8"/>
  <c r="AB1494" i="8"/>
  <c r="AB1495" i="8"/>
  <c r="AB1496" i="8"/>
  <c r="AB1502" i="8"/>
  <c r="AB1503" i="8"/>
  <c r="AB1504" i="8"/>
  <c r="AB1505" i="8"/>
  <c r="AB1506" i="8"/>
  <c r="AB1507" i="8"/>
  <c r="AB1508" i="8"/>
  <c r="AB1509" i="8"/>
  <c r="AB1510" i="8"/>
  <c r="AB1511" i="8"/>
  <c r="AB1512" i="8"/>
  <c r="AB1513" i="8"/>
  <c r="AB1514" i="8"/>
  <c r="AB1515" i="8"/>
  <c r="AB1516" i="8"/>
  <c r="AB1517" i="8"/>
  <c r="AB1518" i="8"/>
  <c r="AB1519" i="8"/>
  <c r="AB1520" i="8"/>
  <c r="AB1521" i="8"/>
  <c r="AB1522" i="8"/>
  <c r="AB1523" i="8"/>
  <c r="AB1524" i="8"/>
  <c r="AB1525" i="8"/>
  <c r="AB1526" i="8"/>
  <c r="AB1527" i="8"/>
  <c r="AB1528" i="8"/>
  <c r="AB1529" i="8"/>
  <c r="AB1530" i="8"/>
  <c r="AB1531" i="8"/>
  <c r="AB1532" i="8"/>
  <c r="AB1533" i="8"/>
  <c r="AB1534" i="8"/>
  <c r="AB1535" i="8"/>
  <c r="AB1536" i="8"/>
  <c r="AB1537" i="8"/>
  <c r="AB1538" i="8"/>
  <c r="AB1539" i="8"/>
  <c r="AB1540" i="8"/>
  <c r="AB1549" i="8"/>
  <c r="AB1550" i="8"/>
  <c r="AB1551" i="8"/>
  <c r="AB1552" i="8"/>
  <c r="AB1553" i="8"/>
  <c r="AB1554" i="8"/>
  <c r="AB1555" i="8"/>
  <c r="AB1556" i="8"/>
  <c r="AB1557" i="8"/>
  <c r="AB1558" i="8"/>
  <c r="AB1559" i="8"/>
  <c r="AB1560" i="8"/>
  <c r="AB1561" i="8"/>
  <c r="AB1562" i="8"/>
  <c r="AB1563" i="8"/>
  <c r="AB1564" i="8"/>
  <c r="AB1565" i="8"/>
  <c r="AB1566" i="8"/>
  <c r="AB1567" i="8"/>
  <c r="AB1568" i="8"/>
  <c r="AB1589" i="8"/>
  <c r="AB1590" i="8"/>
  <c r="AB1591" i="8"/>
  <c r="AB1592" i="8"/>
  <c r="AB1593" i="8"/>
  <c r="AB1594" i="8"/>
  <c r="AB1595" i="8"/>
  <c r="AB1596" i="8"/>
  <c r="AB1597" i="8"/>
  <c r="AB1598" i="8"/>
  <c r="AB1599" i="8"/>
  <c r="AB1600" i="8"/>
  <c r="AB1601" i="8"/>
  <c r="AB1602" i="8"/>
  <c r="AB1603" i="8"/>
  <c r="AB1604" i="8"/>
  <c r="AB1605" i="8"/>
  <c r="AB1606" i="8"/>
  <c r="AB1607" i="8"/>
  <c r="AB1608" i="8"/>
  <c r="AB1620" i="8"/>
  <c r="AB1622" i="8"/>
  <c r="AB1623" i="8"/>
  <c r="AB1624" i="8"/>
  <c r="AB1625" i="8"/>
  <c r="AB1626" i="8"/>
  <c r="AB1627" i="8"/>
  <c r="AC3" i="8" l="1"/>
  <c r="AD3" i="8"/>
  <c r="AB1941" i="8" l="1"/>
  <c r="AA1941" i="8"/>
  <c r="AB3" i="8" l="1"/>
  <c r="AA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Михайлова</author>
  </authors>
  <commentList>
    <comment ref="G1" authorId="0" shapeId="0" xr:uid="{A41C0C51-1758-4749-ABCB-588D9D429E04}">
      <text>
        <r>
          <rPr>
            <b/>
            <sz val="9"/>
            <color indexed="81"/>
            <rFont val="Tahoma"/>
            <family val="2"/>
            <charset val="204"/>
          </rPr>
          <t>вносим БАРКОД МФП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Path" description="Соединение с запросом &quot;Path&quot; в книге." type="5" refreshedVersion="0" background="1">
    <dbPr connection="Provider=Microsoft.Mashup.OleDb.1;Data Source=$Workbook$;Location=Path;Extended Properties=&quot;&quot;" command="SELECT * FROM [Path]"/>
  </connection>
  <connection id="2" xr16:uid="{00000000-0015-0000-FFFF-FFFF01000000}" keepAlive="1" name="Запрос — Каталог Connect" description="Соединение с запросом &quot;Каталог Connect&quot; в книге." type="5" refreshedVersion="0" background="1">
    <dbPr connection="Provider=Microsoft.Mashup.OleDb.1;Data Source=$Workbook$;Location=&quot;Каталог Connect&quot;;Extended Properties=&quot;&quot;" command="SELECT * FROM [Каталог Connect]"/>
  </connection>
  <connection id="3" xr16:uid="{00000000-0015-0000-FFFF-FFFF02000000}" keepAlive="1" name="Запрос — Нет артикулов в ост" description="Соединение с запросом &quot;Нет артикулов в ост&quot; в книге." type="5" refreshedVersion="7" background="1" saveData="1">
    <dbPr connection="Provider=Microsoft.Mashup.OleDb.1;Data Source=$Workbook$;Location=&quot;Нет артикулов в ост&quot;;Extended Properties=&quot;&quot;" command="SELECT * FROM [Нет артикулов в ост]"/>
  </connection>
  <connection id="4" xr16:uid="{00000000-0015-0000-FFFF-FFFF03000000}" keepAlive="1" name="Запрос — Остатки FBS" description="Соединение с запросом &quot;Остатки FBS&quot; в книге." type="5" refreshedVersion="0" background="1">
    <dbPr connection="Provider=Microsoft.Mashup.OleDb.1;Data Source=$Workbook$;Location=&quot;Остатки FBS&quot;;Extended Properties=&quot;&quot;" command="SELECT * FROM [Остатки FBS]"/>
  </connection>
</connections>
</file>

<file path=xl/sharedStrings.xml><?xml version="1.0" encoding="utf-8"?>
<sst xmlns="http://schemas.openxmlformats.org/spreadsheetml/2006/main" count="13241" uniqueCount="8893">
  <si>
    <t>М0132</t>
  </si>
  <si>
    <t>М0125</t>
  </si>
  <si>
    <t>М0519</t>
  </si>
  <si>
    <t>М0421</t>
  </si>
  <si>
    <t>М0163</t>
  </si>
  <si>
    <t>М0518</t>
  </si>
  <si>
    <t>М0509</t>
  </si>
  <si>
    <t>М0152</t>
  </si>
  <si>
    <t>М0153</t>
  </si>
  <si>
    <t>М0155</t>
  </si>
  <si>
    <t>М0121</t>
  </si>
  <si>
    <t>М0126</t>
  </si>
  <si>
    <t>М0127</t>
  </si>
  <si>
    <t>М0128</t>
  </si>
  <si>
    <t>М0131</t>
  </si>
  <si>
    <t>М0133</t>
  </si>
  <si>
    <t>М0134</t>
  </si>
  <si>
    <t>М0135</t>
  </si>
  <si>
    <t>М0422</t>
  </si>
  <si>
    <t>М0423</t>
  </si>
  <si>
    <t>М0424</t>
  </si>
  <si>
    <t>М0425</t>
  </si>
  <si>
    <t>М0763</t>
  </si>
  <si>
    <t>М0761</t>
  </si>
  <si>
    <t>М0762</t>
  </si>
  <si>
    <t>Стеллаж Jazz Венге 600х1800х290</t>
  </si>
  <si>
    <t>Стеллаж Zett средний Венге 730х899х250</t>
  </si>
  <si>
    <t>Стеллаж Quattro Венге 1050х1048х320</t>
  </si>
  <si>
    <t>М0457</t>
  </si>
  <si>
    <t>М0458</t>
  </si>
  <si>
    <t>М0459</t>
  </si>
  <si>
    <t>Стеллаж Quatrro 8 секций Дуб сонома 706х1396х280</t>
  </si>
  <si>
    <t>Комод City 3 ящика Белое тиснение 700х675х354</t>
  </si>
  <si>
    <t>Комод City 3 ящика Венге 700х675х354</t>
  </si>
  <si>
    <t>Комод City 3 ящика Дуб сонома 700х675х354</t>
  </si>
  <si>
    <t>Комод Praga 4 ящика Дуб сонома 800х956х454</t>
  </si>
  <si>
    <t>М00014</t>
  </si>
  <si>
    <t>М00016</t>
  </si>
  <si>
    <t>Комод Praga 4 ящика Венге 800х956х454</t>
  </si>
  <si>
    <t>М00015</t>
  </si>
  <si>
    <t>Пуф Милан комфорт Кофе(саванна) ткань Бодега</t>
  </si>
  <si>
    <t>Пуф Куб Savana CAMEL 390х400х390</t>
  </si>
  <si>
    <t>М0157</t>
  </si>
  <si>
    <t>Пуф Куб Экокожа Аламо милк 390х400х390</t>
  </si>
  <si>
    <t>Пуф Куб Кожзам коричневый 390х400х390</t>
  </si>
  <si>
    <t>Стол письменный Рейн на 800 Дуб сонома 800х750х550</t>
  </si>
  <si>
    <t>Тумба прикроватная Ультра Белое тиснение 430х410х330</t>
  </si>
  <si>
    <t>Тумба прикроватная Ультра Венге 430х410х330</t>
  </si>
  <si>
    <t>Тумба прикроватная Ультра Дуб сонома 430х410х330</t>
  </si>
  <si>
    <t>Стол журнальный Ультра Венге 530х450х530</t>
  </si>
  <si>
    <t>Стол письменный Ультра Белое тиснение 750х750х540</t>
  </si>
  <si>
    <t>Стол письменный Ультра Венге 750х750х540</t>
  </si>
  <si>
    <t>Стол письменный Ультра Дуб сонома 750х750х540</t>
  </si>
  <si>
    <t>Тумба прикроватная Ультра 2 ящика Белое тиснение 400х445х386</t>
  </si>
  <si>
    <t>Тумба прикроватная Ультра 2 ящика Венге 400х445х386</t>
  </si>
  <si>
    <t>Тумба прикроватная Ультра 2 ящика Дуб сонома 400х445х386</t>
  </si>
  <si>
    <t>Пуф Куб светло-серый</t>
  </si>
  <si>
    <t>М0162</t>
  </si>
  <si>
    <t xml:space="preserve">Пуф Куб СМ темно-серый </t>
  </si>
  <si>
    <t>Пуф Марсель Ткань СМ темно-серый Сп/м 0,6х1,8 600х360х600</t>
  </si>
  <si>
    <t>Стол журнальный Модерн Плюс Бодега темн. 606х430х606</t>
  </si>
  <si>
    <t>Стол журнальный Модерн Плюс Дуб сонома 606х430х606</t>
  </si>
  <si>
    <t>Тумба Бодега тем. Плюс Ящик 426х590х448 (Тумба с дверкой Плюс)</t>
  </si>
  <si>
    <t>Тумба Николь Лайт Плюс прикроватн. Бодега темн Фасад Бодега св. ящик 450х445х386</t>
  </si>
  <si>
    <t>Пуф Николь Плюс Бодега темн/Экокожа Бежевый 640х470х370</t>
  </si>
  <si>
    <t>Пуф Николь Плюс Дуб сонома/Экокожа Бежевый 640х470х370</t>
  </si>
  <si>
    <t>Стол рабочий для Ноутбука 3в1 Дуб сонома 530х220х350</t>
  </si>
  <si>
    <t>Полка угловая навесная Дуб сонома 250х1388х250</t>
  </si>
  <si>
    <t>Столик журнальный Бали Бодега темн./Бодега светл. 890х438х440</t>
  </si>
  <si>
    <t>Столик журнальный Бали Дуб сонома/Белый гладкий 890х438х440</t>
  </si>
  <si>
    <t>Столик журнальный Мальта Дуб сонома/Белый гладкий 700х416х400</t>
  </si>
  <si>
    <t>Стол книжка письменный (обеденный) раскладной Дуб сонома 850х740х496/123</t>
  </si>
  <si>
    <t>Тумба для обуви Мальта Дуб сонома/Белый гладкий 1054х510х314</t>
  </si>
  <si>
    <t>Тумба для обуви Мальта Дуб сонома/Белый гладкий 614х470х314</t>
  </si>
  <si>
    <t>Тумба для обуви Дуб сонома/Кожзам коричневый 786х500х295</t>
  </si>
  <si>
    <t>Тумба для обуви Дуб сонома/Кожзам коричневый 1042х500х295</t>
  </si>
  <si>
    <t xml:space="preserve">Комод Мальта 3 ящика Дуб сонома/Белое гладкое 690х733х354 </t>
  </si>
  <si>
    <t>Стеллаж 6 секций Дуб сонома 948х648х294</t>
  </si>
  <si>
    <t>Стеллаж 6 секций Венге 948х648х294</t>
  </si>
  <si>
    <t>Стеллаж 6 секций Белое тиснение 948х648х294</t>
  </si>
  <si>
    <t>Стол дошкольника для творчества Белое тиснение 678х750х400</t>
  </si>
  <si>
    <t>Стол дошкольника для творчества Венге 678х750х400</t>
  </si>
  <si>
    <t>Стол дошкольника для творчества Дуб сонома 678х750х400</t>
  </si>
  <si>
    <t>Стол компьютерный с 2 ящиками Ультра Белое тиснение 900х750х450</t>
  </si>
  <si>
    <t>Стол компьютерный с 2 ящиками Ультра Венге 900х750х450</t>
  </si>
  <si>
    <t>Стол компьютерный с 2 ящиками Ультра Дуб сонома 900х750х450</t>
  </si>
  <si>
    <t>Обувница-полка напольная Белое тиснение 632х300х282</t>
  </si>
  <si>
    <t>Обувница-полка напольная Венге 632х300х282</t>
  </si>
  <si>
    <t>Обувница-полка напольная Дуб сонома 632х300х283</t>
  </si>
  <si>
    <t>Стеллаж с открытыми полками Ультра Белое тиснение 600х800х230</t>
  </si>
  <si>
    <t>Стеллаж с открытыми полками Ультра Венге 600х800х230</t>
  </si>
  <si>
    <t>Стеллаж с открытыми полками Ультра Дуб сонома 600х800х230</t>
  </si>
  <si>
    <t>Шкаф-комод Мальта Дуб сонома/Белое гладкое 468х984х304</t>
  </si>
  <si>
    <t>Тумба под тв Мальта Дуб сонома/Белое гладкое 1020х293х354</t>
  </si>
  <si>
    <t>Полка книжная Ультра Белое тиснение 1150х520х200</t>
  </si>
  <si>
    <t>Полка книжная Ультра Венге 1150х520х200</t>
  </si>
  <si>
    <t>Полка книжная Ультра Дуб сонома 1150х520х200</t>
  </si>
  <si>
    <t>Стеллаж Zett Ультра Белое тиснение 730х1757х250</t>
  </si>
  <si>
    <t>Стеллаж Zett Ультра Венге 730х1757х250</t>
  </si>
  <si>
    <t>Стеллаж Zett Ультра Дуб сонома 730х1757х250</t>
  </si>
  <si>
    <t>Стол письменный Рейн на 800 Венге 800х750х550</t>
  </si>
  <si>
    <t>Стол журнальный Модерн Плюс Венге 606/430/606</t>
  </si>
  <si>
    <t>Тумба Николь Лайт Плюс прикроватн. Венге/Белое тиснение 450х445х386</t>
  </si>
  <si>
    <t>Тумба Николь Плюс прикроватн. Дуб сонома/Белое тиснение 400х445х386</t>
  </si>
  <si>
    <t>Полка угловая навесная Венге 250х1388х250</t>
  </si>
  <si>
    <t>Стол обеденный Кантри плюс Дуб сонома/Венге 900х750х600</t>
  </si>
  <si>
    <t>Столик журнальный Бали Венге/Белое тиснение 890х438х440</t>
  </si>
  <si>
    <t>Комод Мальта 3 ящика Венге/Белое тиснение 690х733х354</t>
  </si>
  <si>
    <t>Стол обеденный Ультра Дуб сонома 890х750х530</t>
  </si>
  <si>
    <t>Столик придиванный Дуб Сонома 470х600х300</t>
  </si>
  <si>
    <t>Вешалка Ультра Лайт Дуб сонома 608х1196х154</t>
  </si>
  <si>
    <t>Стол письменный Мальта с полками Дуб сонома/Белое гладкое</t>
  </si>
  <si>
    <t>Стол компьютерный Лайт Дуб сонома/Белое гладкое</t>
  </si>
  <si>
    <t>Полка угловая навесная Белое тиснение 250х1388х250</t>
  </si>
  <si>
    <t>Вешалка Ультра Лайт Венге 608х1196х155</t>
  </si>
  <si>
    <t>Стол-тумба-стеллаж Бодега темн. 900х554х350 (без колес)</t>
  </si>
  <si>
    <t>Стол обеденный Мальта Дуб сонома/Белое тиснение 670х760х670</t>
  </si>
  <si>
    <t>Стол обеденный Мальта Плюс Дуб сонома/Белое тиснение 1014х760х670</t>
  </si>
  <si>
    <t>Стол обеденный Мальта Лайт Дуб сонома/Белое тиснение 650х780х650</t>
  </si>
  <si>
    <t>Стол обеденный Мальта Лайт Орех лион/Венге 650х780х650</t>
  </si>
  <si>
    <t>Стол обеденный Мальта Орех лион/Венге 670х760х670</t>
  </si>
  <si>
    <t>Комод Мальта 3 ящика Белое тиснение 690х733х354</t>
  </si>
  <si>
    <t>Стол обеденный Ультра Лайт Белое тиснение 890х750х530</t>
  </si>
  <si>
    <t>Стол обеденный Ультра Белое тиснение 890х750х530</t>
  </si>
  <si>
    <t>Стеллаж Zett средний Белое тиснение 730х899х250</t>
  </si>
  <si>
    <t>Стеллаж Zett средний Дуб сонома  730х899х250</t>
  </si>
  <si>
    <t>Стол письменный Ультра с ящиком Белое тиснение 900х750х500</t>
  </si>
  <si>
    <t>Стол письменный Ультра с ящиком Дуб сонома 900х750х500</t>
  </si>
  <si>
    <t>Стеллаж Quattro Белое  тиснение 1050х1048х320</t>
  </si>
  <si>
    <t>Стеллаж Quattro Дуб сонома 1050х1048х320</t>
  </si>
  <si>
    <t>Стеллаж Мальта дуб сонома/Белое гладкое 350х1150х216</t>
  </si>
  <si>
    <t>Коробка-куб шокол./беж. 27х27х27</t>
  </si>
  <si>
    <t>Коробка-куб беж/шокол. 27х27х27</t>
  </si>
  <si>
    <t>Стол-книжка Дуб сонома 302/1400х750х800</t>
  </si>
  <si>
    <t>Стол-книжка Бодега темный 302/1400х750х800</t>
  </si>
  <si>
    <t>Стол Клио Плюс Бодега темн. 350х440х450</t>
  </si>
  <si>
    <t>Подставка для Ноутбука радиусная Сакура 760х16х390</t>
  </si>
  <si>
    <t>Обувница Ультра Венге 578х423х350</t>
  </si>
  <si>
    <t>Обувница Ультра Дуб сонома 578х423х350</t>
  </si>
  <si>
    <t>Стол журнальный Ультра Дуб сонома 530х450х530</t>
  </si>
  <si>
    <t>Обувница Ультра Белое тиснение 578х423х350</t>
  </si>
  <si>
    <t>Стол письменный Ультра с ящиком Венге 900х750х500</t>
  </si>
  <si>
    <t>Тумба с дверкой Плюс Венге 426х590х448</t>
  </si>
  <si>
    <t>Стол компьютерный Мальта 3 ящ. Дуб сонома/Белое гладкое 900х730х500</t>
  </si>
  <si>
    <t>Стол компьютерный Мальта 3ящ. с полками Дуб сонома/Белое гладкое 1100х730х500</t>
  </si>
  <si>
    <t>Стол компьютерный Лайт выкатной Дуб сонома/Белое гладкое 800х720х500</t>
  </si>
  <si>
    <t>Стеллаж многофункциональный Лофт Дуб сонома/Белое гладкое 900х1805х205</t>
  </si>
  <si>
    <t>Стеллаж многофункциональный Лофт Орех лион/Пельтро 900х1805х205</t>
  </si>
  <si>
    <t>Тумба для обуви Орех лион/Кожзам коричневый 1042х500х295</t>
  </si>
  <si>
    <t>Тумба для обуви Орех лион/Кожзам коричневый 786х500х295</t>
  </si>
  <si>
    <t>Тумба для обуви Мальта Венге/Орех лион 614х470х314</t>
  </si>
  <si>
    <t>Тумба для обуви Мальта Венге/Орех лион 1054х510х314</t>
  </si>
  <si>
    <t>Стол обеденный Мальта Плюс Пельтро/Белое тиснение 1014х760х670</t>
  </si>
  <si>
    <t>Стол компьютерный Мальта 3 ящ. Орех лион/Пельтро 900х730х500</t>
  </si>
  <si>
    <t>Стол компьютерный Мальта 3ящ. с полками Орех лион/Пельтро 1100х730х500</t>
  </si>
  <si>
    <t>Вешалка Ультра лайт Бодега темн.</t>
  </si>
  <si>
    <t>Стеллаж Лайт Дуб сонома 450х1150х240</t>
  </si>
  <si>
    <t>Стол письменный Мальта универсальный Белое тиснение 1150х750х500/870</t>
  </si>
  <si>
    <t>Стол письменный Мальта универсальный Венге 1150х750х500/870</t>
  </si>
  <si>
    <t>Стол письменный Мальта универсальный Дуб сонома 1150х750х500/870</t>
  </si>
  <si>
    <t>Стеллаж Бали прямой Орех лион/Пельтро 800х1600х200</t>
  </si>
  <si>
    <t>Стеллаж Jazz Белое тиснение 600х1800х290</t>
  </si>
  <si>
    <t>Стеллаж Jazz Дуб сонома 600х1800х290</t>
  </si>
  <si>
    <t>Стол обеденный Мальта Плюс Орех лион/Венге 1014х760х670</t>
  </si>
  <si>
    <t>Стеллаж Лайт Белое тиснение 450х1150х240</t>
  </si>
  <si>
    <t>Стеллаж Лайт Венге 450х1150х240</t>
  </si>
  <si>
    <t>Стеллаж Бали прямой Дуб сонома/Белое гладкое 800х1600х200</t>
  </si>
  <si>
    <t>Стол письменный Мальта универсальный с ящиком Белое тиснение 1150х750х500/870</t>
  </si>
  <si>
    <t>Стол письменный Мальта универсальный с ящиком Венге 1150х750х500/870</t>
  </si>
  <si>
    <t>Стол письменный Мальта универсальный с ящиком Дуб сонома 1150х750х500/870</t>
  </si>
  <si>
    <t>Стол компьютерный Лайт выкатной Орех лион/Пельтро 800х720х500</t>
  </si>
  <si>
    <t>Полки Мальта Комплект Белое тиснение 290/260/230х290/260/230х140</t>
  </si>
  <si>
    <t>Полки Мальта Комплект Венге 290/260/230х290/260/230х140</t>
  </si>
  <si>
    <t>Полки Мальта Комплект Дуб сонома 290/260/230х290/260/230х140</t>
  </si>
  <si>
    <t>Полка Jazz Белое тиснение 1076х568х200</t>
  </si>
  <si>
    <t>Полка Jazz Дуб сонома/Белое тиснение 1076х568х200</t>
  </si>
  <si>
    <t>Стол-шкаф Мальта универсальный Дуб сонома/Белое гладкое 1341х1380х540</t>
  </si>
  <si>
    <t>Стол-шкаф Мальта универсальный Орех лион/Пельтро  1341х1380х540</t>
  </si>
  <si>
    <t>Тумба под ТВ Лофт универсальная Белое тиснение 1000х332х264</t>
  </si>
  <si>
    <t>Тумба под ТВ Лофт универсальная Венге 1000х332х264</t>
  </si>
  <si>
    <t>Тумба под ТВ Лофт универсальная Дуб сонома 1000х332х264</t>
  </si>
  <si>
    <t>Шкаф-комод Ультра 2-х дверный Белое тиснение 602х701х304</t>
  </si>
  <si>
    <t>Шкаф-комод Ультра 2-х дверный Венге 602х701х304</t>
  </si>
  <si>
    <t>Шкаф-комод Ультра 2-х дверный Дуб сонома 602х701х304</t>
  </si>
  <si>
    <t>Шкаф книжный Ультра с открытыми полками Белое  тиснение 978х1001х304</t>
  </si>
  <si>
    <t>Шкаф книжный Ультра с открытыми полками Венге 978х1001х304</t>
  </si>
  <si>
    <t>Шкаф книжный Ультра с открытыми полками Дуб сонома 978х1001х304</t>
  </si>
  <si>
    <t>Комод Ультра 2 ящика Белое тиснение 616х426х298</t>
  </si>
  <si>
    <t>Комод Ультра 2 ящика Венге 616х426х298</t>
  </si>
  <si>
    <t>Комод Ультра 2 ящика Дуб сонома 616х426х298</t>
  </si>
  <si>
    <t>Шкаф-комод Лофт Дуб сонома/Белое гладкое 800х819х350</t>
  </si>
  <si>
    <t>Комод Praga 3 ящика Белое тиснение 800х732х450</t>
  </si>
  <si>
    <t>Комод Praga 3 ящика Дуб сонома/Белое тиснение 800х732х450</t>
  </si>
  <si>
    <t>Комод Praga 3 ящика Пельтро/Орех лион 800х732х450</t>
  </si>
  <si>
    <t>Стол рабочий Ультра Белое тиснение 1100х1300х500</t>
  </si>
  <si>
    <t>Стол рабочий Ультра Венге 1100х1300х500</t>
  </si>
  <si>
    <t>Стол рабочий Ультра Дуб сонома 1100х1300х500</t>
  </si>
  <si>
    <t>Обувница-стеллаж Ультра Белое тиснение  266х992х318</t>
  </si>
  <si>
    <t>Обувница-стеллаж Ультра Венге  266х992х318</t>
  </si>
  <si>
    <t>Обувница-стеллаж Ультра Дуб сонома 266х992х318</t>
  </si>
  <si>
    <t>Стол рабочий Мальта с надстройкой Дуб сонома/Белое гладкое 1100х910х400</t>
  </si>
  <si>
    <t>Стол рабочий Мальта с надстройкой Венге/Орех лион 1100х910х400</t>
  </si>
  <si>
    <t>Тумба под ТВ Лофт плюс Белое тиснение 1150х477х350</t>
  </si>
  <si>
    <t>Тумба под ТВ Лофт плюс Дуб сонома 1150х477х350</t>
  </si>
  <si>
    <t>Полка навесная Лайт Белое тиснение 786х180х180</t>
  </si>
  <si>
    <t>Полка навесная Лайт Венге 786х180х180</t>
  </si>
  <si>
    <t>Полка навесная Лайт Дуб сонома 786х180х180</t>
  </si>
  <si>
    <t>Полка навесная Лайт Пельтро 786х180х180</t>
  </si>
  <si>
    <t>Комод Jazz 3 ящика Белое тиснение 600х733х354</t>
  </si>
  <si>
    <t>Комод Jazz 3 ящика Венге 600х733х354</t>
  </si>
  <si>
    <t>Комод Jazz 3 ящика Дуб сонома 600х733х354</t>
  </si>
  <si>
    <t>Стол рабочий Лайт Белое тиснение 900х750х400</t>
  </si>
  <si>
    <t>Стол рабочий Лайт Венге 900х750х400</t>
  </si>
  <si>
    <t>Стол рабочий Лайт Дуб сонома 900х750х400</t>
  </si>
  <si>
    <t>Шкаф-комод Лофт Белое тиснение 800х819х350</t>
  </si>
  <si>
    <t>Тумба для обуви Мальта Лайт Белое тиснение 380х425х300</t>
  </si>
  <si>
    <t>Тумба для обуви Мальта Лайт Дуб сонома/Белое гладкое  380х425х300</t>
  </si>
  <si>
    <t>Тумба для обуви Мальта Лайт Венге/Орех лион  380х425х300</t>
  </si>
  <si>
    <t>Стол  письменный компьютерный угловой Jazz Белое тиснение 1100х750х500/872</t>
  </si>
  <si>
    <t>Стол  письменный компьютерный угловой Jazz Венге 1100х750х500/872</t>
  </si>
  <si>
    <t>Стол  письменный компьютерный угловой Jazz Дуб сонома  1100х750х500/872</t>
  </si>
  <si>
    <t>Стол рабочий Лайт Плюс Белое тиснение 1030х750х400</t>
  </si>
  <si>
    <t>Стол рабочий Лайт Плюс Венге 1030х750х400</t>
  </si>
  <si>
    <t>Стол рабочий Лайт Плюс Дуб сонома 1030х750х400</t>
  </si>
  <si>
    <t>Полка навесная Zett Белое тиснение 680х532х180</t>
  </si>
  <si>
    <t>Полка навесная Zett Венге 680х532х180</t>
  </si>
  <si>
    <t>Полка навесная Zett Дуб сонома 680х532х180</t>
  </si>
  <si>
    <t>Обувница Ультра вертикальная Белое тиснение 584х10148х244</t>
  </si>
  <si>
    <t>Обувница Ультра вертикальная Венге 584х10148х244</t>
  </si>
  <si>
    <t>Обувница Ультра вертикальная Дуб сонома 584х10148х244</t>
  </si>
  <si>
    <t>Стеллаж-полка Jazz Белое тиснение 978/592х617/1003х224</t>
  </si>
  <si>
    <t>Стеллаж-полка Jazz Венге 978/592х617/1003х224</t>
  </si>
  <si>
    <t>Стеллаж-полка Jazz Дуб сонома 978/592х617/1003х224</t>
  </si>
  <si>
    <t>Тумба Jazz c ящиком Белое тиснение 406х399х342</t>
  </si>
  <si>
    <t>Тумба Jazz c ящиком Венге 406х399х342</t>
  </si>
  <si>
    <t>Тумба Jazz c ящиком Дуб сонома 406х399х342</t>
  </si>
  <si>
    <t>Стеллаж Jazz угловой Белое тиснение 314х1616х314</t>
  </si>
  <si>
    <t>Стеллаж Jazz угловой Венге 314х1616х314</t>
  </si>
  <si>
    <t>Стеллаж Jazz угловой Дуб сонома 314х1616х314</t>
  </si>
  <si>
    <t>Комод Прага 3 ящика малый Белое тиснение 400х732х410</t>
  </si>
  <si>
    <t>Комод Прага 3 ящика малый Венге 400х732х410</t>
  </si>
  <si>
    <t>Комод Прага 3 ящика малый Дуб сонома 400х732х410</t>
  </si>
  <si>
    <t>Комод Lite 5 ящиков Белое тиснение 350х890х354</t>
  </si>
  <si>
    <t>Стеллаж Bali универсал. Белое тиснение 978х1506х220</t>
  </si>
  <si>
    <t>Стеллаж Bali универсал. Венге 978х1506х220</t>
  </si>
  <si>
    <t>Стеллаж Bali универсал. Дуб сонома 978х1506х220</t>
  </si>
  <si>
    <t xml:space="preserve">Стол-стеллаж Ultra Белое тиснение 1088х1418х400 </t>
  </si>
  <si>
    <t xml:space="preserve">Стол-стеллаж Ultra Венге 1088х1418х400 </t>
  </si>
  <si>
    <t xml:space="preserve">Стол-стеллаж Ultra Дуб сонома 1088х1418х400 </t>
  </si>
  <si>
    <t>Стеллаж Jazz универсальный Белое тиснение 1000х1400х250</t>
  </si>
  <si>
    <t>Стеллаж Jazz универсальный Дуб сонома/ Белое тиснение 1000х1400х250</t>
  </si>
  <si>
    <t>Стеллаж Jazz универсальный Пельтро/ Белое тиснение 1000х1400х250</t>
  </si>
  <si>
    <t>Стеллаж City Белое тиснение 978х1818х220</t>
  </si>
  <si>
    <t>Стеллаж City Дуб сонома/Белое тиснение 978х1818х220</t>
  </si>
  <si>
    <t>Стеллаж City Пельтро/Белое тиснение 978х1818х220</t>
  </si>
  <si>
    <t>Комод City 4 ящика Белое тиснение 700х867х354</t>
  </si>
  <si>
    <t>Комод City 4 ящика Венге 700х867х354</t>
  </si>
  <si>
    <t>Комод City 4 ящика Дуб сонома 700х867х354</t>
  </si>
  <si>
    <t>Стеллаж Malta Plus Белое тиснение 696х1584х220</t>
  </si>
  <si>
    <t>Стеллаж Malta Plus Венге 696х1584х220</t>
  </si>
  <si>
    <t>Стеллаж Malta Plus Дуб сонома 696х1584х220</t>
  </si>
  <si>
    <t>Стеллаж Quatrro 8 секций Белое тиснение 706х1396х280</t>
  </si>
  <si>
    <t>Стеллаж Quatrro 8 секций Венге 706х1396х280</t>
  </si>
  <si>
    <t>Комод City 5 ящиков Белое тиснение 400х1059х354</t>
  </si>
  <si>
    <t>Комод City 5 ящиков Венге 400х1059х354</t>
  </si>
  <si>
    <t>Комод City 5 ящиков Дуб сонома 400х1059х354</t>
  </si>
  <si>
    <t>Стол письменный рабочий City Белое тиснение 1060х50х500</t>
  </si>
  <si>
    <t>Стол письменный рабочий City Венге 1060х50х500</t>
  </si>
  <si>
    <t>Стол письменный рабочий City Дуб сонома 1060х50х500</t>
  </si>
  <si>
    <t>Столик придиванный Белое тиснение 470х600х300</t>
  </si>
  <si>
    <t>Столик придиванный Венге 470х600х300</t>
  </si>
  <si>
    <t>Стол рабочий для Ноутбука 3в1 Белое тиснение 530х220х350</t>
  </si>
  <si>
    <t>Стол рабочий для Ноутбука 3в1 Венге 530х220х350</t>
  </si>
  <si>
    <t>Столик журнальный Мальта Белое тиснение 700х416х400</t>
  </si>
  <si>
    <t>Стол письменный Рейн на 800 Белое тиснение 800х750х550</t>
  </si>
  <si>
    <t>Вешалка Ультра Лайт Белое тиснение  608х1196х154</t>
  </si>
  <si>
    <t>Тумба Николь Лайт Плюс прикроватн. Белое тиснение</t>
  </si>
  <si>
    <t>Тумба белое тиснение Плюс Ящик 426х590х448 (Тумба с дверкой Плюс)</t>
  </si>
  <si>
    <t>Стол  парта письменный регулируемый Школьник Белое тиснение 850х750/558х550</t>
  </si>
  <si>
    <t>Стол  парта письменный регулируемый Школьник Венге 850х750/558х550</t>
  </si>
  <si>
    <t>Стол  парта письменный регулируемый Школьник Дуб сонома 850х750/558х550</t>
  </si>
  <si>
    <t>Комод Praga 4 ящика Белое тиснение 800х956х454</t>
  </si>
  <si>
    <t>Стол парта письменн. регулируемый Школьник с наклоном+пенал-контейнер Белое тисн.</t>
  </si>
  <si>
    <t>Тумба прикроватная Ультра Черный 430х410х330</t>
  </si>
  <si>
    <t>Тумба прикроватная Ультра  2 ящ. Черный 400х445х386</t>
  </si>
  <si>
    <t>Стол журнальный Ультра Черный 530х450х530</t>
  </si>
  <si>
    <t>Полка угловая навесная Черный 250х1388х250</t>
  </si>
  <si>
    <t>Стол компьютерный с 2 ящиками Ультра Черный 900х750х450</t>
  </si>
  <si>
    <t>Стол дошкольника для творчества Черный 680х750х400</t>
  </si>
  <si>
    <t>Стеллаж Zett Ультра Черный 730х1757х250</t>
  </si>
  <si>
    <t>Стеллаж Quattro 4 секции Белое тиснение 362х1396х280</t>
  </si>
  <si>
    <t>Стол компьютерный навесной с изменяемой высотой Next Белое тиснение 1032х914х470</t>
  </si>
  <si>
    <t>Стол компьютерный Malta Plus с ящиком Белое тиснение 1100х750х870</t>
  </si>
  <si>
    <t>Шкаф книжный Ultra 4 секции Белое тиснение 400х1157х290</t>
  </si>
  <si>
    <t>Стеллаж Style 5 секций Белое тиснение 502х784х254</t>
  </si>
  <si>
    <t>Стеллаж Style Белое тиснение 1050х1048х284</t>
  </si>
  <si>
    <t>Стеллаж Style 7 секций Белое тиснение 502х1040х254</t>
  </si>
  <si>
    <t>Книжный шкаф  Style с 3 дверками Белое тиснение 706х1048х300</t>
  </si>
  <si>
    <t>Стол парта письм регулир Школьник с Наклоном и ящиком Белое тиснение 850х750/558х565</t>
  </si>
  <si>
    <t>Шкаф стеллаж Malta Дуб сонома/Белое  тиснение 786х1133х254</t>
  </si>
  <si>
    <t>Шкаф-комод Loft с ящиком Дуб сонома/Белое гладкое 600х819х354</t>
  </si>
  <si>
    <t>Стол стеллаж Zett Белое тиснение 1297х1518х400</t>
  </si>
  <si>
    <t>Матрац вата+РВ усиленная набивка 90*190</t>
  </si>
  <si>
    <t>Матрац поролоновый в съемном стеганном чехле на молнии 90*200*8</t>
  </si>
  <si>
    <t>Матрац поролоновый в съемном стеганном чехле на молнии 140*200*8</t>
  </si>
  <si>
    <t>Матрас ватный (Реген.волокно,усил набивка) 80х190</t>
  </si>
  <si>
    <t>Матрас ватный (Реген.волокно,усил набивка) 120х190</t>
  </si>
  <si>
    <t>Матрац Холкон в съемном стеганном чехле на молнии 70*200*5</t>
  </si>
  <si>
    <t>Матрац Холкон в съемном стеганном чехле на молнии 60*140*5</t>
  </si>
  <si>
    <t>Стол Ломберный 600х800(1200х800) ламинат Белый рамух ножки хром D50</t>
  </si>
  <si>
    <t>Стул Милано Velutto,04 опора белая</t>
  </si>
  <si>
    <t>Шезлонг садовый синий</t>
  </si>
  <si>
    <t>Шезлонг садовый зеленый</t>
  </si>
  <si>
    <t>Тумба прикроватная Ультра 2 ящика Дуб Белфорт 400х445х386</t>
  </si>
  <si>
    <t>Стеллаж Zett Ультра Дуб Белфорт 730х1757х250</t>
  </si>
  <si>
    <t>Стол обеденный Ультра Венге 890х750х530</t>
  </si>
  <si>
    <t>Стол обеденный Ультра Дуб Белфорт 890х750х530</t>
  </si>
  <si>
    <t>Стул береза</t>
  </si>
  <si>
    <t>Стол Ломберный 600х800(1200х800)ламинат Дуб млечный ножки хром D50</t>
  </si>
  <si>
    <t>Стол Ломберный 600х800(1200х800)ламинат Дуб металлик ножки хром D50</t>
  </si>
  <si>
    <t>Стол Обеденный 1000х700 Прямоуг. Пластик бетон слюда,кромка темн.камень, царга металлик,Хром 5</t>
  </si>
  <si>
    <t>Шезлонг садовый красный</t>
  </si>
  <si>
    <t>Матрац Холкон в съемном стеганном чехле на молнии 90*200*5</t>
  </si>
  <si>
    <t>Матрац Холкон в съемном стеганном чехле на молнии 120*200*5</t>
  </si>
  <si>
    <t>Матрац Холкон в съемном стеганном чехле на молнии 140*200*5</t>
  </si>
  <si>
    <t>Матрац Холкон в съемном стеганном чехле на молнии 160*200*5</t>
  </si>
  <si>
    <t>Матрац ППУ в непромокаемом чехле их медицинской клеенки на молнии</t>
  </si>
  <si>
    <t>Коробка-куб шотл. клетка 27х27х27</t>
  </si>
  <si>
    <t>Стул "Малибу" каркас хром белый, комплект 2шт.</t>
  </si>
  <si>
    <t>Стул "Малибу" каркас хром бежевый, комплект 2шт.</t>
  </si>
  <si>
    <t>Стул "Малибу" каркас хром светло-серый, комплект 2шт.</t>
  </si>
  <si>
    <t>Кухонный табурет "Малибу" белый, комплект 2шт.</t>
  </si>
  <si>
    <t>Кухонный табурет "Малибу" бежевый, комплект 2шт.</t>
  </si>
  <si>
    <t>Кухонный табурет "Малибу" светло-серый, комплект 2шт.</t>
  </si>
  <si>
    <t>Стул Найс Polo White ,опора редуциров.,белая</t>
  </si>
  <si>
    <t>Стул Брусто Velutto 01,опора редуциров.,белая</t>
  </si>
  <si>
    <t>Стул Найс Polo black ,опора редуциров.,черная</t>
  </si>
  <si>
    <t>Стул Брусто Velutto 24,опора редуциров.,черная</t>
  </si>
  <si>
    <t>Стул Найс Замша 001-11 ,опора редуциров.,серая</t>
  </si>
  <si>
    <t>Стул Брусто Замша 001-17, опора редуциров.,бежевая</t>
  </si>
  <si>
    <t>Стул Найс Polo cream ,опора редуциров.,бежевая</t>
  </si>
  <si>
    <t>Стул Брусто Siesta grey,опора редуциров.,серая</t>
  </si>
  <si>
    <t>Стул "Кактус" бежевый, комплект 2 шт.</t>
  </si>
  <si>
    <t>Стул "Кактус" черный/красный, комплект 2шт.</t>
  </si>
  <si>
    <t>Стул "Пион" бежевый крокодил, комплект 2шт.</t>
  </si>
  <si>
    <t>Стул "Пион" бежевый, комплект 2шт.</t>
  </si>
  <si>
    <t>Стул "Пион" белый крокодил, комплект 2шт.</t>
  </si>
  <si>
    <t>Стул "Пион" шоколад, комплект 2шт.</t>
  </si>
  <si>
    <t>Стул "Ромашка" бежевый крокодил, комплект 2шт.</t>
  </si>
  <si>
    <t>Стул "Ромашка" бежевый, комплект 2шт.</t>
  </si>
  <si>
    <t>Стул "Ромашка" белый крокодил, комплект 2шт.</t>
  </si>
  <si>
    <t>Стул "Ромашка" шоколад, комплект 2шт.</t>
  </si>
  <si>
    <t>Стул "Фиалка" бежевый крокодил, комплект 2шт.</t>
  </si>
  <si>
    <t>Стул "Фиалка" бежевый, комплект 2шт.</t>
  </si>
  <si>
    <t>Стул "Фиалка" белый крокодил, комплект 2шт.</t>
  </si>
  <si>
    <t>Стул "Фиалка" шоколад, комплект 2шт.</t>
  </si>
  <si>
    <t>Табурет "Сосна" бежевый, комплект 2шт.</t>
  </si>
  <si>
    <t>Табурет "Сосна" черный, комплект 2шт.</t>
  </si>
  <si>
    <t>Табурет "Сосна" белый крокодил, комплект 2шт.</t>
  </si>
  <si>
    <t>Табурет "Сосна" шоколад, комплект 2шт.</t>
  </si>
  <si>
    <t>Табурет "Тополь" бежевый, комплект 2шт.</t>
  </si>
  <si>
    <t>Табурет "Тополь" черный, комплект 2шт.</t>
  </si>
  <si>
    <t>Табурет "Тополь" белый крокодил, комплект 2шт.</t>
  </si>
  <si>
    <t>Табурет "Тополь" шоколад, комплект 2шт.</t>
  </si>
  <si>
    <t>Стул "Кактус" шоколад, комплект 2 шт.</t>
  </si>
  <si>
    <t>Стул "Кактус" шоколад/бежевый, комплект 2шт.</t>
  </si>
  <si>
    <t>Стеллаж Mixit 2 Белый</t>
  </si>
  <si>
    <t>Стеллаж Mixit 3 Белый (Hardy)</t>
  </si>
  <si>
    <t>Стеллаж Mixit 4 Белый</t>
  </si>
  <si>
    <t>Стеллаж Mixit 2 Дуб Винченца</t>
  </si>
  <si>
    <t>Стеллаж Mixit 3 Дуб Винченца</t>
  </si>
  <si>
    <t>Стеллаж Mixit 4 Дуб Винченца</t>
  </si>
  <si>
    <t>Стеллаж Mixit 8 Дуб Винченца</t>
  </si>
  <si>
    <t>Стеллаж Mixit 9 Дуб Винченца</t>
  </si>
  <si>
    <t>Стеллаж Mixit 2 Серый Графит</t>
  </si>
  <si>
    <t>Стеллаж Mixit 3 Серый Графит</t>
  </si>
  <si>
    <t>Стеллаж Mixit 4 Серый Графит (Hardy)</t>
  </si>
  <si>
    <t>Стеллаж Mixit 8 Серый Графит</t>
  </si>
  <si>
    <t>Стеллаж Mixit 9 Серый Графит</t>
  </si>
  <si>
    <t>Комод Вернисаж 3 ящика</t>
  </si>
  <si>
    <t>Комод Вернисаж 4 ящика</t>
  </si>
  <si>
    <t>Полка Школьник Дуб сонома</t>
  </si>
  <si>
    <t>Стол обеденный 120*80 ЛДСП 22мм</t>
  </si>
  <si>
    <t>Диван еврокнижка Клио Плюс Велюр Бель Смоки 2240х820х940</t>
  </si>
  <si>
    <t>Диван еврокнижка Клио Плюс Велюр Бель Крем 2240х820х940</t>
  </si>
  <si>
    <t>Диван еврокнижка Клио Плюс Ткань Savana Plus Lagoon 2240х820х940</t>
  </si>
  <si>
    <t xml:space="preserve">Кресло-мешок Груша Мини велюр Газета Милк </t>
  </si>
  <si>
    <t>Кресло-мешок Груша Мини ткань Savanna Plus Lagoon</t>
  </si>
  <si>
    <t>Кресло-мешок Груша Мини ткань Savanna Plus Yellow</t>
  </si>
  <si>
    <t>Кресло-мешок Груша Мини ткань Savanna Green</t>
  </si>
  <si>
    <t>Кресло-мешок Груша Мини ткань Savanna Веrry</t>
  </si>
  <si>
    <t xml:space="preserve">Кресло-мешок Груша Медиум велюр Газета Милк </t>
  </si>
  <si>
    <t xml:space="preserve">Кресло-мешок Груша Медиум ткань Savanna Plus Lagoon </t>
  </si>
  <si>
    <t>Кресло-мешок Груша Медиум ткань Savanna Plus Yellow</t>
  </si>
  <si>
    <t xml:space="preserve">Кресло-мешок Груша Медиум ткань Savanna Green </t>
  </si>
  <si>
    <t>Кресло-мешок Груша Медиум ткань Savanna Веrry</t>
  </si>
  <si>
    <t>Пуф Куб Savana Chokolate 390х400х390</t>
  </si>
  <si>
    <t>Пуф Марсель Ткань Savanna Latte Сп/м 0,6х1,8 600х360х600</t>
  </si>
  <si>
    <t>Пуф Марсель Ткань Savanna  Plus Lagoon Сп/м 0,6х1,8 600х360х600</t>
  </si>
  <si>
    <t>Пуф Марсель Ткань Savanna Plus DENIM Сп/м 0,6х1,8 600х360х600</t>
  </si>
  <si>
    <t>Пуф Марсель Ткань Savanna Plus Coral Сп/м 0,6х1,8 600х360х600</t>
  </si>
  <si>
    <t>Диван-кровать Найс с подлокотниками Ткань Savanna Plus Lagoon 1420х820х907</t>
  </si>
  <si>
    <t>Диван-кровать Найс с подлокотниками Ткань Savanna Plus Yellow 1420х820х907</t>
  </si>
  <si>
    <t>Диван-кровать Найс с подлокотниками Велюр Бель Латте 1420х820х907</t>
  </si>
  <si>
    <t>Пуф Милан комфорт Белый (аламо милк) Экокожа Бодега темн. Ящик 650х425х650</t>
  </si>
  <si>
    <t>Пуф Милан Ткань VITAL BITTER/Кожзам бежевый 650х425х650</t>
  </si>
  <si>
    <t>Кресло-кровать Найс Компакт Ткань Savanna Plus Lagoon 780х820х900</t>
  </si>
  <si>
    <t>Кресло-кровать Найс Компакт Ткань Savanna Plus Yellow 780х820х900</t>
  </si>
  <si>
    <t>Кресло-кровать Найс Компакт Велюр Бель Латте 780х820х900</t>
  </si>
  <si>
    <t>Столик консольный Валенсия СТМ011 900*750*420</t>
  </si>
  <si>
    <t>Тумба прикроватная Валенсия ТБ011 500*430*450</t>
  </si>
  <si>
    <t>Стеллаж №1 Zett Lite Белый 850*1870*288</t>
  </si>
  <si>
    <t>Стеллаж №2 Белый текстура 680*1770*304</t>
  </si>
  <si>
    <t>Полка навесная ПЛ1 850*850*180</t>
  </si>
  <si>
    <t>Полка навесная ПЛ2 1042*1042*180</t>
  </si>
  <si>
    <t>Полка навесная ПЛ3 1050*600*180</t>
  </si>
  <si>
    <t>Полка навесная ПЛ4 1050*600*180</t>
  </si>
  <si>
    <t>Стеллаж №1 Zett Lite Венге 850*1870*288</t>
  </si>
  <si>
    <t>Стеллаж №1 Zett Lite Белфорд 850*1870*288</t>
  </si>
  <si>
    <t>Стеллаж №1 Zett Lite Дуб сонома 850*1870*288</t>
  </si>
  <si>
    <t>наименование</t>
  </si>
  <si>
    <t xml:space="preserve"> WB ЛЕТТА</t>
  </si>
  <si>
    <t xml:space="preserve"> WB МАЙЛЕТТА</t>
  </si>
  <si>
    <t xml:space="preserve"> FBO OZON SKU ID ЛЕТТА</t>
  </si>
  <si>
    <t xml:space="preserve"> FBS OZON SKU ID ЛЕТТА</t>
  </si>
  <si>
    <t>ПУФЫ</t>
  </si>
  <si>
    <t>ПОЛКИ</t>
  </si>
  <si>
    <t>ОБУВНИЦЫ</t>
  </si>
  <si>
    <t>КОМОДЫ</t>
  </si>
  <si>
    <t>ДИВАНЫ</t>
  </si>
  <si>
    <t>ВЕШАЛКИ</t>
  </si>
  <si>
    <t>КОРОБА</t>
  </si>
  <si>
    <t>КРЕСЛО-КРОВАТИ</t>
  </si>
  <si>
    <t>КРЕСЛО-МЕШКИ</t>
  </si>
  <si>
    <t>СТЕЛЛАЖИ</t>
  </si>
  <si>
    <t>СТОЛЫ</t>
  </si>
  <si>
    <t>СТУЛЬЯ</t>
  </si>
  <si>
    <t>ТАБУРЕТЫ</t>
  </si>
  <si>
    <t>ШЕЗЛОНГИ</t>
  </si>
  <si>
    <t>ШКАФЫ</t>
  </si>
  <si>
    <t>СТОЛИКИ ЖУРНАЛЬНЫЕ</t>
  </si>
  <si>
    <t>Стол рабочий Lite с полкой Белое тиснение</t>
  </si>
  <si>
    <t>FBO OZON SKU ID МАЙЛЕТТА</t>
  </si>
  <si>
    <t>FBS OZON SKU ID МАЙЛЕТТА</t>
  </si>
  <si>
    <t>Комод Lite 5 ящиков Венге  350х890х354</t>
  </si>
  <si>
    <t>Комод Lite 5 ящиков Дуб сонома 350х890х354</t>
  </si>
  <si>
    <t>Стеллаж Quattro 4 секции Венге 362х1396х280</t>
  </si>
  <si>
    <t>Стеллаж Quattro 4 секции Дуб сонома 362х1396х280</t>
  </si>
  <si>
    <t>Шкаф книжный Ultra 4 секции Венге 400х1157х290</t>
  </si>
  <si>
    <t>Шкаф книжный Ultra 4 секции Дуб сонома 400х1157х290</t>
  </si>
  <si>
    <t>Стеллаж Style 5 секций Венге 502х784х254</t>
  </si>
  <si>
    <t>Стеллаж Style 5 секций Дуб сонома  502х784х254</t>
  </si>
  <si>
    <t>Стеллаж Style 7 секций Венге 502х1040х254</t>
  </si>
  <si>
    <t>Стеллаж Style 7 секций Дуб сонома  502х1040х254</t>
  </si>
  <si>
    <t>Книжный шкаф  Style с 3 дверками Венге 706х1048х300</t>
  </si>
  <si>
    <t>Книжный шкаф  Style с 3 дверками Дуб сонома 706х1048х300</t>
  </si>
  <si>
    <t>Книжный шкаф  Style с  дверкой Белое тиснение 362х704х300</t>
  </si>
  <si>
    <t>Стеллаж Bali с ящиком Дуб сонома/Белое тиснение 700х1800х284</t>
  </si>
  <si>
    <t>Стол стеллаж Lite Белое тиснение 1100х1282х400</t>
  </si>
  <si>
    <t>Столик рабочий  Blues Белое тиснение 450х750/904х300/984</t>
  </si>
  <si>
    <t>Комод Loft 2х дверный Белое тиснение 760х780х354</t>
  </si>
  <si>
    <t>Стеллаж Little 4 секции Белое тиснение706х1048х284</t>
  </si>
  <si>
    <t>Комод Ultra Lite 3 ящика Белое тиснение 698х637х354</t>
  </si>
  <si>
    <t>Вешалка выкатная Ultra с полками Белое тиснение</t>
  </si>
  <si>
    <t>Матрас ватный (Реген.волокно,усил набивка) 90х190</t>
  </si>
  <si>
    <t>Стол письменный УЛЬТРА (1,097х0,75х0,493) БЕЛЫЙ ТЕКСТУРА</t>
  </si>
  <si>
    <t>Стол письменный УЛЬТРА (1,097х0,75х0,493) ВЕНГЕ</t>
  </si>
  <si>
    <t>Комод Ультра (0,778х0,794х0,325) БЕЛЫЙ ТЕКСТУРА</t>
  </si>
  <si>
    <t>Комод Ультра (0,778х0,794х0,325) ДУБ СОНОМА</t>
  </si>
  <si>
    <t>Комод Ультра (0,778х0,794х0,325) ВЕНГЕ</t>
  </si>
  <si>
    <t>Стол рабочий Ultra Plus Белое тиснение 1096х736х502</t>
  </si>
  <si>
    <t>Стул мягкий Аника ноги черные CF 041-16, комплет 2шт.</t>
  </si>
  <si>
    <t>Стеллаж Style Комфорт 6 секций Дуб сонома</t>
  </si>
  <si>
    <t>Стол компьютерный навесной с изменяемой высотой Next Венге 1032х914х470</t>
  </si>
  <si>
    <t>Стол компьютерный навесной с изменяемой высотой Next Дуб сонома 1032х914х470</t>
  </si>
  <si>
    <t>Стеллаж тумба под ТВ Zett Орех Лион/Белое тиснен.</t>
  </si>
  <si>
    <t>Стул мягкий Аника ноги белые, бирюзовый CF 041-11, комплет 2шт.</t>
  </si>
  <si>
    <t>Стул мягкий Аника ноги белые, светло-бежеый, комплет 2шт.</t>
  </si>
  <si>
    <t>Стул Брусто Парма 03,опора редуциров., ваниль моар (комплект 2шт.)</t>
  </si>
  <si>
    <t>Стул Найс Замша 001-11 ,опора редуциров., белый моар (комплект 2шт.)</t>
  </si>
  <si>
    <t>Полка Школьник Белый</t>
  </si>
  <si>
    <t>Полка Школьник Венге Цаво</t>
  </si>
  <si>
    <t>Стол компьютерный Malta Plus с ящиком Венге, шт</t>
  </si>
  <si>
    <t>Стол компьютерный Malta Plus с ящиком Дуб сонома/Белое тиснение, шт</t>
  </si>
  <si>
    <t>Стол рабочий City Plus Белое тиснен., шт</t>
  </si>
  <si>
    <t>Стеллаж двухцветный 1180х570х262 белый</t>
  </si>
  <si>
    <t>Стеллаж Mixit 8 Серый Графит/Белый+Кромка БЕЛ(Hardy)</t>
  </si>
  <si>
    <t>Стеллаж Mixit 8 Серый Графит/Белый+Кромка СЕР(Hardy)</t>
  </si>
  <si>
    <t>Стеллаж Mixit 9 Серый Графит/БЕЛЫЙ+ кромка БЕЛ (Hardy)</t>
  </si>
  <si>
    <t>Стеллаж Mixit 9 Серый Графит/БЕЛЫЙ+ кромка СЕР (Hardy)</t>
  </si>
  <si>
    <t>Стеллаж Style Комфорт 6 секций БЕЛЫЙ</t>
  </si>
  <si>
    <t>Стеллаж Style Комфорт 6 секций ВЕНГЕ</t>
  </si>
  <si>
    <t>Стол-тумба-стеллаж Венге 900х554х350 (без колес)</t>
  </si>
  <si>
    <t>Стол компьютерный Nike Белое тиснение 1046х862х400</t>
  </si>
  <si>
    <t>Шкаф-комод Ультра с полками Белое тиснение</t>
  </si>
  <si>
    <t>Стеллаж Lite Белое тиснение 600х1800х280</t>
  </si>
  <si>
    <t>Комод Line Белое тиснение</t>
  </si>
  <si>
    <t>Комод Ultra 2-х дверный с ящ. Белое тиснение</t>
  </si>
  <si>
    <t>Комод Stile c полками Белое тиснение</t>
  </si>
  <si>
    <t>Шкаф комод Style 2х дверный Белое тиснение 706х1115х254</t>
  </si>
  <si>
    <t>Тумба под ТВ Zett с ящиком Белое тиснение 1042х443х283</t>
  </si>
  <si>
    <t>Стол журнальный Line с ящиками Белое тиснение 786х320х562</t>
  </si>
  <si>
    <t>Стол журнальный Line Plus с ящиками Белое тиснение 658х440х562</t>
  </si>
  <si>
    <t>Стеллаж тумба под ТВ Bali Белое тиснение, шт</t>
  </si>
  <si>
    <t>Стеллаж Jazz Plus Белое тиснение, шт</t>
  </si>
  <si>
    <t>Стеллаж двухцветный 1180х570х262 черный/белый</t>
  </si>
  <si>
    <t>Тумба Николь Плюс прикроватн. Дуб сонома/Бодега светлый 400х445х386</t>
  </si>
  <si>
    <t>Комод Twist Белое тиснение 800х916х304</t>
  </si>
  <si>
    <t>Стол письменный УЛЬТРА (1,097х0,75х0,493) ДУБ СОНОМА</t>
  </si>
  <si>
    <t>Столик консольный Валенсия Дуб Белфорт СТМ011 900*750*420</t>
  </si>
  <si>
    <t>Столик консольный Валенсия Дуб сонома СТМ011 900*750*420</t>
  </si>
  <si>
    <t>Стеллаж Twist Белое тиснение 400х1252х304</t>
  </si>
  <si>
    <t>Тумба Twist Белое тиснение 400х438х304</t>
  </si>
  <si>
    <t>Стол журнальный Ультра Белое тиснение 530х450х530</t>
  </si>
  <si>
    <t>Стол стеллаж Zett Венге</t>
  </si>
  <si>
    <t>Стол стеллаж Zett Дуб Сонома</t>
  </si>
  <si>
    <t>Стол рабочий Ultra Дуб сонома/Белое тиснение</t>
  </si>
  <si>
    <t>Шкаф комод Quattro Дуб Вотан/Антрацит 770х770х354</t>
  </si>
  <si>
    <t>Стеллаж Zett универсальный Белое тиснение</t>
  </si>
  <si>
    <t>Шкаф комод Quattro Белое тиснение/Антрацит 770х770х354</t>
  </si>
  <si>
    <t>Стол письменный УЛЬТРА (1,097х0,75х0,493) ДУБ СОНОМА/БЕЛЫЙ ТЕКСТУРА</t>
  </si>
  <si>
    <t>Комод Ультра (0,778х0,794х0,325)  БЕЛОЕ ТИСНЕНИЕ/ДУБ СОНОМА</t>
  </si>
  <si>
    <t>Стеллаж тумба под ТВ Lite Орех лион/Белое тисн. 1100х1112х280</t>
  </si>
  <si>
    <t>Стол компьютерный Ultra Plus c 2 ящ. Белое тиснение 900х750х450</t>
  </si>
  <si>
    <t>Стол компьютерный City 4 ящ. Белое тиснение 1100х730х450</t>
  </si>
  <si>
    <t>Комод Blues 2х дверн. с ящ. Дуб Вотан/Белое тиснен. 850х795х320</t>
  </si>
  <si>
    <t>Комод Blues 1-o дверн. С ящ. и полками Дуб Вотан/Белое тиснен. 586х795х320</t>
  </si>
  <si>
    <t>Комод Blues 1-o дверн. с полкой Дуб Вотан/Белое тиснен. 426х795х320</t>
  </si>
  <si>
    <t>Стол компьютерный Nika Plus Белое тиснен./Антрацид 1274х816х400</t>
  </si>
  <si>
    <t>Стол компьютерный Nike Lite Белое тиснен./Антрацит 1010х736х400</t>
  </si>
  <si>
    <t>Стеллаж Labirint Дуб Вотан 1096х1116х250</t>
  </si>
  <si>
    <t>Стеллаж полка Malta средний Белое тиснение  1000х1060х220</t>
  </si>
  <si>
    <t>Стеллаж Lite Plus  Белое тиснение  916х1572х280</t>
  </si>
  <si>
    <t>Стеллаж Quattro Plus Белое тиснение/Антрацит 1100х1065х220</t>
  </si>
  <si>
    <t>Тумба под ТВ Blues Белое тиснение/Антрацит 1074х668х304</t>
  </si>
  <si>
    <t>Шкаф стеллаж Blues Белое тиснение /Антрацит 722х1857х320</t>
  </si>
  <si>
    <t>Стол рабочий Zett</t>
  </si>
  <si>
    <t>Комод Ultra 1-о дверн. С ящ. Белое тиснение 400х763х354</t>
  </si>
  <si>
    <t>Тумба прикроватная Ultra с ящ. Белое тиснение 390х414х284</t>
  </si>
  <si>
    <t>Шкаф Style 1-о дверн. Белое тиснение 362х1190х254</t>
  </si>
  <si>
    <t>Стеллаж ZettX Белое тиснение /Дуб сонома 750х1380х274</t>
  </si>
  <si>
    <t>Стеллаж Universal Белое тиснение 1100х1716х320</t>
  </si>
  <si>
    <t>Комод Praga 3 ящика с полкой Дуб Вотан/Белое тиснен. 800х730х454</t>
  </si>
  <si>
    <t>Тумба под ТВ Country Белое тиснение 1100х450х350</t>
  </si>
  <si>
    <t>Стеллаж Zett Ультра Дуб Вотан 730х1757х250</t>
  </si>
  <si>
    <t>Стеллаж Zett Ультра Пельтро 730х1757х250</t>
  </si>
  <si>
    <t>Комод Ультра (0,778х0,794х0,325) ВЕНГЕ/ДУБ БЕЛФОРД</t>
  </si>
  <si>
    <t>Тумба прикроватная Валенсия Дуб Сонома ТБ011 500*430*450</t>
  </si>
  <si>
    <t>Тумба прикроватная Валенсия Венге ТБ011 500*430*450</t>
  </si>
  <si>
    <t>Тумба прикроватная Валенсия Дуб Белфорт ТБ011 500*430*450</t>
  </si>
  <si>
    <t>Стул Верона ножки черные, красный CF 041-06, комплект 2шт.</t>
  </si>
  <si>
    <t>Стул София ножки черные, бежевый CF 041-04, комплект 2шт.</t>
  </si>
  <si>
    <t>Стул София ножки черные, розовый CF 041-05, комплект 2шт.</t>
  </si>
  <si>
    <t>Стул Софт ножки черные, серый  CF 041-16, комплект 2шт.</t>
  </si>
  <si>
    <t>Стул Софт ножки черные, слоновая кость  CF 041-01, комплект 2шт.</t>
  </si>
  <si>
    <t>Стул Саваж ножки черные, красный CF 041-06, комплект 2шт.</t>
  </si>
  <si>
    <t>Стул Саваж ножки черные, голубой CF 041-09, комплект 2шт.</t>
  </si>
  <si>
    <t>Стул Коста ножки черные, морская волна CF 041-12, комплект 2шт.</t>
  </si>
  <si>
    <t>Стул Коста ножки черные, бордо CF 041-23, комплект 2шт.</t>
  </si>
  <si>
    <t>Стул Дуглас ножки черные, черный CF 041-20, комплект 2шт.</t>
  </si>
  <si>
    <t>Стул Дуглас ножки черные, св. серый CF 041-15, комплект 2шт.</t>
  </si>
  <si>
    <t>Столик консольный Валенсия Венге СТМ011 900*750*420</t>
  </si>
  <si>
    <t>Менеджер</t>
  </si>
  <si>
    <t>Комод тумба офисная Praga 6 ящиков выкатной Белое тиснение 350х650х400</t>
  </si>
  <si>
    <t>Обувница-стеллаж  Лайт Плюс 50х125х32 Дуб сонома</t>
  </si>
  <si>
    <t>Обувница вертикальная Мальта Белое тиснение 53х82х22</t>
  </si>
  <si>
    <t>Стол компьютерный рабочий Orion черный/красная кромка 110х75х60</t>
  </si>
  <si>
    <t>Тумба под ТВ Zетт с ящиком Дуб сонома 1042х443(h)х283</t>
  </si>
  <si>
    <t>Тумба под ТВ Zетт с ящиком Черная 1042х443(h)х283</t>
  </si>
  <si>
    <t>Стеллаж тумба под ТВ Zett Пельтро/Белое тиснение 1100х1112(h)х280</t>
  </si>
  <si>
    <t>Стеллаж тумба под ТВ Zett Белое тиснение 1100х1112(h)х280</t>
  </si>
  <si>
    <t>Стеллаж Zett Plus Белое тиснение</t>
  </si>
  <si>
    <t>L2405</t>
  </si>
  <si>
    <t>L2459</t>
  </si>
  <si>
    <t>L2460</t>
  </si>
  <si>
    <t>L2461</t>
  </si>
  <si>
    <t>L2467</t>
  </si>
  <si>
    <t>L2473</t>
  </si>
  <si>
    <t>L2474</t>
  </si>
  <si>
    <t>L2476</t>
  </si>
  <si>
    <t>L2477</t>
  </si>
  <si>
    <t>L2482</t>
  </si>
  <si>
    <t>L2484</t>
  </si>
  <si>
    <t>L2486</t>
  </si>
  <si>
    <t>L2487</t>
  </si>
  <si>
    <t>L2489</t>
  </si>
  <si>
    <t>L2490</t>
  </si>
  <si>
    <t>L2491</t>
  </si>
  <si>
    <t>L2492</t>
  </si>
  <si>
    <t>L2493</t>
  </si>
  <si>
    <t>L2494</t>
  </si>
  <si>
    <t>L2496</t>
  </si>
  <si>
    <t>L2497</t>
  </si>
  <si>
    <t>L2498</t>
  </si>
  <si>
    <t>L2504</t>
  </si>
  <si>
    <t>L2515</t>
  </si>
  <si>
    <t>L2526</t>
  </si>
  <si>
    <t>L2537</t>
  </si>
  <si>
    <t>L2541</t>
  </si>
  <si>
    <t>L2550</t>
  </si>
  <si>
    <t>L2563</t>
  </si>
  <si>
    <t>L2569</t>
  </si>
  <si>
    <t>L2572</t>
  </si>
  <si>
    <t>L2573</t>
  </si>
  <si>
    <t>L2574</t>
  </si>
  <si>
    <t>L2600</t>
  </si>
  <si>
    <t>L2601</t>
  </si>
  <si>
    <t>L2602</t>
  </si>
  <si>
    <t>L2603</t>
  </si>
  <si>
    <t>L2604</t>
  </si>
  <si>
    <t>L2605</t>
  </si>
  <si>
    <t>L2606</t>
  </si>
  <si>
    <t>L2607</t>
  </si>
  <si>
    <t>L2608</t>
  </si>
  <si>
    <t>L2609</t>
  </si>
  <si>
    <t>L2610</t>
  </si>
  <si>
    <t>L2611</t>
  </si>
  <si>
    <t>L2612</t>
  </si>
  <si>
    <t>L2613</t>
  </si>
  <si>
    <t>L2614</t>
  </si>
  <si>
    <t>L2618</t>
  </si>
  <si>
    <t>L2619</t>
  </si>
  <si>
    <t>L2620</t>
  </si>
  <si>
    <t>L2623</t>
  </si>
  <si>
    <t>L2624</t>
  </si>
  <si>
    <t>L2628</t>
  </si>
  <si>
    <t>L2631</t>
  </si>
  <si>
    <t>L2632</t>
  </si>
  <si>
    <t>L2633</t>
  </si>
  <si>
    <t>L2640</t>
  </si>
  <si>
    <t>L2641</t>
  </si>
  <si>
    <t>L2642</t>
  </si>
  <si>
    <t>L2643</t>
  </si>
  <si>
    <t>L2644</t>
  </si>
  <si>
    <t>L2645</t>
  </si>
  <si>
    <t>L2646</t>
  </si>
  <si>
    <t>L2648</t>
  </si>
  <si>
    <t>L2652</t>
  </si>
  <si>
    <t>L2656</t>
  </si>
  <si>
    <t>L2664</t>
  </si>
  <si>
    <t>L2665</t>
  </si>
  <si>
    <t>L2666</t>
  </si>
  <si>
    <t>L2667</t>
  </si>
  <si>
    <t>L2669</t>
  </si>
  <si>
    <t>L2670</t>
  </si>
  <si>
    <t>L2675</t>
  </si>
  <si>
    <t>L2679</t>
  </si>
  <si>
    <t>L2680</t>
  </si>
  <si>
    <t>L2681</t>
  </si>
  <si>
    <t>L2682</t>
  </si>
  <si>
    <t>L2683</t>
  </si>
  <si>
    <t>L2685</t>
  </si>
  <si>
    <t>L2686</t>
  </si>
  <si>
    <t>L2687</t>
  </si>
  <si>
    <t>L2693</t>
  </si>
  <si>
    <t>L2694</t>
  </si>
  <si>
    <t>L2695</t>
  </si>
  <si>
    <t>L2696</t>
  </si>
  <si>
    <t>L2697</t>
  </si>
  <si>
    <t>L2698</t>
  </si>
  <si>
    <t>L2699</t>
  </si>
  <si>
    <t>L2851</t>
  </si>
  <si>
    <t>L2852</t>
  </si>
  <si>
    <t>L2853</t>
  </si>
  <si>
    <t>L2855</t>
  </si>
  <si>
    <t>L2900</t>
  </si>
  <si>
    <t>L2901</t>
  </si>
  <si>
    <t>L2902</t>
  </si>
  <si>
    <t>L2908</t>
  </si>
  <si>
    <t>L2909</t>
  </si>
  <si>
    <t>L2910</t>
  </si>
  <si>
    <t>L2911</t>
  </si>
  <si>
    <t>L2912</t>
  </si>
  <si>
    <t>L2913</t>
  </si>
  <si>
    <t>L2917</t>
  </si>
  <si>
    <t>L2925</t>
  </si>
  <si>
    <t>L2926</t>
  </si>
  <si>
    <t>L2927</t>
  </si>
  <si>
    <t>L2936</t>
  </si>
  <si>
    <t>L2937</t>
  </si>
  <si>
    <t>L2938</t>
  </si>
  <si>
    <t>L2939</t>
  </si>
  <si>
    <t>L2940</t>
  </si>
  <si>
    <t>L2941</t>
  </si>
  <si>
    <t>L2942</t>
  </si>
  <si>
    <t>L2943</t>
  </si>
  <si>
    <t>L2944</t>
  </si>
  <si>
    <t>L2945</t>
  </si>
  <si>
    <t>L2946</t>
  </si>
  <si>
    <t>L2947</t>
  </si>
  <si>
    <t>L2948</t>
  </si>
  <si>
    <t>L2949</t>
  </si>
  <si>
    <t>L2950</t>
  </si>
  <si>
    <t>L2951</t>
  </si>
  <si>
    <t>L2952</t>
  </si>
  <si>
    <t>L2953</t>
  </si>
  <si>
    <t>L2954</t>
  </si>
  <si>
    <t>L2958</t>
  </si>
  <si>
    <t>L2959</t>
  </si>
  <si>
    <t>L2960</t>
  </si>
  <si>
    <t>L2961</t>
  </si>
  <si>
    <t>L2962</t>
  </si>
  <si>
    <t>L2963</t>
  </si>
  <si>
    <t>L2964</t>
  </si>
  <si>
    <t>L2965</t>
  </si>
  <si>
    <t>L2966</t>
  </si>
  <si>
    <t>L2970</t>
  </si>
  <si>
    <t>L2971</t>
  </si>
  <si>
    <t>L2972</t>
  </si>
  <si>
    <t>L2973</t>
  </si>
  <si>
    <t>L2974</t>
  </si>
  <si>
    <t>L2975</t>
  </si>
  <si>
    <t>L2976</t>
  </si>
  <si>
    <t>L2977</t>
  </si>
  <si>
    <t>L2978</t>
  </si>
  <si>
    <t>L2985</t>
  </si>
  <si>
    <t>L2986</t>
  </si>
  <si>
    <t>L2994</t>
  </si>
  <si>
    <t>L2995</t>
  </si>
  <si>
    <t>L2996</t>
  </si>
  <si>
    <t>L2998</t>
  </si>
  <si>
    <t>L2999</t>
  </si>
  <si>
    <t>L3000</t>
  </si>
  <si>
    <t>L3001</t>
  </si>
  <si>
    <t>L3002</t>
  </si>
  <si>
    <t>L3003</t>
  </si>
  <si>
    <t>L3004</t>
  </si>
  <si>
    <t>L3005</t>
  </si>
  <si>
    <t>L3006</t>
  </si>
  <si>
    <t>L3007</t>
  </si>
  <si>
    <t>L3008</t>
  </si>
  <si>
    <t>L3012</t>
  </si>
  <si>
    <t>L3013</t>
  </si>
  <si>
    <t>L3014</t>
  </si>
  <si>
    <t>L3015</t>
  </si>
  <si>
    <t>L3016</t>
  </si>
  <si>
    <t>L3017</t>
  </si>
  <si>
    <t>L3018</t>
  </si>
  <si>
    <t>L3019</t>
  </si>
  <si>
    <t>L3020</t>
  </si>
  <si>
    <t>L3021</t>
  </si>
  <si>
    <t>L3022</t>
  </si>
  <si>
    <t>L3023</t>
  </si>
  <si>
    <t>L3024</t>
  </si>
  <si>
    <t>L3025</t>
  </si>
  <si>
    <t>L3026</t>
  </si>
  <si>
    <t>L3027</t>
  </si>
  <si>
    <t>L3028</t>
  </si>
  <si>
    <t>L3029</t>
  </si>
  <si>
    <t>L3030</t>
  </si>
  <si>
    <t>L3031</t>
  </si>
  <si>
    <t>L3032</t>
  </si>
  <si>
    <t>L3033</t>
  </si>
  <si>
    <t>L3034</t>
  </si>
  <si>
    <t>L3035</t>
  </si>
  <si>
    <t>L3037</t>
  </si>
  <si>
    <t>L3039</t>
  </si>
  <si>
    <t>L3040</t>
  </si>
  <si>
    <t>L3041</t>
  </si>
  <si>
    <t>L3051</t>
  </si>
  <si>
    <t>L3052</t>
  </si>
  <si>
    <t>L3054</t>
  </si>
  <si>
    <t>L3055</t>
  </si>
  <si>
    <t>L3057</t>
  </si>
  <si>
    <t>L3073</t>
  </si>
  <si>
    <t>L3076</t>
  </si>
  <si>
    <t>L3077</t>
  </si>
  <si>
    <t>L3078</t>
  </si>
  <si>
    <t>L3079</t>
  </si>
  <si>
    <t>L3080</t>
  </si>
  <si>
    <t>L3081</t>
  </si>
  <si>
    <t>L3085</t>
  </si>
  <si>
    <t>L3086</t>
  </si>
  <si>
    <t>L3087</t>
  </si>
  <si>
    <t>L3088</t>
  </si>
  <si>
    <t>L3089</t>
  </si>
  <si>
    <t>L3090</t>
  </si>
  <si>
    <t>L3094</t>
  </si>
  <si>
    <t>L3116</t>
  </si>
  <si>
    <t>L3172</t>
  </si>
  <si>
    <t>L3234</t>
  </si>
  <si>
    <t>L3235</t>
  </si>
  <si>
    <t>L9398</t>
  </si>
  <si>
    <t>L9404</t>
  </si>
  <si>
    <t>L9405</t>
  </si>
  <si>
    <t>L9406</t>
  </si>
  <si>
    <t>L135521</t>
  </si>
  <si>
    <t>L135531</t>
  </si>
  <si>
    <t>L135532</t>
  </si>
  <si>
    <t>L135533</t>
  </si>
  <si>
    <t>L135534</t>
  </si>
  <si>
    <t>L135535</t>
  </si>
  <si>
    <t>L580325</t>
  </si>
  <si>
    <t>L580327</t>
  </si>
  <si>
    <t>L580333</t>
  </si>
  <si>
    <t>L580334</t>
  </si>
  <si>
    <t>L580335</t>
  </si>
  <si>
    <t>L580349</t>
  </si>
  <si>
    <t>L580350</t>
  </si>
  <si>
    <t>L580351</t>
  </si>
  <si>
    <t>L0421</t>
  </si>
  <si>
    <t>L0422</t>
  </si>
  <si>
    <t>Яндексмаркет ЛЕТТА</t>
  </si>
  <si>
    <t>Вешалка выкатная Ultra с полками Дуб Сонома 786х1463(h)х250</t>
  </si>
  <si>
    <t>Вешалка выкатная Ultra с полками Черная 786х1463(h)х250</t>
  </si>
  <si>
    <t>Стол рабочий Мальта с надстройкой Белое тиснение 1100*910(h)*400</t>
  </si>
  <si>
    <t>Диван-кровать Найс с подлокотниками Ткань  MONACO   1420х820х907</t>
  </si>
  <si>
    <t>Кресло-кровать Найс Компакт Ткань MONACO 780х820х900</t>
  </si>
  <si>
    <t>Тумба для обуви Белое тиснение/Кожзам Аламомилк 1042х500(h)х295</t>
  </si>
  <si>
    <t>Тумба для обуви Белое тиснение/Кожзам Аламомилк 786х500(h)х295</t>
  </si>
  <si>
    <t>Тумба для обуви Мальта Белое тиснение/Кожзам Аламомилк 614х470(h)х314</t>
  </si>
  <si>
    <t>Тумба для обуви Мальта Белое тиснение/Кожзам Аламомилк 1054х510(h)х314</t>
  </si>
  <si>
    <t>Кухонный табурет найс чоко сид. 33*33</t>
  </si>
  <si>
    <t>Кухонный табурет найс беж/сид. 33*33</t>
  </si>
  <si>
    <t>Кухонный табурет найс вайт сид. 33*33</t>
  </si>
  <si>
    <t>Кухонный табурет найс блек /сид. 33*33</t>
  </si>
  <si>
    <t>Стул "Малибу" каркас хром, Шоколад CF041-19, Комп. 2 шт</t>
  </si>
  <si>
    <t>Стол письменный УЛЬТРА (1,097х0,75х0,493) ВЕНГЕ/БЕЛФОРТ</t>
  </si>
  <si>
    <t>L2488</t>
  </si>
  <si>
    <t>L0155</t>
  </si>
  <si>
    <t>L0153</t>
  </si>
  <si>
    <t>L0163</t>
  </si>
  <si>
    <t>L0152</t>
  </si>
  <si>
    <t>L3036</t>
  </si>
  <si>
    <t>L2653</t>
  </si>
  <si>
    <t>L3153</t>
  </si>
  <si>
    <t>L3355</t>
  </si>
  <si>
    <t>L3356</t>
  </si>
  <si>
    <t>L2997</t>
  </si>
  <si>
    <t>L2919</t>
  </si>
  <si>
    <t>L2920</t>
  </si>
  <si>
    <t>L2921</t>
  </si>
  <si>
    <t>L3042</t>
  </si>
  <si>
    <t>L3043</t>
  </si>
  <si>
    <t>L3044</t>
  </si>
  <si>
    <t>L3119</t>
  </si>
  <si>
    <t>L3125</t>
  </si>
  <si>
    <t>L3132</t>
  </si>
  <si>
    <t>L3143</t>
  </si>
  <si>
    <t>L3149</t>
  </si>
  <si>
    <t>L3150</t>
  </si>
  <si>
    <t>L3151</t>
  </si>
  <si>
    <t>L3152</t>
  </si>
  <si>
    <t>L3107</t>
  </si>
  <si>
    <t>L3164</t>
  </si>
  <si>
    <t>L3170</t>
  </si>
  <si>
    <t>L3175</t>
  </si>
  <si>
    <t>L3176</t>
  </si>
  <si>
    <t>L3177</t>
  </si>
  <si>
    <t>L3203</t>
  </si>
  <si>
    <t>L3162</t>
  </si>
  <si>
    <t>L3201</t>
  </si>
  <si>
    <t>L739</t>
  </si>
  <si>
    <t>L20039</t>
  </si>
  <si>
    <t>L0762</t>
  </si>
  <si>
    <t>L0133</t>
  </si>
  <si>
    <t>L0135</t>
  </si>
  <si>
    <t>L3357</t>
  </si>
  <si>
    <t>L3358</t>
  </si>
  <si>
    <t>L3359</t>
  </si>
  <si>
    <t>L3360</t>
  </si>
  <si>
    <t>L3130</t>
  </si>
  <si>
    <t>L3190</t>
  </si>
  <si>
    <t>L3208</t>
  </si>
  <si>
    <t>L9400</t>
  </si>
  <si>
    <t>L9401</t>
  </si>
  <si>
    <t>L9402</t>
  </si>
  <si>
    <t>L9403</t>
  </si>
  <si>
    <t>L2987</t>
  </si>
  <si>
    <t>L580336</t>
  </si>
  <si>
    <t>L3104</t>
  </si>
  <si>
    <t>L3155</t>
  </si>
  <si>
    <t>L3157</t>
  </si>
  <si>
    <t>L3159</t>
  </si>
  <si>
    <t>L3204</t>
  </si>
  <si>
    <t>L3195</t>
  </si>
  <si>
    <t>L770325</t>
  </si>
  <si>
    <t>L770327</t>
  </si>
  <si>
    <t>L3160</t>
  </si>
  <si>
    <t>L3212</t>
  </si>
  <si>
    <t>L3213</t>
  </si>
  <si>
    <t>L3171</t>
  </si>
  <si>
    <t>L3361</t>
  </si>
  <si>
    <t>L3362</t>
  </si>
  <si>
    <t>L3363</t>
  </si>
  <si>
    <t>L3364</t>
  </si>
  <si>
    <t>L9399</t>
  </si>
  <si>
    <t>L3061</t>
  </si>
  <si>
    <t>L3082</t>
  </si>
  <si>
    <t>L9393</t>
  </si>
  <si>
    <t>L2671</t>
  </si>
  <si>
    <t>L2660</t>
  </si>
  <si>
    <t>L2636</t>
  </si>
  <si>
    <t>L2637</t>
  </si>
  <si>
    <t>L3062</t>
  </si>
  <si>
    <t>L3063</t>
  </si>
  <si>
    <t>L3122</t>
  </si>
  <si>
    <t>L9409</t>
  </si>
  <si>
    <t>L3146</t>
  </si>
  <si>
    <t>L3167</t>
  </si>
  <si>
    <t>L9417</t>
  </si>
  <si>
    <t>L3101</t>
  </si>
  <si>
    <t>L3180</t>
  </si>
  <si>
    <t>L3181</t>
  </si>
  <si>
    <t>L3184</t>
  </si>
  <si>
    <t>L3232</t>
  </si>
  <si>
    <t>L3067</t>
  </si>
  <si>
    <t>L3064</t>
  </si>
  <si>
    <t>L9394</t>
  </si>
  <si>
    <t>L9395</t>
  </si>
  <si>
    <t>L2657</t>
  </si>
  <si>
    <t>L2672</t>
  </si>
  <si>
    <t>L9397</t>
  </si>
  <si>
    <t>L3137</t>
  </si>
  <si>
    <t>L9396</t>
  </si>
  <si>
    <t>L135523</t>
  </si>
  <si>
    <t>L3134</t>
  </si>
  <si>
    <t>L3065</t>
  </si>
  <si>
    <t>L3068</t>
  </si>
  <si>
    <t>L3069</t>
  </si>
  <si>
    <t>L3148</t>
  </si>
  <si>
    <t>L3140</t>
  </si>
  <si>
    <t>L135522</t>
  </si>
  <si>
    <t>L770322</t>
  </si>
  <si>
    <t>L770324</t>
  </si>
  <si>
    <t>L3138</t>
  </si>
  <si>
    <t>L3139</t>
  </si>
  <si>
    <t>L135524</t>
  </si>
  <si>
    <t>L3173</t>
  </si>
  <si>
    <t>L3178</t>
  </si>
  <si>
    <t>L3179</t>
  </si>
  <si>
    <t>L3200</t>
  </si>
  <si>
    <t>L3354</t>
  </si>
  <si>
    <t>L135525</t>
  </si>
  <si>
    <t>L59568</t>
  </si>
  <si>
    <t>L59567</t>
  </si>
  <si>
    <t>L59569</t>
  </si>
  <si>
    <t>L3038</t>
  </si>
  <si>
    <t>L59561</t>
  </si>
  <si>
    <t>L59594</t>
  </si>
  <si>
    <t>L59595</t>
  </si>
  <si>
    <t>L59600</t>
  </si>
  <si>
    <t>L59601</t>
  </si>
  <si>
    <t>L59575</t>
  </si>
  <si>
    <t>L59571</t>
  </si>
  <si>
    <t>L59570</t>
  </si>
  <si>
    <t>L59572</t>
  </si>
  <si>
    <t>L595959</t>
  </si>
  <si>
    <t>L595960</t>
  </si>
  <si>
    <t>L595961</t>
  </si>
  <si>
    <t>L595962</t>
  </si>
  <si>
    <t>Стул "Малибу" каркас хром, Черный CF041-20, Компл. 2 шт</t>
  </si>
  <si>
    <t>Стеллаж 6 секций Лайт Дуб сонома 1074х720х330</t>
  </si>
  <si>
    <t>Тумба подвесная Мальта Белое тиснение 610х200х290</t>
  </si>
  <si>
    <t>Тумба подвесная с двойным ящиком Мальта Плюс Белое тиснение 910х200х290</t>
  </si>
  <si>
    <t>Стеллаж 6 секций Лайт Белое тиснение 1074х720х330</t>
  </si>
  <si>
    <t>Стеллаж 6 секций Лайт Венге 1074х720х330</t>
  </si>
  <si>
    <t>Стеллаж угловой Jazz Plus Белый 1780х350х350</t>
  </si>
  <si>
    <t>Стеллаж угловой Jazz Plus Дуб сонома 1780х350х350</t>
  </si>
  <si>
    <t>Стеллаж угловой Jazz Plus Венге 1780х350х350</t>
  </si>
  <si>
    <t>Этажерка Blues Белое тиснение</t>
  </si>
  <si>
    <t>ЭТАЖЕРКИ</t>
  </si>
  <si>
    <t>Диван еврокнижка Рокфорд Саpri 13  2003х800х1550</t>
  </si>
  <si>
    <t>Диван еврокнижка Рокфорд Neo 02 2003х800х1550</t>
  </si>
  <si>
    <t>М000101</t>
  </si>
  <si>
    <t>М000120</t>
  </si>
  <si>
    <t>Стол-стеллаж Jazz Дуб сонома 1140*490*1030</t>
  </si>
  <si>
    <t>Кресло-кровать Найс Компакт Велюр Neo 05</t>
  </si>
  <si>
    <t>М0767</t>
  </si>
  <si>
    <t>Стол-стеллаж Jazz Белое тиснение 1140*490*1030</t>
  </si>
  <si>
    <t>М0461</t>
  </si>
  <si>
    <t>Диван-кровать Найс Велюр Neo 05 1420х820х907</t>
  </si>
  <si>
    <t>Стол-стеллаж Jazz Венге 1140*490*1030</t>
  </si>
  <si>
    <t>Диван - Книжка Комфорт Голубой 2000х950х850</t>
  </si>
  <si>
    <t>Диван - Книжка Style 33/2/30 Коричневый-Синий</t>
  </si>
  <si>
    <t>Диван - Книжка Style 32/2/42 Коричневый -Желтый</t>
  </si>
  <si>
    <t>Диван - Книжка Style 45/2/41 Розовый-Фиолетовый</t>
  </si>
  <si>
    <t>Диван - Книжка Комфорт Бежевый  2000х950х850</t>
  </si>
  <si>
    <t>Диван - Книжка Комфорт Синий  2000х950х850</t>
  </si>
  <si>
    <t>Диван - Книжка Комфорт Серый  2000х950х850</t>
  </si>
  <si>
    <t>МАТРАСЫ</t>
  </si>
  <si>
    <t>Стул "Малибу" каркас хром, Зеленый CF041-14, копмл. 2 шт</t>
  </si>
  <si>
    <t>Стеллаж тумба Frame 2 секции Дуб Вотан, черный металл 670х778х300</t>
  </si>
  <si>
    <t>Стол журнальный Frame  Дуб Вотан, Черный металл 900х422х450</t>
  </si>
  <si>
    <t>Шкаф комод Frame Дуб Вотан, Черный металл 700х910х300</t>
  </si>
  <si>
    <t>СБЕРМЕГАМАРКЕТ</t>
  </si>
  <si>
    <t>Тумба City 2 ящика Белое тиснение</t>
  </si>
  <si>
    <t>Тумба City 2 ящика Венге</t>
  </si>
  <si>
    <t>Тумба City 2 ящика Дуб сонома</t>
  </si>
  <si>
    <t>Гостиная Интеро Лайт</t>
  </si>
  <si>
    <t>Подставка для Ноутбука прямая Миндаль 760х16х360</t>
  </si>
  <si>
    <t>Стол письменный рабочий Estet 3 ящика Белое тиснение 1100х754х430</t>
  </si>
  <si>
    <t>Стол письменный рабочий Estet 3 ящика Белое тисн./Антрацит 1100х754х430</t>
  </si>
  <si>
    <t>М000100</t>
  </si>
  <si>
    <t>Диван еврокнижка Рокфорд Саpri 22 2003х800х1550</t>
  </si>
  <si>
    <t>L770326</t>
  </si>
  <si>
    <t>L59576</t>
  </si>
  <si>
    <t>L9418</t>
  </si>
  <si>
    <t>L9419</t>
  </si>
  <si>
    <t>L9420</t>
  </si>
  <si>
    <t>L9421</t>
  </si>
  <si>
    <t>L9422</t>
  </si>
  <si>
    <t>L9423</t>
  </si>
  <si>
    <t>L16057</t>
  </si>
  <si>
    <t>L9481</t>
  </si>
  <si>
    <t>L9477</t>
  </si>
  <si>
    <t>L9480</t>
  </si>
  <si>
    <t>L59574</t>
  </si>
  <si>
    <t>L3386</t>
  </si>
  <si>
    <t>L3510</t>
  </si>
  <si>
    <t>L3511</t>
  </si>
  <si>
    <t>L3311</t>
  </si>
  <si>
    <t>L3448</t>
  </si>
  <si>
    <t>L00914600</t>
  </si>
  <si>
    <t>L0777</t>
  </si>
  <si>
    <t>L0778</t>
  </si>
  <si>
    <t>L0779</t>
  </si>
  <si>
    <t>L915400</t>
  </si>
  <si>
    <t>Стеллаж Tokyo 3 секции ЛДСП Дуб Вотан, Черн. металл.</t>
  </si>
  <si>
    <t>Стеллаж Tokyo ЛДСП Дуб Вотан, Черн. металл.</t>
  </si>
  <si>
    <t>Шезлонг с матерчатым сиденьем синий</t>
  </si>
  <si>
    <t>Шезлонг с матерчатым сиденьем зеленый</t>
  </si>
  <si>
    <t>Стеллаж Frame 4 секции Дуб Вотан, черный металл 670х1442х300</t>
  </si>
  <si>
    <t>Стол письменный Frame ЛДСП Дуб Вотан, Черн. металл.</t>
  </si>
  <si>
    <t>Стеллаж City Plus 840х250х1577 Белое тиснение/Дуб сонома</t>
  </si>
  <si>
    <t>Тумба Neoletta 2 ящика Белое тиснен./Дуб Вотан 400х520(h)х354</t>
  </si>
  <si>
    <t>Комод Neoletta 4 ящика Белое тиснен./Дуб Вотан 650х944(h)х354</t>
  </si>
  <si>
    <t>Вешалка настенная Ультра  Белое тиснение 0,600 х1,050х0,282</t>
  </si>
  <si>
    <t>Вешалка настенная Ультра  Дуб сонома 0,600 х1,050х0,282</t>
  </si>
  <si>
    <t>Вешалка настенная Ультра Венге 0,600 х1,050х0,282</t>
  </si>
  <si>
    <t>Комод Neoletta комбинированный Белое тиснен./Дуб Вотан 650х944(h)х354</t>
  </si>
  <si>
    <t>Шкаф комод Neoletta 2х дверный Белое тисн./Дуб Вотан  650х944(h)х354</t>
  </si>
  <si>
    <t>Тумба Neoletta с ящиком Белое тиснен./Дуб Вотан 400х520(h)х354</t>
  </si>
  <si>
    <t>Тумба Tokyo ЛДСП Дуб Вотан, Черн. металл. 450х470х300</t>
  </si>
  <si>
    <t>Стул складной деревянный, сосна, без покрытия</t>
  </si>
  <si>
    <t>Стол письменный Tokyo ЛДСП Дуб Вотан, Черн. металл. 900х760х520</t>
  </si>
  <si>
    <t>L30361</t>
  </si>
  <si>
    <t>L30362</t>
  </si>
  <si>
    <t>L30363</t>
  </si>
  <si>
    <t>L3388</t>
  </si>
  <si>
    <t>L3389</t>
  </si>
  <si>
    <t>L9839</t>
  </si>
  <si>
    <t>L3300</t>
  </si>
  <si>
    <t>L3299</t>
  </si>
  <si>
    <t>MK00031</t>
  </si>
  <si>
    <t>Стеллаж тумба Frame ЛДСП Белое тиснен., Черный металл 670х778х300</t>
  </si>
  <si>
    <t>Стеллаж Zett с 2 дверками Белое тиснение 730х1757х266</t>
  </si>
  <si>
    <t>Шкаф комод Frame ЛДСП Белое тиснен., Черный металл 700х910х300</t>
  </si>
  <si>
    <t>Тумба под ТВ Tokyo с ящиком ЛДСП Дуб Вотан, Черн. металл. 900х470х300</t>
  </si>
  <si>
    <t>Кресло-кровать Найс Компакт Ткань VIVALDI 05 780x820x900</t>
  </si>
  <si>
    <t>М0768</t>
  </si>
  <si>
    <t>Диван-кровать Найс VIVALDI 5 1420х820х907</t>
  </si>
  <si>
    <t>М0462</t>
  </si>
  <si>
    <t>Стол компьютерный рабочий Orion черный/белая кромка 110х75х60</t>
  </si>
  <si>
    <t>Комод Ультра Плюс 5 ящиков  Белое тиснение</t>
  </si>
  <si>
    <t>Комод Ультра Плюс 5 ящиков Венге</t>
  </si>
  <si>
    <t>Комод Ультра Плюс 5 ящиков Дуб сонома</t>
  </si>
  <si>
    <t>Стеллаж Ultra lite Белое тиснение</t>
  </si>
  <si>
    <t>Стеллаж Ultra lite Дуб сонома</t>
  </si>
  <si>
    <t>Стеллаж Ultra lite  Венге</t>
  </si>
  <si>
    <t>Шезлонг деревянный с веревочными стяжками</t>
  </si>
  <si>
    <t>Тумба для обуви Frame Ткань Capri, черн металл. 800х500х300</t>
  </si>
  <si>
    <t>Скамейка-стремянка</t>
  </si>
  <si>
    <t>Табурет "Family" с жестким сиденьем круглый</t>
  </si>
  <si>
    <t>Табурет "Family" квадратный с жестким сиденьем</t>
  </si>
  <si>
    <t>Табурет "Family" с жестким сиденьем круглый, комплект 2 шт</t>
  </si>
  <si>
    <t>Табурет "Family" квадратный с жестким сиденьем, комплект 2 шт</t>
  </si>
  <si>
    <t>Столик журнальный, прикроватный Frame ЛДСП Дуб Вотан, Черн. металл. 450х424(h)х450</t>
  </si>
  <si>
    <t>Стол журнальный Frame ЛДСП Белое тиснен., Черный металл 900х422х450</t>
  </si>
  <si>
    <t>Тумба под ТВ Frame ЛДСП Дуб Вотан, черн. Металл. 1100х420х290</t>
  </si>
  <si>
    <t>L3669</t>
  </si>
  <si>
    <t>L140001</t>
  </si>
  <si>
    <t>L140002</t>
  </si>
  <si>
    <t>L140003</t>
  </si>
  <si>
    <t>L7771</t>
  </si>
  <si>
    <t>L55556</t>
  </si>
  <si>
    <t>L55555</t>
  </si>
  <si>
    <t>L55558</t>
  </si>
  <si>
    <t>L55557</t>
  </si>
  <si>
    <t>Обувница этажерка Frame ЛДСП Дуб Вотан, Черн. металл. 900х900х282</t>
  </si>
  <si>
    <t>Полка стеллаж Tokyo навесная, напольная ЛДСП Дуб Вотан, Черн. металл. 800х608(h)х260</t>
  </si>
  <si>
    <t>Стеллаж Zett с 2 дверками Венге 730х1757х266</t>
  </si>
  <si>
    <t>Стеллаж Zett с 2 дверками Дуб сонома 730х1757х266</t>
  </si>
  <si>
    <t>Тумба Frame с ящиком ЛДСП Белое тиснение, черн. Металл. 408х504х304</t>
  </si>
  <si>
    <t>MK00044</t>
  </si>
  <si>
    <t>Тумба Frame с ящиком ЛДСП Дуб Вотан, черн. Металл. 408х504х304</t>
  </si>
  <si>
    <t>MK00019</t>
  </si>
  <si>
    <t>Диван - Книжка Комфорт Синий Balance 2000х950х850</t>
  </si>
  <si>
    <t>Комод Praga Plus Белое тиснение</t>
  </si>
  <si>
    <t>Комод Praga Plus Венге</t>
  </si>
  <si>
    <t>Комод Praga Plus Дуб сонома</t>
  </si>
  <si>
    <t>Тумба Frame ЛДСП Дуб Вотан, Черн.металл 408х470х304</t>
  </si>
  <si>
    <t>MK00025</t>
  </si>
  <si>
    <t>Тумба прикроватная Nicole New 2 ящ.Белое тиснен./Пельтро 400Х445х381</t>
  </si>
  <si>
    <t>Стеллаж этажерка Tokyo ЛДСП Дуб Вотан, Черн. металл. 580х1544(h)х320</t>
  </si>
  <si>
    <t>MK1100101</t>
  </si>
  <si>
    <t>Стол письменный компьютерный Praga Белое тиснение</t>
  </si>
  <si>
    <t>Столик придиванный Frame ЛДСП Дуб Вотан, Черный металл. 540х660(h)х350</t>
  </si>
  <si>
    <t>Стол письменный Frame New с ящ., с полкой ЛДСП Дуб Вотан, Черн. металл. 800х760(h)х510</t>
  </si>
  <si>
    <t>Полка навесная, напольная Frame ЛДСП Дуб Вотан, Черн. металл. 670х408(h)х290</t>
  </si>
  <si>
    <t>Обувница вертикальная Мальта Венге 53х82х22</t>
  </si>
  <si>
    <t>Обувница вертикальная Мальта Дуб сонома 53х82х22</t>
  </si>
  <si>
    <t>Обувница вертикальная Мальта Дуб сонома/Белое тиснение 53х82х22</t>
  </si>
  <si>
    <t>Стул Форест белый</t>
  </si>
  <si>
    <t>Стул Форест коричневый</t>
  </si>
  <si>
    <t>Гостиная Интеро Лайт Белое тиснение/Венге 1460х1515х354</t>
  </si>
  <si>
    <t>L140004</t>
  </si>
  <si>
    <t>L140005</t>
  </si>
  <si>
    <t>L140006</t>
  </si>
  <si>
    <t>L140007</t>
  </si>
  <si>
    <t>L140008</t>
  </si>
  <si>
    <t>L140009</t>
  </si>
  <si>
    <t>L7791</t>
  </si>
  <si>
    <t>L7792</t>
  </si>
  <si>
    <t>L7793</t>
  </si>
  <si>
    <t>LMK00031</t>
  </si>
  <si>
    <t>L3671</t>
  </si>
  <si>
    <t>L3670</t>
  </si>
  <si>
    <t>LMK1100101</t>
  </si>
  <si>
    <t>L50217946</t>
  </si>
  <si>
    <t>L80217945</t>
  </si>
  <si>
    <t>L135400</t>
  </si>
  <si>
    <t>LMK00044</t>
  </si>
  <si>
    <t>LMK00019</t>
  </si>
  <si>
    <t>LMK00025</t>
  </si>
  <si>
    <t>Стеллаж Zett с 2 дверками Дуб Крафт белый 730х1757х266</t>
  </si>
  <si>
    <t>Стеллаж Zett с 2 дверками Дуб Крафт золотой</t>
  </si>
  <si>
    <t>Диван Neo Синий</t>
  </si>
  <si>
    <t>Диван Neo Лазурь</t>
  </si>
  <si>
    <t>Диван Neo Бежевый</t>
  </si>
  <si>
    <t>Диван Neo  Коричневый</t>
  </si>
  <si>
    <t>Прихожая Астерия Белое тиснение 1200х2045х354</t>
  </si>
  <si>
    <t>Стеллаж Tokyo lite ЛДСП Дуб Вотан, Черн. металл. 752х1520(h)х290</t>
  </si>
  <si>
    <t>Стеллаж Tokyo угловой ЛДСП Дуб Вотан, Черн. металл. 470х1758(h)х232</t>
  </si>
  <si>
    <t>Стол рабочий Tokyo ЛДСП Дуб Вотан, Черн. металл. 900х750(h)х450</t>
  </si>
  <si>
    <t>Тумба Frame с ящиком, с полкой ЛДСП Дуб Вотан, Черн. металл. 406х470(h)х304</t>
  </si>
  <si>
    <t>Обувница этажерка Frame с ящиками ЛДСП Дуб Вотан, Черн. металл. 902х866(h)х296</t>
  </si>
  <si>
    <t>Тумба под ТВ Frame ЛДСП Белое тиснение, черн. Металл. 1100х420х290</t>
  </si>
  <si>
    <t>Стол компьютерный Frame lite ЛДСП Дуб Вотан, Черн. металл. 600х760(h)х400</t>
  </si>
  <si>
    <t>Комод Malta Plus Белое тиснение</t>
  </si>
  <si>
    <t>Коробка-куб белый 27х27х27</t>
  </si>
  <si>
    <t>03536/03537</t>
  </si>
  <si>
    <t>Стеллаж деревянный Lyon</t>
  </si>
  <si>
    <t>Тумба под ТВ Jazz Белое тиснение/Антрацит 1046х408х396</t>
  </si>
  <si>
    <t>Тумба Universal Белое тиснение 978х361х368</t>
  </si>
  <si>
    <t>Полка Quattro  Белое тиснение  918х920х250</t>
  </si>
  <si>
    <t>Обувница этажерка Frame ЛДСП Белое тиснение, Черн. металл. 900х900х282</t>
  </si>
  <si>
    <t>Стол журнальный Frame с ящиками ЛДСП Дуб Вотан, Черн. металл. 900х480(h)х450</t>
  </si>
  <si>
    <t>L135536</t>
  </si>
  <si>
    <t>L36691</t>
  </si>
  <si>
    <t>L36701</t>
  </si>
  <si>
    <t>L80044775</t>
  </si>
  <si>
    <t>L80044777</t>
  </si>
  <si>
    <t>L80217948</t>
  </si>
  <si>
    <t>L80044778</t>
  </si>
  <si>
    <t>L80217946</t>
  </si>
  <si>
    <t>L80217949</t>
  </si>
  <si>
    <t>L10001</t>
  </si>
  <si>
    <t>3521897952516</t>
  </si>
  <si>
    <t>3521897952517</t>
  </si>
  <si>
    <t>3521897952518</t>
  </si>
  <si>
    <t>3520000006117</t>
  </si>
  <si>
    <t>3520000001746</t>
  </si>
  <si>
    <t>3520000001753</t>
  </si>
  <si>
    <t>MK1120101</t>
  </si>
  <si>
    <t>MK1270101</t>
  </si>
  <si>
    <t>MK1280101</t>
  </si>
  <si>
    <t>MK1330101</t>
  </si>
  <si>
    <t>MK00045</t>
  </si>
  <si>
    <t>MK00047</t>
  </si>
  <si>
    <t>3520897922368</t>
  </si>
  <si>
    <t>3520000008315</t>
  </si>
  <si>
    <t>3520000001215</t>
  </si>
  <si>
    <t>3520897922295</t>
  </si>
  <si>
    <t>3520000001539</t>
  </si>
  <si>
    <t>3520000000459</t>
  </si>
  <si>
    <t>3520000000466</t>
  </si>
  <si>
    <t>3520000000473</t>
  </si>
  <si>
    <t>3520897927303</t>
  </si>
  <si>
    <t>3520897927299</t>
  </si>
  <si>
    <t>3521897952524</t>
  </si>
  <si>
    <t>3521897952525</t>
  </si>
  <si>
    <t>3520000000541</t>
  </si>
  <si>
    <t>3520000000558</t>
  </si>
  <si>
    <t>3520000000565</t>
  </si>
  <si>
    <t>3520000000572</t>
  </si>
  <si>
    <t>3520000000527</t>
  </si>
  <si>
    <t>3520000000510</t>
  </si>
  <si>
    <t>3521897952526</t>
  </si>
  <si>
    <t>3521897952527</t>
  </si>
  <si>
    <t>3521897952520</t>
  </si>
  <si>
    <t>3521897952521</t>
  </si>
  <si>
    <t>3520000006120</t>
  </si>
  <si>
    <t>3520000006116</t>
  </si>
  <si>
    <t>3000897922247</t>
  </si>
  <si>
    <t>3000897922216</t>
  </si>
  <si>
    <t>3000897922223</t>
  </si>
  <si>
    <t>3000897922230</t>
  </si>
  <si>
    <t>3520897927269</t>
  </si>
  <si>
    <t>3000897922209</t>
  </si>
  <si>
    <t>3520000001418</t>
  </si>
  <si>
    <t>3520000001401</t>
  </si>
  <si>
    <t>3520000001425</t>
  </si>
  <si>
    <t>3520000001432</t>
  </si>
  <si>
    <t>3520000001449</t>
  </si>
  <si>
    <t>3520000001456</t>
  </si>
  <si>
    <t>3520000002138</t>
  </si>
  <si>
    <t>3520000002152</t>
  </si>
  <si>
    <t>3520000002145</t>
  </si>
  <si>
    <t>3520000001463</t>
  </si>
  <si>
    <t>3520000001470</t>
  </si>
  <si>
    <t>3520000001517</t>
  </si>
  <si>
    <t>3520000001524</t>
  </si>
  <si>
    <t>3520000001531</t>
  </si>
  <si>
    <t>3520000001579</t>
  </si>
  <si>
    <t>3520000001586</t>
  </si>
  <si>
    <t>3520000001593</t>
  </si>
  <si>
    <t>3520000001609</t>
  </si>
  <si>
    <t>3520000001616</t>
  </si>
  <si>
    <t>3520000001630</t>
  </si>
  <si>
    <t>3520000001647</t>
  </si>
  <si>
    <t>3520897922317</t>
  </si>
  <si>
    <t>3520000001760</t>
  </si>
  <si>
    <t>3520000000190</t>
  </si>
  <si>
    <t>3520000000206</t>
  </si>
  <si>
    <t>3520000000213</t>
  </si>
  <si>
    <t>3520000001212</t>
  </si>
  <si>
    <t>3520897922346</t>
  </si>
  <si>
    <t>3520897922347</t>
  </si>
  <si>
    <t>3520897922348</t>
  </si>
  <si>
    <t>3520897922349</t>
  </si>
  <si>
    <t>3520897922350</t>
  </si>
  <si>
    <t>3520897922355</t>
  </si>
  <si>
    <t>3520897922351</t>
  </si>
  <si>
    <t>3520897922360</t>
  </si>
  <si>
    <t>3520000002158</t>
  </si>
  <si>
    <t>3520897927277</t>
  </si>
  <si>
    <t>3520897927279</t>
  </si>
  <si>
    <t>3520897922329</t>
  </si>
  <si>
    <t>3520897922330</t>
  </si>
  <si>
    <t>3520897922365</t>
  </si>
  <si>
    <t>3520897927259</t>
  </si>
  <si>
    <t>3520000000251</t>
  </si>
  <si>
    <t>3520000000268</t>
  </si>
  <si>
    <t>3520000000275</t>
  </si>
  <si>
    <t>3520897927262</t>
  </si>
  <si>
    <t>3520897927260</t>
  </si>
  <si>
    <t>3520000000282</t>
  </si>
  <si>
    <t>3520000000299</t>
  </si>
  <si>
    <t>3520000002144</t>
  </si>
  <si>
    <t>3520000000305</t>
  </si>
  <si>
    <t>3520897922316</t>
  </si>
  <si>
    <t>3520000000367</t>
  </si>
  <si>
    <t>3520000000374</t>
  </si>
  <si>
    <t>3520000000381</t>
  </si>
  <si>
    <t>3520000001543</t>
  </si>
  <si>
    <t>3521897952383</t>
  </si>
  <si>
    <t>3521897952386</t>
  </si>
  <si>
    <t>3521897952384</t>
  </si>
  <si>
    <t>3521897952385</t>
  </si>
  <si>
    <t>3520000002220</t>
  </si>
  <si>
    <t>3520000005215</t>
  </si>
  <si>
    <t>3520000000800</t>
  </si>
  <si>
    <t>3520897922358</t>
  </si>
  <si>
    <t>3520000001523</t>
  </si>
  <si>
    <t>3520897922335</t>
  </si>
  <si>
    <t>3520000000954</t>
  </si>
  <si>
    <t>3520000000961</t>
  </si>
  <si>
    <t>3520000000978</t>
  </si>
  <si>
    <t>3520897922319</t>
  </si>
  <si>
    <t>3520000001012</t>
  </si>
  <si>
    <t>3520000001036</t>
  </si>
  <si>
    <t>3520000001043</t>
  </si>
  <si>
    <t>3520000001067</t>
  </si>
  <si>
    <t>3520000001074</t>
  </si>
  <si>
    <t>3520000001081</t>
  </si>
  <si>
    <t>3520897922318</t>
  </si>
  <si>
    <t>3520000006132</t>
  </si>
  <si>
    <t>3520997927285</t>
  </si>
  <si>
    <t>3520000000848</t>
  </si>
  <si>
    <t>3520000000855</t>
  </si>
  <si>
    <t>3520000000862</t>
  </si>
  <si>
    <t>3520997927283</t>
  </si>
  <si>
    <t>3520000000923</t>
  </si>
  <si>
    <t>3520000002147</t>
  </si>
  <si>
    <t>3520000002148</t>
  </si>
  <si>
    <t>3520000000930</t>
  </si>
  <si>
    <t>3520000000947</t>
  </si>
  <si>
    <t>3520000001104</t>
  </si>
  <si>
    <t>3520000002015</t>
  </si>
  <si>
    <t>3520000002022</t>
  </si>
  <si>
    <t>3520000002039</t>
  </si>
  <si>
    <t>3520897922341</t>
  </si>
  <si>
    <t>3520000001313</t>
  </si>
  <si>
    <t>3520000004415</t>
  </si>
  <si>
    <t>3520000001203</t>
  </si>
  <si>
    <t>3520000001210</t>
  </si>
  <si>
    <t>3520000001227</t>
  </si>
  <si>
    <t>3520000001241</t>
  </si>
  <si>
    <t>3520000001258</t>
  </si>
  <si>
    <t>3520000001265</t>
  </si>
  <si>
    <t>3520000001272</t>
  </si>
  <si>
    <t>3520000001289</t>
  </si>
  <si>
    <t>3520000001296</t>
  </si>
  <si>
    <t>3520000001302</t>
  </si>
  <si>
    <t>3520000001319</t>
  </si>
  <si>
    <t>3520897922344</t>
  </si>
  <si>
    <t>3520897922326</t>
  </si>
  <si>
    <t>3520000002046</t>
  </si>
  <si>
    <t>3520897922363</t>
  </si>
  <si>
    <t>3520897922293</t>
  </si>
  <si>
    <t>3520897922294</t>
  </si>
  <si>
    <t>3520897922315</t>
  </si>
  <si>
    <t>3520897922299</t>
  </si>
  <si>
    <t>3520897922301</t>
  </si>
  <si>
    <t>3520897922302</t>
  </si>
  <si>
    <t>3520897922303</t>
  </si>
  <si>
    <t>3520897922304</t>
  </si>
  <si>
    <t>3521897952513</t>
  </si>
  <si>
    <t>2521897952661</t>
  </si>
  <si>
    <t>2521897952701</t>
  </si>
  <si>
    <t>3520897922305</t>
  </si>
  <si>
    <t>3520897922307</t>
  </si>
  <si>
    <t>3520897922308</t>
  </si>
  <si>
    <t>3520000002268</t>
  </si>
  <si>
    <t>3520000000039</t>
  </si>
  <si>
    <t>3520000000046</t>
  </si>
  <si>
    <t>3520000000053</t>
  </si>
  <si>
    <t>3520000000060</t>
  </si>
  <si>
    <t>3520000000077</t>
  </si>
  <si>
    <t>3520000000084</t>
  </si>
  <si>
    <t>3520000000091</t>
  </si>
  <si>
    <t>3520000000107</t>
  </si>
  <si>
    <t>3520897922321</t>
  </si>
  <si>
    <t>3520000000138</t>
  </si>
  <si>
    <t>3520000000145</t>
  </si>
  <si>
    <t>3520000002143</t>
  </si>
  <si>
    <t>3520000000152</t>
  </si>
  <si>
    <t>3520000000169</t>
  </si>
  <si>
    <t>3520000000176</t>
  </si>
  <si>
    <t>3520000000183</t>
  </si>
  <si>
    <t>3520897922320</t>
  </si>
  <si>
    <t>3521897952500</t>
  </si>
  <si>
    <t>3521897952499</t>
  </si>
  <si>
    <t>2521897952639</t>
  </si>
  <si>
    <t>3520000002153</t>
  </si>
  <si>
    <t>3521897952382</t>
  </si>
  <si>
    <t>2521897952640</t>
  </si>
  <si>
    <t>М0460</t>
  </si>
  <si>
    <t>М0766</t>
  </si>
  <si>
    <t>Комод тумба Frame ЛДСП Дуб Вотан, Черн.металл.</t>
  </si>
  <si>
    <t>Комод City 5 ящиков Дуб золотой Крафт 400х1059х354</t>
  </si>
  <si>
    <t>Комод City 5 ящиков Дуб белый Крафт 400х1059х354</t>
  </si>
  <si>
    <t>Комод Praga Plus Дуб сонома/Белое тиснение</t>
  </si>
  <si>
    <t>Обувница Neoletta Дуб сонома/Белое тиснение</t>
  </si>
  <si>
    <t>Стеллаж Frame комбинирован. ЛДСП Дуб Вотан, Черн. металл. 712х1550(h)х278</t>
  </si>
  <si>
    <t>Стол рабочий Tokyo с полками ЛДСП Дуб Вотан, Черн. металл. 900х750(h)х450</t>
  </si>
  <si>
    <t>Тумба прикроватная Ультра Дуб золотой Крафт 2 ящика 400х445х386</t>
  </si>
  <si>
    <t>Тумба прикроватная Ультра Дуб белый Крафт 2 ящика 400х445х386</t>
  </si>
  <si>
    <t>Диван-книжка Next - Balance 290</t>
  </si>
  <si>
    <t>Диван-книжка Next - Balance 996</t>
  </si>
  <si>
    <t>Тумба для обуви Tokyo ЛДСП Дуб Вотан, Черн. металл., к/з МарИКа Wite 800х608(h)х310</t>
  </si>
  <si>
    <t>Стеллаж 6 секций Лайт Дуб Крафт белый</t>
  </si>
  <si>
    <t>Стеллаж 6 секций Лайт Дуб Крафт золотой</t>
  </si>
  <si>
    <t>Стеллаж Zett Ультра Дуб Крафт Золотой 730х1757х250</t>
  </si>
  <si>
    <t>Стеллаж Zett Ультра Дуб Крафт Белый 730х1757х250</t>
  </si>
  <si>
    <t>Стеллаж тумба Trust Plus ЛДСП Дуб Вотан, Черн. металл. 1100х780(h)х300</t>
  </si>
  <si>
    <t>Стеллаж Trust ЛДСП Дуб Вотан, Черн. металл. 770х1750(h)х300</t>
  </si>
  <si>
    <t>Стеллаж Quattro 16 секций Белое тиснение</t>
  </si>
  <si>
    <t>Стул Верона бежевый V06</t>
  </si>
  <si>
    <t>Стул мягкий Аника бирюзовый V44</t>
  </si>
  <si>
    <t>Стул мягкий Аника серый V32</t>
  </si>
  <si>
    <t>Стул мягкий Аника светло-бежевый V17</t>
  </si>
  <si>
    <t>Стул мягкий Аника Беж/шоколад V18/V24</t>
  </si>
  <si>
    <t>Стул АРМА изумруд V20</t>
  </si>
  <si>
    <t>Стул АРМА Серый V19</t>
  </si>
  <si>
    <t>Стул Лайт Черный V34</t>
  </si>
  <si>
    <t>Стул Лайт Бежевый V01</t>
  </si>
  <si>
    <t>Стул Лайт Серый V12</t>
  </si>
  <si>
    <t>3521897952522</t>
  </si>
  <si>
    <t>Комод деревянный Раст</t>
  </si>
  <si>
    <t>L140010</t>
  </si>
  <si>
    <t>L3548</t>
  </si>
  <si>
    <t>L3549</t>
  </si>
  <si>
    <t>L7794</t>
  </si>
  <si>
    <t>L50217947</t>
  </si>
  <si>
    <t>L80044776</t>
  </si>
  <si>
    <t>L94171</t>
  </si>
  <si>
    <t>L94172</t>
  </si>
  <si>
    <t>L2615</t>
  </si>
  <si>
    <t>L2616</t>
  </si>
  <si>
    <t>L135541</t>
  </si>
  <si>
    <t>L59562</t>
  </si>
  <si>
    <t>L60986</t>
  </si>
  <si>
    <t>L60987</t>
  </si>
  <si>
    <t>L60988</t>
  </si>
  <si>
    <t>L60989</t>
  </si>
  <si>
    <t>L413342</t>
  </si>
  <si>
    <t>L3550</t>
  </si>
  <si>
    <t>L3551</t>
  </si>
  <si>
    <t>L414342</t>
  </si>
  <si>
    <t>L712281</t>
  </si>
  <si>
    <t>L812281</t>
  </si>
  <si>
    <t>L912281</t>
  </si>
  <si>
    <t>MK00032</t>
  </si>
  <si>
    <t>LMK02221</t>
  </si>
  <si>
    <t>LMK00033</t>
  </si>
  <si>
    <t>LMK00034</t>
  </si>
  <si>
    <t>LMK00028</t>
  </si>
  <si>
    <t>LMK1060101</t>
  </si>
  <si>
    <t>LMK00047</t>
  </si>
  <si>
    <t>LMK130010101</t>
  </si>
  <si>
    <t>LMK1110101</t>
  </si>
  <si>
    <t>LMK1020101</t>
  </si>
  <si>
    <t>LMK00002</t>
  </si>
  <si>
    <t>LMK00022</t>
  </si>
  <si>
    <t>LMK00024</t>
  </si>
  <si>
    <t>LMK00001</t>
  </si>
  <si>
    <t>LMK1250101</t>
  </si>
  <si>
    <t>LMK1260101</t>
  </si>
  <si>
    <t>LMK1270101</t>
  </si>
  <si>
    <t>LMK1460101</t>
  </si>
  <si>
    <t>LMK00003</t>
  </si>
  <si>
    <t>LMK00032</t>
  </si>
  <si>
    <t>LMK1040101</t>
  </si>
  <si>
    <t>LMK00016</t>
  </si>
  <si>
    <t>LMK00026</t>
  </si>
  <si>
    <t>LMK00023</t>
  </si>
  <si>
    <t>LMK1120101</t>
  </si>
  <si>
    <t>LMK1330101</t>
  </si>
  <si>
    <t>LMK1340101</t>
  </si>
  <si>
    <t>LMK00021</t>
  </si>
  <si>
    <t>LMK00020</t>
  </si>
  <si>
    <t>LMK00011</t>
  </si>
  <si>
    <t>LMK1030101</t>
  </si>
  <si>
    <t>LMK00045</t>
  </si>
  <si>
    <t>Комод City Plus Белое тиснение</t>
  </si>
  <si>
    <t>Комод City Plus Дуб сонома</t>
  </si>
  <si>
    <t>Комод City Plus Венге</t>
  </si>
  <si>
    <t>Комод City Plus Дуб крафт белый</t>
  </si>
  <si>
    <t>Комод City Plus Дуб крафт золотой</t>
  </si>
  <si>
    <t>Стеллаж Varby Белый</t>
  </si>
  <si>
    <t>Стол рабочий маникюрный Blues 3 ящика Белое тиснение 468х750-904(h)х300-980</t>
  </si>
  <si>
    <t>Стеллаж Frame 2 ящика ЛДСП Дуб Вотан, Черный металл 670х1442х304</t>
  </si>
  <si>
    <t>Комод Capri 6 ящиков ЛДСП Дуб Вотан/Ткань Capri 22, Черн. металл. 800х736(h)х292</t>
  </si>
  <si>
    <t>MK142010102</t>
  </si>
  <si>
    <t>Стол рабочий маникюрный Blues с полками Белое тиснение 450х750/904(h)х300/984</t>
  </si>
  <si>
    <t>Комод Malta Plus Венге 750х719х392</t>
  </si>
  <si>
    <t>Комод Malta Plus Дуб сонома 750х719х392</t>
  </si>
  <si>
    <t>Шкаф комод Frame ЛДСП Дуб Крафт золотой, Черный металл. 700х910(h)х300</t>
  </si>
  <si>
    <t>Комод Malta Plus Крафт белый 750х719х392</t>
  </si>
  <si>
    <t>Комод Malta Plus  Белое тиснение 750х719х392</t>
  </si>
  <si>
    <t>Стеллаж полка Tokyo напольная с дверк. для ванной ЛДСП Белое тиснение, Черн. металл. 692х1920(h)х249</t>
  </si>
  <si>
    <t>Вешалка Frame ЛДСП Дуб Вотан, Черн. металл. 802х1750(h)х278</t>
  </si>
  <si>
    <t>Комод Malta Plus Дуб сонома</t>
  </si>
  <si>
    <t>Комод Malta Plus Венге</t>
  </si>
  <si>
    <t>Стол письменный Frame New с ящ., с полкой ЛДСП Дуб Крафт Белый, Черн. металл. 800х760(h)х510</t>
  </si>
  <si>
    <t>Шкаф комод Frame ЛДСП Дуб Крафт белый, Черный металл. 700х910(h)х300</t>
  </si>
  <si>
    <t>Комод Ультра (0,750х0,729х0,330) БЕЛЫЙ ТЕКСТУРА</t>
  </si>
  <si>
    <t>Комод Ультра (0,750х0,729х0,330) ДУБ СОНОМА</t>
  </si>
  <si>
    <t>Комод Ультра (0,750х0,729х0,330) ВЕНГЕ</t>
  </si>
  <si>
    <t>Комод Ультра (0,750х0,729х0,330) ВЕНГЕ/ДУБ БЕЛФОРД</t>
  </si>
  <si>
    <t>Комод Ультра (0,750х0,729х0,330)  БЕЛОЕ ТИСНЕНИЕ/ДУБ СОНОМА</t>
  </si>
  <si>
    <t>Стеллаж Hardy Венге (Hardy)</t>
  </si>
  <si>
    <t>Стеллаж Hardy Дуб (Hardy)</t>
  </si>
  <si>
    <t>Стеллаж Hardy Белый (Hardy)</t>
  </si>
  <si>
    <t>Стеллаж Hardy Лайт Венге (Hardy)</t>
  </si>
  <si>
    <t>Стеллаж Hardy Лайт Белый (Hardy)</t>
  </si>
  <si>
    <t>Стеллаж Hardy Лайт Дуб (Hardy)</t>
  </si>
  <si>
    <t>Стеллаж Hardy Лайт Дуб Крафт золотой (Hardy)</t>
  </si>
  <si>
    <t>Стеллаж Hardy Лайт Дуб Крафт белый (Hardy)</t>
  </si>
  <si>
    <t>Стеллаж Hardy Лайт с дверками Дуб Крафт золотой (Hardy)</t>
  </si>
  <si>
    <t>Стеллаж Hardy Лайт с дверками Белый (Hardy)</t>
  </si>
  <si>
    <t>Стеллаж Hardy Лайт с дверками Дуб Крафт белый  (Hardy)</t>
  </si>
  <si>
    <t>Стеллаж Hardy Лайт с дверками Венге (Hardy)</t>
  </si>
  <si>
    <t>Стеллаж Hardy Лайт с дверками Дуб (Hardy)</t>
  </si>
  <si>
    <t>MK1370101</t>
  </si>
  <si>
    <t>MK02221</t>
  </si>
  <si>
    <t>MK00033</t>
  </si>
  <si>
    <t>MK1310101</t>
  </si>
  <si>
    <t>MK000330501</t>
  </si>
  <si>
    <t>MK000330601</t>
  </si>
  <si>
    <t>MK00034</t>
  </si>
  <si>
    <t>MK00028</t>
  </si>
  <si>
    <t>MK1060101</t>
  </si>
  <si>
    <t>MK130010101</t>
  </si>
  <si>
    <t>MK1110101</t>
  </si>
  <si>
    <t>MK1020101</t>
  </si>
  <si>
    <t>MK00002</t>
  </si>
  <si>
    <t>MK00022</t>
  </si>
  <si>
    <t>MK00024</t>
  </si>
  <si>
    <t>MK00001</t>
  </si>
  <si>
    <t>MK1250101</t>
  </si>
  <si>
    <t>MK1260101</t>
  </si>
  <si>
    <t>MK1440101</t>
  </si>
  <si>
    <t>MK1460101</t>
  </si>
  <si>
    <t>MK1470101</t>
  </si>
  <si>
    <t>MK00010</t>
  </si>
  <si>
    <t>MK1090201</t>
  </si>
  <si>
    <t>MK00003</t>
  </si>
  <si>
    <t>MK1040101</t>
  </si>
  <si>
    <t>MK00016</t>
  </si>
  <si>
    <t>MK00026</t>
  </si>
  <si>
    <t>MK00023</t>
  </si>
  <si>
    <t>MK1340101</t>
  </si>
  <si>
    <t>MK1290101</t>
  </si>
  <si>
    <t>MK1120601</t>
  </si>
  <si>
    <t>MK00021</t>
  </si>
  <si>
    <t>MK00020</t>
  </si>
  <si>
    <t>MK00011</t>
  </si>
  <si>
    <t>MK1030101</t>
  </si>
  <si>
    <t>L2120</t>
  </si>
  <si>
    <t>L2121</t>
  </si>
  <si>
    <t>L2122</t>
  </si>
  <si>
    <t>L2123</t>
  </si>
  <si>
    <t>L2124</t>
  </si>
  <si>
    <t>LMK142010102</t>
  </si>
  <si>
    <t>L1355360</t>
  </si>
  <si>
    <t>L1355380</t>
  </si>
  <si>
    <t>L1355390</t>
  </si>
  <si>
    <t>LMK000330501</t>
  </si>
  <si>
    <t>LMK000330601</t>
  </si>
  <si>
    <t>L135537</t>
  </si>
  <si>
    <t>L135538</t>
  </si>
  <si>
    <t>Стеллаж с открытыми полками Ультра Дуб Крафт Золотой 600х800х230</t>
  </si>
  <si>
    <t>Стеллаж с открытыми полками Ультра Дуб Крафт Белый 600х800х230</t>
  </si>
  <si>
    <t>Стеллаж Hardy Лайт 2 Дуб Сонома</t>
  </si>
  <si>
    <t>Стеллаж Hardy Лайт 2 Дуб Крафт Белый</t>
  </si>
  <si>
    <t>Стеллаж Hardy Лайт 2 Дуб Крафт золотой</t>
  </si>
  <si>
    <t>Стеллаж Hardy Лайт 2 Венге</t>
  </si>
  <si>
    <t>Стул Комфорт Зеленый</t>
  </si>
  <si>
    <t>Стул Комфорт Серый</t>
  </si>
  <si>
    <t>Стул Комфорт Светло-серый</t>
  </si>
  <si>
    <t>Cтул барный Frame Ткань VITAL PACIFIC, Черн. металл. 356х811(h)х336</t>
  </si>
  <si>
    <t>MK122000130</t>
  </si>
  <si>
    <t>Стеллаж Hardy Лайт 2 Белый</t>
  </si>
  <si>
    <t>Стеллаж Zett New Белое тиснение</t>
  </si>
  <si>
    <t>Стол круглый Цемент светлый</t>
  </si>
  <si>
    <t>Стол круглый Дуб апрель темный</t>
  </si>
  <si>
    <t>Стол круглый Дуб апрель светлый</t>
  </si>
  <si>
    <t>Стол раздвижной Цемент светлый</t>
  </si>
  <si>
    <t>Стол раздвижной Дуб апрель темный</t>
  </si>
  <si>
    <t>Стол раздвижной Дуб апрель светлый</t>
  </si>
  <si>
    <t>Стол обеденный Цемент светлый</t>
  </si>
  <si>
    <t>Стол обеденный Дуб апрель темный</t>
  </si>
  <si>
    <t>Стол обеденный Дуб апрель светлый</t>
  </si>
  <si>
    <t>Стул Севиль Фиолетовый V25, опора черная</t>
  </si>
  <si>
    <t>Стул Севиль Темно-Серый V08, опора черная</t>
  </si>
  <si>
    <t>Стул Севиль Серый V12,опора черная</t>
  </si>
  <si>
    <t>Стул Севиль Зеленый V20, опора черная</t>
  </si>
  <si>
    <t>Стул Палермо Фиолетовый V25, опора черная</t>
  </si>
  <si>
    <t>Стул Палермо Темно-Серый V08, опора черная</t>
  </si>
  <si>
    <t>Стул Палермо Серый V12, опора черная</t>
  </si>
  <si>
    <t>Стул Палермо Зеленый V20, опора черная</t>
  </si>
  <si>
    <t>ПОДУШКИ</t>
  </si>
  <si>
    <t>Подушка Cotton</t>
  </si>
  <si>
    <t>Подушка Glow</t>
  </si>
  <si>
    <t>Подушка Green bamboo</t>
  </si>
  <si>
    <t>Стол-стеллаж Jazz Plus Белое тиснение</t>
  </si>
  <si>
    <t>Стол-стеллаж Jazz Plus Венге</t>
  </si>
  <si>
    <t>Стол-стеллаж Jazz Plus Дуб сонома</t>
  </si>
  <si>
    <t>Стеллаж Ницца Белое тиснение</t>
  </si>
  <si>
    <t>Стеллаж Tokyo Plus ЛДСП Дуб Вотан, Черн. металл. 900х1758(h)х290</t>
  </si>
  <si>
    <t>Шкаф-полка Ницца Белое тиснение</t>
  </si>
  <si>
    <t>Полка Ницца Белое тиснение</t>
  </si>
  <si>
    <t>Полка Ницца Венге</t>
  </si>
  <si>
    <t>Полка Ницца Дуб сонома</t>
  </si>
  <si>
    <t>Шкаф навесной Мальта Белое тиснение</t>
  </si>
  <si>
    <t>Шкаф 2в1 Пакс Белое тиснение</t>
  </si>
  <si>
    <t>Cтеллаж  Пакс с ящиками Белое тиснение</t>
  </si>
  <si>
    <t>Стеллаж Комфорт Белое тиснение</t>
  </si>
  <si>
    <t>Стол письменный City Lite Белое тиснение</t>
  </si>
  <si>
    <t>Cтол - стеллаж Malta Plus Дуб сонома/Белое тиснение</t>
  </si>
  <si>
    <t>Полка Комфорт Белое тиснение</t>
  </si>
  <si>
    <t>L3400</t>
  </si>
  <si>
    <t>L3397</t>
  </si>
  <si>
    <t>L3572</t>
  </si>
  <si>
    <t>LMK1370101</t>
  </si>
  <si>
    <t>Комод стеллаж Neoletta 2х дверн. Белое тиснение/Дуб Вотан 650х996(h)х354</t>
  </si>
  <si>
    <t>Комод Malta Plus Крафт Золотой 750х719х392</t>
  </si>
  <si>
    <t>Тумба под ТВ Loft Черный 1090х477(h)х350</t>
  </si>
  <si>
    <t>Тумба под ТВ Loft Дуб Крафт Белый 1090х477(h)х350</t>
  </si>
  <si>
    <t>Стеллаж Hardy Лайт 2 с дверками Дуб Крафт золотой</t>
  </si>
  <si>
    <t>Стеллаж Hardy Лайт 2 с дверками Белый</t>
  </si>
  <si>
    <t>Стеллаж Hardy Лайт 2 с дверками Дуб Крафт Белый</t>
  </si>
  <si>
    <t>Стеллаж Hardy Лайт 2 с дверками Венге</t>
  </si>
  <si>
    <t>Стеллаж Hardy Лайт 2 с дверками Дуб сонома</t>
  </si>
  <si>
    <t>Полка маникюрная Blues Белое тиснение</t>
  </si>
  <si>
    <t>MK00035</t>
  </si>
  <si>
    <t>Тумба под ТВ Tokyo с ящиком ЛДСП Белое тиснен., черн.металл. 900х470х300</t>
  </si>
  <si>
    <t>Тумба подвесная Malta белое тиснение/Дуб сонома 610х200(h)х284</t>
  </si>
  <si>
    <t>Тумба подвесная с двойным ящиком Malta Plus белое тиснение/Дуб сонома 900х200(h)х284</t>
  </si>
  <si>
    <t>Стол компьютерный рабочий Orion Белая Шагрень/Черная кромка 110х75х60</t>
  </si>
  <si>
    <t>Cтул барный Frame Ткань OPHELIA 10, Черн. металл. 356х811(h)х336</t>
  </si>
  <si>
    <t>Cтул барный Frame Ткань Amigo Lagoon, Черн. металл. 356х811(h)х336</t>
  </si>
  <si>
    <t>MK122000120</t>
  </si>
  <si>
    <t>MK122000140</t>
  </si>
  <si>
    <t>L135539</t>
  </si>
  <si>
    <t>L3452</t>
  </si>
  <si>
    <t>L9601</t>
  </si>
  <si>
    <t>L135540</t>
  </si>
  <si>
    <t>LMK1090201</t>
  </si>
  <si>
    <t>L90044775</t>
  </si>
  <si>
    <t>L90217948</t>
  </si>
  <si>
    <t>L90044777</t>
  </si>
  <si>
    <t>L60217946</t>
  </si>
  <si>
    <t>L9501</t>
  </si>
  <si>
    <t>L9502</t>
  </si>
  <si>
    <t>L9503</t>
  </si>
  <si>
    <t>L9701</t>
  </si>
  <si>
    <t>L14020</t>
  </si>
  <si>
    <t>L80317945</t>
  </si>
  <si>
    <t>L90044778</t>
  </si>
  <si>
    <t>L40217946</t>
  </si>
  <si>
    <t>L70217949</t>
  </si>
  <si>
    <t>L70217947</t>
  </si>
  <si>
    <t>L70044776</t>
  </si>
  <si>
    <t>L9801</t>
  </si>
  <si>
    <t>L14014</t>
  </si>
  <si>
    <t>L14017</t>
  </si>
  <si>
    <t>LMK1120601</t>
  </si>
  <si>
    <t>L316101</t>
  </si>
  <si>
    <t>L316102</t>
  </si>
  <si>
    <t>L316103</t>
  </si>
  <si>
    <t>L417101</t>
  </si>
  <si>
    <t>L417102</t>
  </si>
  <si>
    <t>L417103</t>
  </si>
  <si>
    <t>L517101</t>
  </si>
  <si>
    <t>L517102</t>
  </si>
  <si>
    <t>L517103</t>
  </si>
  <si>
    <t>L9577</t>
  </si>
  <si>
    <t>L9580</t>
  </si>
  <si>
    <t>L9581</t>
  </si>
  <si>
    <t>L14015</t>
  </si>
  <si>
    <t>L3579</t>
  </si>
  <si>
    <t>L3580</t>
  </si>
  <si>
    <t>L7772</t>
  </si>
  <si>
    <t>L59602</t>
  </si>
  <si>
    <t>LMK122000120</t>
  </si>
  <si>
    <t>LMK122000140</t>
  </si>
  <si>
    <t>L61567</t>
  </si>
  <si>
    <t>L61568</t>
  </si>
  <si>
    <t>L61569</t>
  </si>
  <si>
    <t>L61570</t>
  </si>
  <si>
    <t>L61571</t>
  </si>
  <si>
    <t>L61572</t>
  </si>
  <si>
    <t>L61573</t>
  </si>
  <si>
    <t>L61574</t>
  </si>
  <si>
    <t>L3570</t>
  </si>
  <si>
    <t>L3571</t>
  </si>
  <si>
    <t>LMK00035</t>
  </si>
  <si>
    <t>L45475</t>
  </si>
  <si>
    <t>L45575</t>
  </si>
  <si>
    <t>L45675</t>
  </si>
  <si>
    <t>L14013</t>
  </si>
  <si>
    <t>L14016</t>
  </si>
  <si>
    <t>Стол рабочий письменный Zett Белое тиснение</t>
  </si>
  <si>
    <t>Стол обеденный Мальта Лайт Белое тиснение 650х780х650</t>
  </si>
  <si>
    <t>Стол рабочий маникюрный Jazz Белое тиснение</t>
  </si>
  <si>
    <t>Полка стеллаж Tokyo навесная, напольная ЛДСП Дуб Вотан, Черн. металл. 750х608(h)х260</t>
  </si>
  <si>
    <t>MK2000101</t>
  </si>
  <si>
    <t>Стеллаж этажерка Tokyo с дверк. ЛДСП Дуб Вотан, Черн. металл. 710х1750(h)х386</t>
  </si>
  <si>
    <t>Стеллаж этажерка Tokyo с откр. полками ЛДСП Дуб Вотан, Черн. металл. 710х1750(h)х382</t>
  </si>
  <si>
    <t>MK1400101</t>
  </si>
  <si>
    <t>MK1600101</t>
  </si>
  <si>
    <t>Система хранения Frame №1 ЛДСП Дуб Вотан, Черн. металл</t>
  </si>
  <si>
    <t>Стол стеллаж Tokyo с дверками ЛДСП Дуб Вотан/Антрацит, Черн. металл</t>
  </si>
  <si>
    <t>MK1590101</t>
  </si>
  <si>
    <t>MK1610101</t>
  </si>
  <si>
    <t>Стеллаж Quatrro 8 секций Крафт Белый 706х1396х280</t>
  </si>
  <si>
    <t>Стеллаж Quatrro 8 секций Крафт Золотой 706х1396х280</t>
  </si>
  <si>
    <t>Стеллаж этажерка Tokyo с ящ. ЛДСП Дуб Вотан, Черн. металл. 500х1750(h)х386</t>
  </si>
  <si>
    <t>MK1410101</t>
  </si>
  <si>
    <t>Столик придиванный Крафт золотой 470х600х300</t>
  </si>
  <si>
    <t>Столик придиванный Крафт белый 470х600х300</t>
  </si>
  <si>
    <t>Стол рабочий Capri с ящиком Белое тиснение</t>
  </si>
  <si>
    <t>Стол письменный Ультра с тумбой Белое тиснение</t>
  </si>
  <si>
    <t>Стол письменный Ультра с тумбой Дуб сонома</t>
  </si>
  <si>
    <t>Стол письменный Ультра с тумбой Венге</t>
  </si>
  <si>
    <t>Комод Ультра (0,750х0,729х0,330) Крафт Белый (серия 2)</t>
  </si>
  <si>
    <t>Комод Ультра (0,750х0,729х0,330) Крафт золотой (серия 2)</t>
  </si>
  <si>
    <t>Стол круглый Белый</t>
  </si>
  <si>
    <t>Стол обеденный Мальта Лайт Белое тиснение</t>
  </si>
  <si>
    <t>Стол обеденный Мальта Лайт Венге</t>
  </si>
  <si>
    <t>Стул Комфорт Синий V54</t>
  </si>
  <si>
    <t>Стул Комфорт  Фиолетовый V10</t>
  </si>
  <si>
    <t>Стул Комфорт Черный V34</t>
  </si>
  <si>
    <t>Стол-стеллаж Jazz Крафт белый1140*490*1030</t>
  </si>
  <si>
    <t>Стол-стеллаж Jazz Крафт золотой 1140*490*1030</t>
  </si>
  <si>
    <t>Полка маникюрная Blues Дуб сонома</t>
  </si>
  <si>
    <t>Полка маникюрная Blues Венге</t>
  </si>
  <si>
    <t>L135542</t>
  </si>
  <si>
    <t>L135543</t>
  </si>
  <si>
    <t>L135579</t>
  </si>
  <si>
    <t>L135580</t>
  </si>
  <si>
    <t>L135581</t>
  </si>
  <si>
    <t>L135573</t>
  </si>
  <si>
    <t>L9486</t>
  </si>
  <si>
    <t>L9487</t>
  </si>
  <si>
    <t>L3546</t>
  </si>
  <si>
    <t>L135450</t>
  </si>
  <si>
    <t>L135451</t>
  </si>
  <si>
    <t>L135452</t>
  </si>
  <si>
    <t>L517104</t>
  </si>
  <si>
    <t>L135574</t>
  </si>
  <si>
    <t>L3377</t>
  </si>
  <si>
    <t>L3378</t>
  </si>
  <si>
    <t>LMK1610101</t>
  </si>
  <si>
    <t>Стол компьютерный с 2 ящиками Ультра Крафт белый  900х750х450</t>
  </si>
  <si>
    <t>Стол компьютерный с 2 ящиками Ультра Крафт золотой 900х750х450</t>
  </si>
  <si>
    <t>Стеллаж Hardy узкий дуб крафт белый</t>
  </si>
  <si>
    <t>Стеллаж Hardy узкий дуб крафт золотой</t>
  </si>
  <si>
    <t>Стеллаж Hardy узкий белое тиснение</t>
  </si>
  <si>
    <t>Стеллаж Hardy узкий  дуб сонома</t>
  </si>
  <si>
    <t>Стеллаж Hardy узкий венге</t>
  </si>
  <si>
    <t>Органайзер ткань Capri №13 Стеллажа горки Trust 280х280(h)х320</t>
  </si>
  <si>
    <t>Органайзер ткань Capri №22 Комод Capri 6 ящ 360х190(h)х280</t>
  </si>
  <si>
    <t>Органайзер ткань Capri №13 Комод Capri 6 ящ. 360х190(h)х280</t>
  </si>
  <si>
    <t>ПШ14202</t>
  </si>
  <si>
    <t>ПШ14204</t>
  </si>
  <si>
    <t>Стол-книжка Белое тиснение</t>
  </si>
  <si>
    <t>Стол-книжка Дуб сонома</t>
  </si>
  <si>
    <t>Стол-книжка Венге</t>
  </si>
  <si>
    <t>Стол письменный City Lite Дуб сонома</t>
  </si>
  <si>
    <t>Стол журнальный "Комфорт" Белое тиснение</t>
  </si>
  <si>
    <t>Шкаф комод Frame 2-х дв. Дуб Вотан, Черный металл 898х896х298</t>
  </si>
  <si>
    <t>MK1840101</t>
  </si>
  <si>
    <t>ГОСТИНЫЕ</t>
  </si>
  <si>
    <t>Стол компьютерный Gamer ЛДСП Антрацит, Черн. металл. 1100х730(h)х700</t>
  </si>
  <si>
    <t>MK1620701</t>
  </si>
  <si>
    <t>Тумба под ТВ Tokyo с дверками ЛДСП Дуб Вотан, Черн. металл</t>
  </si>
  <si>
    <t>MK1580101</t>
  </si>
  <si>
    <t>LMK1840101</t>
  </si>
  <si>
    <t>LMK1410101</t>
  </si>
  <si>
    <t>L135570</t>
  </si>
  <si>
    <t>L135569</t>
  </si>
  <si>
    <t>L135566</t>
  </si>
  <si>
    <t>L135567</t>
  </si>
  <si>
    <t>L135568</t>
  </si>
  <si>
    <t>L14011</t>
  </si>
  <si>
    <t>L135575</t>
  </si>
  <si>
    <t>L135576</t>
  </si>
  <si>
    <t>L26981</t>
  </si>
  <si>
    <t>L26982</t>
  </si>
  <si>
    <t>L26983</t>
  </si>
  <si>
    <t>LMK1620701</t>
  </si>
  <si>
    <t>LMK1580101</t>
  </si>
  <si>
    <t>Стол компьютерный рабочий Orion Plus черный-белая кромка 1090х600х746</t>
  </si>
  <si>
    <t>Стол компьютерный рабочий Orion Plus белый/черная кромка 1090х600х746</t>
  </si>
  <si>
    <t>Стол-стеллаж Jazz Plus Бетон</t>
  </si>
  <si>
    <t>Стол компьютерный с 2 ящиками Ультра Бетон 900х750х450</t>
  </si>
  <si>
    <t>Стеллаж Hardy Лайт 2 Бетон</t>
  </si>
  <si>
    <t>Полка навесная, напольная Frame ЛДСП Белое теснение, Черн. металл</t>
  </si>
  <si>
    <t>MK1020201</t>
  </si>
  <si>
    <t>Комод Malta Plus Бетон 750х719х392</t>
  </si>
  <si>
    <t>Стеллаж Hardy Лайт 2 с дверками Бетон</t>
  </si>
  <si>
    <t>Стеллаж 6 секций Лайт Дуб Крафт золотой (серия 2)</t>
  </si>
  <si>
    <t>СТОЛЫ ОБЕДЕННЫЕ</t>
  </si>
  <si>
    <t>L1355350</t>
  </si>
  <si>
    <t>LMK1020201</t>
  </si>
  <si>
    <t>L90217949</t>
  </si>
  <si>
    <t>L70217948</t>
  </si>
  <si>
    <t>L7778</t>
  </si>
  <si>
    <t>L7779</t>
  </si>
  <si>
    <t>L1355760</t>
  </si>
  <si>
    <t>Стол раздвижной Белый</t>
  </si>
  <si>
    <t>Стол-стеллаж Jazz Бетон 1140*490*1031</t>
  </si>
  <si>
    <t>Тумба прикроватная Индиго Белое тиснение 410х530х380</t>
  </si>
  <si>
    <t>Тумба прикроватная Индиго Бетон 410х530х380</t>
  </si>
  <si>
    <t>Тумба прикроватная Индиго Дуб сонома 410х530х380</t>
  </si>
  <si>
    <t>Комод Estet Белое теснение</t>
  </si>
  <si>
    <t>Комод City 3 ящика Крафт белый 700х675х354</t>
  </si>
  <si>
    <t>Комод City 3 ящика Крафт золотой 700х675х354</t>
  </si>
  <si>
    <t>Стеллаж 6 секций Лайт Дуб Крафт белый (серия 2)</t>
  </si>
  <si>
    <t>Стеллаж 6 секций Лайт Белое тиснение 1074х720х330 (серия 2)</t>
  </si>
  <si>
    <t>Стеллаж 6 секций Лайт Венге 1074х720х330 (серия 2)</t>
  </si>
  <si>
    <t>Стол письменный компьютерный Белое тиснение Веста Plus</t>
  </si>
  <si>
    <t>Тумба Tokyo ЛДСП Белое тиснение, Черн. металл. 450х470(h)х300</t>
  </si>
  <si>
    <t>MK00036</t>
  </si>
  <si>
    <t>Тумба прикроватная Ультра Бетон 2 ящика 400х445х386</t>
  </si>
  <si>
    <t>Матрас  "Комфорт Плюс" 140*200*15</t>
  </si>
  <si>
    <t>Матрас "Комфорт Плюс" 160*200*15</t>
  </si>
  <si>
    <t>Матрас "Комфорт Плюс" 90*200*15</t>
  </si>
  <si>
    <t>Матрас "Комфорт"  140*200*18</t>
  </si>
  <si>
    <t>Матрас "Комфорт" 160*200*18</t>
  </si>
  <si>
    <t>Матрас "Комфорт" 90*200*18</t>
  </si>
  <si>
    <t>Стол-книжка дуб сонома/белый</t>
  </si>
  <si>
    <t>L12603</t>
  </si>
  <si>
    <t>L12604</t>
  </si>
  <si>
    <t>L12608</t>
  </si>
  <si>
    <t>L12609</t>
  </si>
  <si>
    <t>L12611</t>
  </si>
  <si>
    <t>L12612</t>
  </si>
  <si>
    <t>L130130</t>
  </si>
  <si>
    <t>L135571</t>
  </si>
  <si>
    <t>L135572</t>
  </si>
  <si>
    <t>L12614</t>
  </si>
  <si>
    <t>L12615</t>
  </si>
  <si>
    <t>LПШ13604</t>
  </si>
  <si>
    <t>L417104</t>
  </si>
  <si>
    <t>L4000</t>
  </si>
  <si>
    <t>L4010</t>
  </si>
  <si>
    <t>L4011</t>
  </si>
  <si>
    <t>LПШ14204</t>
  </si>
  <si>
    <t>L0767</t>
  </si>
  <si>
    <t>L0768</t>
  </si>
  <si>
    <t>L0458</t>
  </si>
  <si>
    <t>ML12606</t>
  </si>
  <si>
    <t>L000100</t>
  </si>
  <si>
    <t>L00016</t>
  </si>
  <si>
    <t>LMK1310101</t>
  </si>
  <si>
    <t>L0766</t>
  </si>
  <si>
    <t>LMK1440101</t>
  </si>
  <si>
    <t>LMK1280101</t>
  </si>
  <si>
    <t>LMK1290101</t>
  </si>
  <si>
    <t>L3536/3537</t>
  </si>
  <si>
    <t>L3538/3539</t>
  </si>
  <si>
    <t>Стеллаж Ницца Дуб сонома</t>
  </si>
  <si>
    <t>Стеллаж Ницца Венге</t>
  </si>
  <si>
    <t>Стол журнальный "Комфорт" Бетон</t>
  </si>
  <si>
    <t>Стол журнальный "Комфорт" Дуб крафт золотой</t>
  </si>
  <si>
    <t>Стол письменный City Lite Венге</t>
  </si>
  <si>
    <t>Стол письменный УЛЬТРА (1,097х0,75х0,493) Бетон  (серия2)</t>
  </si>
  <si>
    <t>Стеллаж Zett Ультра Бетон 730х1757х250</t>
  </si>
  <si>
    <t>Стол журнальный "Элегант" комплект, золотая основа, Мрамор камень</t>
  </si>
  <si>
    <t>Стол журнальный "Элегант" комплект, золотая основа, Мрамор золото</t>
  </si>
  <si>
    <t>Стол журнальный "Элегант Плюс" комплект, черная основа, Мрамор</t>
  </si>
  <si>
    <t>Стол письменный компьютерный Praga крафт белый</t>
  </si>
  <si>
    <t xml:space="preserve"> WB Емебель</t>
  </si>
  <si>
    <t>5000897952636</t>
  </si>
  <si>
    <t>5000897952510</t>
  </si>
  <si>
    <t>5000897952511</t>
  </si>
  <si>
    <t>5000897952512</t>
  </si>
  <si>
    <t>5000897952518</t>
  </si>
  <si>
    <t>5000897952519</t>
  </si>
  <si>
    <t>5000897952520</t>
  </si>
  <si>
    <t>5000897952521</t>
  </si>
  <si>
    <t>5000897952522</t>
  </si>
  <si>
    <t>5000897952525</t>
  </si>
  <si>
    <t>5000897952513</t>
  </si>
  <si>
    <t>5000897952514</t>
  </si>
  <si>
    <t>5000897952523</t>
  </si>
  <si>
    <t>5000897952620</t>
  </si>
  <si>
    <t>5000897952588</t>
  </si>
  <si>
    <t>5000897952589</t>
  </si>
  <si>
    <t>5000897952536</t>
  </si>
  <si>
    <t>5000897952537</t>
  </si>
  <si>
    <t>5000897952538</t>
  </si>
  <si>
    <t>5000897952526</t>
  </si>
  <si>
    <t>5000897952527</t>
  </si>
  <si>
    <t>5000897952528</t>
  </si>
  <si>
    <t>5000897952530</t>
  </si>
  <si>
    <t>5000897952531</t>
  </si>
  <si>
    <t>5000897952529</t>
  </si>
  <si>
    <t>5000897952568</t>
  </si>
  <si>
    <t>5000897952567</t>
  </si>
  <si>
    <t>5000897952564</t>
  </si>
  <si>
    <t>5000897952565</t>
  </si>
  <si>
    <t>5000897952575</t>
  </si>
  <si>
    <t>5000897952573</t>
  </si>
  <si>
    <t>5000897952574</t>
  </si>
  <si>
    <t>5000897952576</t>
  </si>
  <si>
    <t>5000897952577</t>
  </si>
  <si>
    <t>5000897952605</t>
  </si>
  <si>
    <t>5000897952606</t>
  </si>
  <si>
    <t>5000897952607</t>
  </si>
  <si>
    <t>5000897952556</t>
  </si>
  <si>
    <t>5000897952557</t>
  </si>
  <si>
    <t>5000897952558</t>
  </si>
  <si>
    <t>5000897952559</t>
  </si>
  <si>
    <t>5000897952608</t>
  </si>
  <si>
    <t>5000897952609</t>
  </si>
  <si>
    <t>5000897952610</t>
  </si>
  <si>
    <t>5000897952603</t>
  </si>
  <si>
    <t>5000897952602</t>
  </si>
  <si>
    <t>5520897927296</t>
  </si>
  <si>
    <t>5000897952533</t>
  </si>
  <si>
    <t>5000897952532</t>
  </si>
  <si>
    <t>5000897952534</t>
  </si>
  <si>
    <t>5000897952584</t>
  </si>
  <si>
    <t>5000897952604</t>
  </si>
  <si>
    <t>5000897952535</t>
  </si>
  <si>
    <t>5000897952571</t>
  </si>
  <si>
    <t>5000897952569</t>
  </si>
  <si>
    <t>5000897952570</t>
  </si>
  <si>
    <t>5000897952594</t>
  </si>
  <si>
    <t>5000897952560</t>
  </si>
  <si>
    <t>5000897952561</t>
  </si>
  <si>
    <t>5000897952562</t>
  </si>
  <si>
    <t>5000897952601</t>
  </si>
  <si>
    <t>5000897952572</t>
  </si>
  <si>
    <t>5000897952578</t>
  </si>
  <si>
    <t>5000897952579</t>
  </si>
  <si>
    <t>5000897952624</t>
  </si>
  <si>
    <t>5000897952625</t>
  </si>
  <si>
    <t>5000897952631</t>
  </si>
  <si>
    <t>5000897952632</t>
  </si>
  <si>
    <t>5000897952635</t>
  </si>
  <si>
    <t>5000897952633</t>
  </si>
  <si>
    <t>5000897952634</t>
  </si>
  <si>
    <t>5000897952580</t>
  </si>
  <si>
    <t>5000897952583</t>
  </si>
  <si>
    <t>5000897952581</t>
  </si>
  <si>
    <t>5000897952582</t>
  </si>
  <si>
    <t>5000897952629</t>
  </si>
  <si>
    <t>5000897952630</t>
  </si>
  <si>
    <t>5000897952628</t>
  </si>
  <si>
    <t>5000897952627</t>
  </si>
  <si>
    <t>5000897952626</t>
  </si>
  <si>
    <t>5000897952515</t>
  </si>
  <si>
    <t>5000897952516</t>
  </si>
  <si>
    <t>5000897952517</t>
  </si>
  <si>
    <t>FBO OZON SKU ID ЕМебель</t>
  </si>
  <si>
    <t>FBS OZON SKU ID Емебель</t>
  </si>
  <si>
    <t>Тумба под ТВ Ницца Белое тиснение 1152*510*330</t>
  </si>
  <si>
    <t>Тумба под ТВ Ницца Дуб сонома 1152*510*330</t>
  </si>
  <si>
    <t>Тумба под ТВ Ницца Венге 1152*510*330</t>
  </si>
  <si>
    <t>3521897952591</t>
  </si>
  <si>
    <t>3521897952592</t>
  </si>
  <si>
    <t>3521897952593</t>
  </si>
  <si>
    <t>Стеллаж Zett с дверками и с ручками Белое тиснение 730х1757х230</t>
  </si>
  <si>
    <t>Стеллаж Zett с дверками и с ручками Дуб сонома 730х1757х230</t>
  </si>
  <si>
    <t>Стеллаж Zett с дверками и с ручками Венге 730х1757х230</t>
  </si>
  <si>
    <t>Стеллаж Zett с дверками и с ручками Бетон 730х1757х230</t>
  </si>
  <si>
    <t>Стеллаж Zett с дверками и с ручками Крафт золотой 730х1757х230</t>
  </si>
  <si>
    <t>Стеллаж Zett с дверками и с ручками Крафт белый 730х1757х230</t>
  </si>
  <si>
    <t>5000897952643</t>
  </si>
  <si>
    <t>5000897952644</t>
  </si>
  <si>
    <t>5000897952642</t>
  </si>
  <si>
    <t>5000897952645</t>
  </si>
  <si>
    <t>5000897952715</t>
  </si>
  <si>
    <t>5000897952621</t>
  </si>
  <si>
    <t>5000897952622</t>
  </si>
  <si>
    <t>5000897952700</t>
  </si>
  <si>
    <t>5000897952701</t>
  </si>
  <si>
    <t>5000897952699</t>
  </si>
  <si>
    <t>5000897952650</t>
  </si>
  <si>
    <t>5000897952651</t>
  </si>
  <si>
    <t>5000897952652</t>
  </si>
  <si>
    <t>5000897952653</t>
  </si>
  <si>
    <t>5000897952654</t>
  </si>
  <si>
    <t>5000897952655</t>
  </si>
  <si>
    <t>5000897952648</t>
  </si>
  <si>
    <t>5000897952649</t>
  </si>
  <si>
    <t>5000897952658</t>
  </si>
  <si>
    <t>5000897952660</t>
  </si>
  <si>
    <t>5000897952661</t>
  </si>
  <si>
    <t>5000897952662</t>
  </si>
  <si>
    <t>5000897952663</t>
  </si>
  <si>
    <t>5000897952664</t>
  </si>
  <si>
    <t>5000897952665</t>
  </si>
  <si>
    <t>5000897952659</t>
  </si>
  <si>
    <t>5000897952546</t>
  </si>
  <si>
    <t>5000897952667</t>
  </si>
  <si>
    <t>5000897952668</t>
  </si>
  <si>
    <t>5000897952669</t>
  </si>
  <si>
    <t>5000897952670</t>
  </si>
  <si>
    <t>5000897952671</t>
  </si>
  <si>
    <t>5000897952679</t>
  </si>
  <si>
    <t>5000897952685</t>
  </si>
  <si>
    <t>5000897952638</t>
  </si>
  <si>
    <t>5000897952639</t>
  </si>
  <si>
    <t>5000897952640</t>
  </si>
  <si>
    <t>5000897952641</t>
  </si>
  <si>
    <t>5000897952672</t>
  </si>
  <si>
    <t>5000897952673</t>
  </si>
  <si>
    <t>5000897952637</t>
  </si>
  <si>
    <t>5000897952678</t>
  </si>
  <si>
    <t>5000897952677</t>
  </si>
  <si>
    <t>5000897952618</t>
  </si>
  <si>
    <t>5000897952619</t>
  </si>
  <si>
    <t>5000897952680</t>
  </si>
  <si>
    <t>5000897952611</t>
  </si>
  <si>
    <t>5000897952612</t>
  </si>
  <si>
    <t>5000897952709</t>
  </si>
  <si>
    <t>5000897952710</t>
  </si>
  <si>
    <t>5000897952676</t>
  </si>
  <si>
    <t>5000897952674</t>
  </si>
  <si>
    <t>5000897952684</t>
  </si>
  <si>
    <t>5000897952683</t>
  </si>
  <si>
    <t>5000897952682</t>
  </si>
  <si>
    <t>5000897952675</t>
  </si>
  <si>
    <t>5000897952681</t>
  </si>
  <si>
    <t>5000897952686</t>
  </si>
  <si>
    <t>5000897952688</t>
  </si>
  <si>
    <t>5000897952687</t>
  </si>
  <si>
    <t>5000897952696</t>
  </si>
  <si>
    <t>5000897952695</t>
  </si>
  <si>
    <t>5000897952694</t>
  </si>
  <si>
    <t>5000897952693</t>
  </si>
  <si>
    <t>5000897952692</t>
  </si>
  <si>
    <t>5000897952691</t>
  </si>
  <si>
    <t>5000897952690</t>
  </si>
  <si>
    <t>5000897952689</t>
  </si>
  <si>
    <t>5000897952704</t>
  </si>
  <si>
    <t>5000897952705</t>
  </si>
  <si>
    <t>5000897952706</t>
  </si>
  <si>
    <t>5000897952707</t>
  </si>
  <si>
    <t>5000897952708</t>
  </si>
  <si>
    <t>5000897952711</t>
  </si>
  <si>
    <t>5000897952712</t>
  </si>
  <si>
    <t>5000897952713</t>
  </si>
  <si>
    <t>5000897952714</t>
  </si>
  <si>
    <t>5000897952703</t>
  </si>
  <si>
    <t>5000897952697</t>
  </si>
  <si>
    <t>5000897952698</t>
  </si>
  <si>
    <t>5000897952702</t>
  </si>
  <si>
    <t>5000897952716</t>
  </si>
  <si>
    <t>5000897952646</t>
  </si>
  <si>
    <t>5000897952647</t>
  </si>
  <si>
    <t>Стол рабочий угловой Мальта Plus с полками Белое тиснение 730*754(h)*730</t>
  </si>
  <si>
    <t>Стол письменный City Lite Бетон/Белое тиснесние</t>
  </si>
  <si>
    <t>Стол письменный Estet Дуб сонома/Белое тиснение 952х754(h)х450</t>
  </si>
  <si>
    <t>Комод Телави Белое тиснение 672х756х346</t>
  </si>
  <si>
    <t>5000897952551</t>
  </si>
  <si>
    <t>5000897952552</t>
  </si>
  <si>
    <t>5000897952553</t>
  </si>
  <si>
    <t>5520897927319</t>
  </si>
  <si>
    <t>5520897927317</t>
  </si>
  <si>
    <t>5000897952541</t>
  </si>
  <si>
    <t>5000897952543</t>
  </si>
  <si>
    <t>5000897952544</t>
  </si>
  <si>
    <t>5000897952542</t>
  </si>
  <si>
    <t>5000897952545</t>
  </si>
  <si>
    <t>5520897927320</t>
  </si>
  <si>
    <t>5000897952554</t>
  </si>
  <si>
    <t>5000897952555</t>
  </si>
  <si>
    <t>5000897952591</t>
  </si>
  <si>
    <t>5000897952593</t>
  </si>
  <si>
    <t>5000897952592</t>
  </si>
  <si>
    <t>5000897952595</t>
  </si>
  <si>
    <t>5000897952596</t>
  </si>
  <si>
    <t>5000897952597</t>
  </si>
  <si>
    <t>5520897927312</t>
  </si>
  <si>
    <t>5520897927314</t>
  </si>
  <si>
    <t>5000897952550</t>
  </si>
  <si>
    <t>5000897952547</t>
  </si>
  <si>
    <t>5000897952549</t>
  </si>
  <si>
    <t>5000897952548</t>
  </si>
  <si>
    <t>5520897927323</t>
  </si>
  <si>
    <t>5520897927305</t>
  </si>
  <si>
    <t>5520897927303</t>
  </si>
  <si>
    <t>5520897927302</t>
  </si>
  <si>
    <t>5520897927304</t>
  </si>
  <si>
    <t>5520897927306</t>
  </si>
  <si>
    <t>5520897927309</t>
  </si>
  <si>
    <t>5520897927308</t>
  </si>
  <si>
    <t>5520897927307</t>
  </si>
  <si>
    <t>5520897927311</t>
  </si>
  <si>
    <t>5520897927310</t>
  </si>
  <si>
    <t>5520897927315</t>
  </si>
  <si>
    <t>5520897927297</t>
  </si>
  <si>
    <t>5520897927300</t>
  </si>
  <si>
    <t>5520897927298</t>
  </si>
  <si>
    <t>5520897927299</t>
  </si>
  <si>
    <t>5520897927301</t>
  </si>
  <si>
    <t>5520897927313</t>
  </si>
  <si>
    <t>3521897952485</t>
  </si>
  <si>
    <t>3521897952572</t>
  </si>
  <si>
    <t>3521897952573</t>
  </si>
  <si>
    <t>3521897952574</t>
  </si>
  <si>
    <t>3520000002114</t>
  </si>
  <si>
    <t>3521897952575</t>
  </si>
  <si>
    <t>3521897952536</t>
  </si>
  <si>
    <t>3520000002218</t>
  </si>
  <si>
    <t>3521897952576</t>
  </si>
  <si>
    <t>3521897952577</t>
  </si>
  <si>
    <t>3520000000497</t>
  </si>
  <si>
    <t>3520000000503</t>
  </si>
  <si>
    <t>3521897952582</t>
  </si>
  <si>
    <t>3521897952583</t>
  </si>
  <si>
    <t>3521897952584</t>
  </si>
  <si>
    <t>3521897952585</t>
  </si>
  <si>
    <t>3521897952393</t>
  </si>
  <si>
    <t>3521897952494</t>
  </si>
  <si>
    <t>3521897952589</t>
  </si>
  <si>
    <t>3521897952571</t>
  </si>
  <si>
    <t>3521897952570</t>
  </si>
  <si>
    <t>3521897952586</t>
  </si>
  <si>
    <t>3521897952587</t>
  </si>
  <si>
    <t>3521897952588</t>
  </si>
  <si>
    <t>3521897952590</t>
  </si>
  <si>
    <t>3521897952578</t>
  </si>
  <si>
    <t>3521897952581</t>
  </si>
  <si>
    <t>3521897952413</t>
  </si>
  <si>
    <t>3521897952594</t>
  </si>
  <si>
    <t>3521897952579</t>
  </si>
  <si>
    <t>3521897952412</t>
  </si>
  <si>
    <t>3521897952599</t>
  </si>
  <si>
    <t xml:space="preserve"> FBO OZON SKU ID МФП</t>
  </si>
  <si>
    <t xml:space="preserve"> FBS OZON SKU ID МФП</t>
  </si>
  <si>
    <t>Яндексмаркет МФП</t>
  </si>
  <si>
    <t>03036</t>
  </si>
  <si>
    <t>02653</t>
  </si>
  <si>
    <t>02488</t>
  </si>
  <si>
    <t>02487</t>
  </si>
  <si>
    <t>03153</t>
  </si>
  <si>
    <t>03355</t>
  </si>
  <si>
    <t>03356</t>
  </si>
  <si>
    <t xml:space="preserve">М0460 </t>
  </si>
  <si>
    <t>03021</t>
  </si>
  <si>
    <t>03022</t>
  </si>
  <si>
    <t>03023</t>
  </si>
  <si>
    <t>03012</t>
  </si>
  <si>
    <t>03013</t>
  </si>
  <si>
    <t>03014</t>
  </si>
  <si>
    <t>03024</t>
  </si>
  <si>
    <t>03025</t>
  </si>
  <si>
    <t>03026</t>
  </si>
  <si>
    <t>02945</t>
  </si>
  <si>
    <t>02946</t>
  </si>
  <si>
    <t>02947</t>
  </si>
  <si>
    <t>02997</t>
  </si>
  <si>
    <t>02919</t>
  </si>
  <si>
    <t>02920</t>
  </si>
  <si>
    <t>02921</t>
  </si>
  <si>
    <t>03042</t>
  </si>
  <si>
    <t>03043</t>
  </si>
  <si>
    <t>03044</t>
  </si>
  <si>
    <t>4303376</t>
  </si>
  <si>
    <t>4303384</t>
  </si>
  <si>
    <t>02699</t>
  </si>
  <si>
    <t>02628</t>
  </si>
  <si>
    <t>02486</t>
  </si>
  <si>
    <t>02994</t>
  </si>
  <si>
    <t>02995</t>
  </si>
  <si>
    <t>02996</t>
  </si>
  <si>
    <t>02911</t>
  </si>
  <si>
    <t>02912</t>
  </si>
  <si>
    <t>02913</t>
  </si>
  <si>
    <t>02998</t>
  </si>
  <si>
    <t>02999</t>
  </si>
  <si>
    <t>03119</t>
  </si>
  <si>
    <t>03125</t>
  </si>
  <si>
    <t>0135531</t>
  </si>
  <si>
    <t>0135532</t>
  </si>
  <si>
    <t>0135533</t>
  </si>
  <si>
    <t>0135534</t>
  </si>
  <si>
    <t>0135535</t>
  </si>
  <si>
    <t>02606</t>
  </si>
  <si>
    <t>02900</t>
  </si>
  <si>
    <t>02901</t>
  </si>
  <si>
    <t>02902</t>
  </si>
  <si>
    <t>02917</t>
  </si>
  <si>
    <t>02951</t>
  </si>
  <si>
    <t>03132</t>
  </si>
  <si>
    <t>03143</t>
  </si>
  <si>
    <t>03149</t>
  </si>
  <si>
    <t>03150</t>
  </si>
  <si>
    <t>03151</t>
  </si>
  <si>
    <t>03152</t>
  </si>
  <si>
    <t>03107</t>
  </si>
  <si>
    <t>03164</t>
  </si>
  <si>
    <t>03170</t>
  </si>
  <si>
    <t>03175</t>
  </si>
  <si>
    <t>03176</t>
  </si>
  <si>
    <t>03177</t>
  </si>
  <si>
    <t>03203</t>
  </si>
  <si>
    <t>03162</t>
  </si>
  <si>
    <t>03201</t>
  </si>
  <si>
    <t xml:space="preserve">М0766 </t>
  </si>
  <si>
    <t>02478</t>
  </si>
  <si>
    <t>02479</t>
  </si>
  <si>
    <t>02566</t>
  </si>
  <si>
    <t>02540</t>
  </si>
  <si>
    <t>02970</t>
  </si>
  <si>
    <t>02971</t>
  </si>
  <si>
    <t>02972</t>
  </si>
  <si>
    <t>02553</t>
  </si>
  <si>
    <t>02600</t>
  </si>
  <si>
    <t>02601</t>
  </si>
  <si>
    <t>02602</t>
  </si>
  <si>
    <t>02925</t>
  </si>
  <si>
    <t>02926</t>
  </si>
  <si>
    <t>02927</t>
  </si>
  <si>
    <t>02460</t>
  </si>
  <si>
    <t>02461</t>
  </si>
  <si>
    <t>02643</t>
  </si>
  <si>
    <t>02642</t>
  </si>
  <si>
    <t>02477</t>
  </si>
  <si>
    <t>02476</t>
  </si>
  <si>
    <t>02952</t>
  </si>
  <si>
    <t>02954</t>
  </si>
  <si>
    <t>02953</t>
  </si>
  <si>
    <t>02640</t>
  </si>
  <si>
    <t>02641</t>
  </si>
  <si>
    <t>0778</t>
  </si>
  <si>
    <t>0779</t>
  </si>
  <si>
    <t>03357</t>
  </si>
  <si>
    <t>03358</t>
  </si>
  <si>
    <t>03359</t>
  </si>
  <si>
    <t>03360</t>
  </si>
  <si>
    <t>02682</t>
  </si>
  <si>
    <t>02683</t>
  </si>
  <si>
    <t>02608</t>
  </si>
  <si>
    <t>02609</t>
  </si>
  <si>
    <t>02610</t>
  </si>
  <si>
    <t>02964</t>
  </si>
  <si>
    <t>02965</t>
  </si>
  <si>
    <t>02966</t>
  </si>
  <si>
    <t>02941</t>
  </si>
  <si>
    <t>02942</t>
  </si>
  <si>
    <t>02943</t>
  </si>
  <si>
    <t>02944</t>
  </si>
  <si>
    <t>09400</t>
  </si>
  <si>
    <t>09401</t>
  </si>
  <si>
    <t>09402</t>
  </si>
  <si>
    <t>09403</t>
  </si>
  <si>
    <t>02652</t>
  </si>
  <si>
    <t>02624</t>
  </si>
  <si>
    <t>02482</t>
  </si>
  <si>
    <t>03054</t>
  </si>
  <si>
    <t>04303418</t>
  </si>
  <si>
    <t>02679</t>
  </si>
  <si>
    <t>02680</t>
  </si>
  <si>
    <t>02681</t>
  </si>
  <si>
    <t>0914600</t>
  </si>
  <si>
    <t>0915400</t>
  </si>
  <si>
    <t>03182</t>
  </si>
  <si>
    <t>м0155</t>
  </si>
  <si>
    <t>м0152</t>
  </si>
  <si>
    <t>02491</t>
  </si>
  <si>
    <t>02490</t>
  </si>
  <si>
    <t>02489</t>
  </si>
  <si>
    <t>03000</t>
  </si>
  <si>
    <t>03001</t>
  </si>
  <si>
    <t>03002</t>
  </si>
  <si>
    <t>03009</t>
  </si>
  <si>
    <t>03010</t>
  </si>
  <si>
    <t>03011</t>
  </si>
  <si>
    <t>02661</t>
  </si>
  <si>
    <t>02662</t>
  </si>
  <si>
    <t>02663</t>
  </si>
  <si>
    <t>02985</t>
  </si>
  <si>
    <t>02986</t>
  </si>
  <si>
    <t>02987</t>
  </si>
  <si>
    <t>03006</t>
  </si>
  <si>
    <t>03007</t>
  </si>
  <si>
    <t>03008</t>
  </si>
  <si>
    <t>03015</t>
  </si>
  <si>
    <t>03016</t>
  </si>
  <si>
    <t>03017</t>
  </si>
  <si>
    <t>09405</t>
  </si>
  <si>
    <t>09398</t>
  </si>
  <si>
    <t>09404</t>
  </si>
  <si>
    <t>09406</t>
  </si>
  <si>
    <t>09399</t>
  </si>
  <si>
    <t>03018</t>
  </si>
  <si>
    <t>03019</t>
  </si>
  <si>
    <t>03020</t>
  </si>
  <si>
    <t>03061</t>
  </si>
  <si>
    <t>02693</t>
  </si>
  <si>
    <t>02694</t>
  </si>
  <si>
    <t>02695</t>
  </si>
  <si>
    <t>03079</t>
  </si>
  <si>
    <t>03085</t>
  </si>
  <si>
    <t>03082</t>
  </si>
  <si>
    <t>02685</t>
  </si>
  <si>
    <t>02686</t>
  </si>
  <si>
    <t>02687</t>
  </si>
  <si>
    <t>02611</t>
  </si>
  <si>
    <t>02612</t>
  </si>
  <si>
    <t>09393</t>
  </si>
  <si>
    <t>02613</t>
  </si>
  <si>
    <t>03057</t>
  </si>
  <si>
    <t>02671</t>
  </si>
  <si>
    <t>02660</t>
  </si>
  <si>
    <t>050217945</t>
  </si>
  <si>
    <t>02669</t>
  </si>
  <si>
    <t>02670</t>
  </si>
  <si>
    <t>02656</t>
  </si>
  <si>
    <t>02667</t>
  </si>
  <si>
    <t>02636</t>
  </si>
  <si>
    <t>02637</t>
  </si>
  <si>
    <t>02603</t>
  </si>
  <si>
    <t>02604</t>
  </si>
  <si>
    <t>02605</t>
  </si>
  <si>
    <t>02973</t>
  </si>
  <si>
    <t>02974</t>
  </si>
  <si>
    <t>02975</t>
  </si>
  <si>
    <t>03062</t>
  </si>
  <si>
    <t>03063</t>
  </si>
  <si>
    <t>03080</t>
  </si>
  <si>
    <t>03081</t>
  </si>
  <si>
    <t>03086</t>
  </si>
  <si>
    <t>03087</t>
  </si>
  <si>
    <t>03097</t>
  </si>
  <si>
    <t>03122</t>
  </si>
  <si>
    <t>03146</t>
  </si>
  <si>
    <t>03167</t>
  </si>
  <si>
    <t>09417</t>
  </si>
  <si>
    <t>03101</t>
  </si>
  <si>
    <t>03168</t>
  </si>
  <si>
    <t>03180</t>
  </si>
  <si>
    <t>03181</t>
  </si>
  <si>
    <t>03183</t>
  </si>
  <si>
    <t>03184</t>
  </si>
  <si>
    <t>03232</t>
  </si>
  <si>
    <t>03233</t>
  </si>
  <si>
    <t>03234</t>
  </si>
  <si>
    <t>03235</t>
  </si>
  <si>
    <t>03073</t>
  </si>
  <si>
    <t>09420</t>
  </si>
  <si>
    <t>09418</t>
  </si>
  <si>
    <t>09419</t>
  </si>
  <si>
    <t>09421</t>
  </si>
  <si>
    <t>09422</t>
  </si>
  <si>
    <t>09423</t>
  </si>
  <si>
    <t>02850</t>
  </si>
  <si>
    <t>02622</t>
  </si>
  <si>
    <t>02464</t>
  </si>
  <si>
    <t>02618</t>
  </si>
  <si>
    <t>02465</t>
  </si>
  <si>
    <t>02541</t>
  </si>
  <si>
    <t>02554</t>
  </si>
  <si>
    <t>02567</t>
  </si>
  <si>
    <t>03053</t>
  </si>
  <si>
    <t>02459</t>
  </si>
  <si>
    <t>02483</t>
  </si>
  <si>
    <t>02626</t>
  </si>
  <si>
    <t>02484</t>
  </si>
  <si>
    <t>03034</t>
  </si>
  <si>
    <t>02474</t>
  </si>
  <si>
    <t>03030</t>
  </si>
  <si>
    <t>03031</t>
  </si>
  <si>
    <t>02852</t>
  </si>
  <si>
    <t>03156</t>
  </si>
  <si>
    <t>03158</t>
  </si>
  <si>
    <t>03039</t>
  </si>
  <si>
    <t>03040</t>
  </si>
  <si>
    <t>03041</t>
  </si>
  <si>
    <t>02958</t>
  </si>
  <si>
    <t>02959</t>
  </si>
  <si>
    <t>02960</t>
  </si>
  <si>
    <t>02492</t>
  </si>
  <si>
    <t>02493</t>
  </si>
  <si>
    <t>02494</t>
  </si>
  <si>
    <t>03056</t>
  </si>
  <si>
    <t>03067</t>
  </si>
  <si>
    <t>02633</t>
  </si>
  <si>
    <t>02675</t>
  </si>
  <si>
    <t>02631</t>
  </si>
  <si>
    <t>02629</t>
  </si>
  <si>
    <t>02650</t>
  </si>
  <si>
    <t>02630</t>
  </si>
  <si>
    <t>02651</t>
  </si>
  <si>
    <t>03064</t>
  </si>
  <si>
    <t>02496</t>
  </si>
  <si>
    <t>02497</t>
  </si>
  <si>
    <t>02498</t>
  </si>
  <si>
    <t>03055</t>
  </si>
  <si>
    <t>03091</t>
  </si>
  <si>
    <t>03048</t>
  </si>
  <si>
    <t>02632</t>
  </si>
  <si>
    <t>02657</t>
  </si>
  <si>
    <t>02658</t>
  </si>
  <si>
    <t>02659</t>
  </si>
  <si>
    <t>02672</t>
  </si>
  <si>
    <t>02673</t>
  </si>
  <si>
    <t>02674</t>
  </si>
  <si>
    <t>03027</t>
  </si>
  <si>
    <t>03028</t>
  </si>
  <si>
    <t>03029</t>
  </si>
  <si>
    <t>03035</t>
  </si>
  <si>
    <t>02614</t>
  </si>
  <si>
    <t>02405</t>
  </si>
  <si>
    <t>02569</t>
  </si>
  <si>
    <t>02543</t>
  </si>
  <si>
    <t>02556</t>
  </si>
  <si>
    <t>02572</t>
  </si>
  <si>
    <t>02573</t>
  </si>
  <si>
    <t>02574</t>
  </si>
  <si>
    <t>03032</t>
  </si>
  <si>
    <t>03033</t>
  </si>
  <si>
    <t>02473</t>
  </si>
  <si>
    <t>02948</t>
  </si>
  <si>
    <t>02949</t>
  </si>
  <si>
    <t>02950</t>
  </si>
  <si>
    <t>02961</t>
  </si>
  <si>
    <t>02962</t>
  </si>
  <si>
    <t>02963</t>
  </si>
  <si>
    <t>03116</t>
  </si>
  <si>
    <t>02937</t>
  </si>
  <si>
    <t>02936</t>
  </si>
  <si>
    <t>02922</t>
  </si>
  <si>
    <t>02923</t>
  </si>
  <si>
    <t>02924</t>
  </si>
  <si>
    <t>03137</t>
  </si>
  <si>
    <t>09396</t>
  </si>
  <si>
    <t>03003</t>
  </si>
  <si>
    <t>03004</t>
  </si>
  <si>
    <t>03005</t>
  </si>
  <si>
    <t>02691</t>
  </si>
  <si>
    <t>02692</t>
  </si>
  <si>
    <t>0135521</t>
  </si>
  <si>
    <t>0135523</t>
  </si>
  <si>
    <t>03110</t>
  </si>
  <si>
    <t>03113</t>
  </si>
  <si>
    <t>03134</t>
  </si>
  <si>
    <t>03065</t>
  </si>
  <si>
    <t>03066</t>
  </si>
  <si>
    <t>03068</t>
  </si>
  <si>
    <t>03069</t>
  </si>
  <si>
    <t>03148</t>
  </si>
  <si>
    <t>03140</t>
  </si>
  <si>
    <t>0135522</t>
  </si>
  <si>
    <t>0770322</t>
  </si>
  <si>
    <t>0770324</t>
  </si>
  <si>
    <t>03138</t>
  </si>
  <si>
    <t>03139</t>
  </si>
  <si>
    <t>03147</t>
  </si>
  <si>
    <t>0135524</t>
  </si>
  <si>
    <t>03173</t>
  </si>
  <si>
    <t>03174</t>
  </si>
  <si>
    <t>03178</t>
  </si>
  <si>
    <t>03179</t>
  </si>
  <si>
    <t>03200</t>
  </si>
  <si>
    <t>0770323</t>
  </si>
  <si>
    <t>0777</t>
  </si>
  <si>
    <t>03354</t>
  </si>
  <si>
    <t>0135525</t>
  </si>
  <si>
    <t>09481</t>
  </si>
  <si>
    <t>09477</t>
  </si>
  <si>
    <t>09480</t>
  </si>
  <si>
    <t>03448</t>
  </si>
  <si>
    <t>02472</t>
  </si>
  <si>
    <t>03311</t>
  </si>
  <si>
    <t>03212</t>
  </si>
  <si>
    <t>03213</t>
  </si>
  <si>
    <t>02475</t>
  </si>
  <si>
    <t>02625</t>
  </si>
  <si>
    <t>02646</t>
  </si>
  <si>
    <t>02644</t>
  </si>
  <si>
    <t>02664</t>
  </si>
  <si>
    <t>02645</t>
  </si>
  <si>
    <t>02665</t>
  </si>
  <si>
    <t>02648</t>
  </si>
  <si>
    <t>02666</t>
  </si>
  <si>
    <t>02649</t>
  </si>
  <si>
    <t>02855</t>
  </si>
  <si>
    <t>09394</t>
  </si>
  <si>
    <t>09395</t>
  </si>
  <si>
    <t>02851</t>
  </si>
  <si>
    <t>02853</t>
  </si>
  <si>
    <t>02439</t>
  </si>
  <si>
    <t>2438</t>
  </si>
  <si>
    <t>02976</t>
  </si>
  <si>
    <t>02977</t>
  </si>
  <si>
    <t>02978</t>
  </si>
  <si>
    <t>03038</t>
  </si>
  <si>
    <t>02466</t>
  </si>
  <si>
    <t>03037</t>
  </si>
  <si>
    <t>02467</t>
  </si>
  <si>
    <t>02468</t>
  </si>
  <si>
    <t>02619</t>
  </si>
  <si>
    <t>02620</t>
  </si>
  <si>
    <t>02938</t>
  </si>
  <si>
    <t>02940</t>
  </si>
  <si>
    <t>02939</t>
  </si>
  <si>
    <t>02696</t>
  </si>
  <si>
    <t>02697</t>
  </si>
  <si>
    <t>02698</t>
  </si>
  <si>
    <t>02607</t>
  </si>
  <si>
    <t>03052</t>
  </si>
  <si>
    <t>02563</t>
  </si>
  <si>
    <t>02537</t>
  </si>
  <si>
    <t>02550</t>
  </si>
  <si>
    <t>02526</t>
  </si>
  <si>
    <t>02504</t>
  </si>
  <si>
    <t>02515</t>
  </si>
  <si>
    <t>03051</t>
  </si>
  <si>
    <t>02623</t>
  </si>
  <si>
    <t>03104</t>
  </si>
  <si>
    <t>03155</t>
  </si>
  <si>
    <t>03157</t>
  </si>
  <si>
    <t>03159</t>
  </si>
  <si>
    <t>03188</t>
  </si>
  <si>
    <t>03204</t>
  </si>
  <si>
    <t>03195</t>
  </si>
  <si>
    <t>03160</t>
  </si>
  <si>
    <t>03172</t>
  </si>
  <si>
    <t>03171</t>
  </si>
  <si>
    <t>03361</t>
  </si>
  <si>
    <t>03362</t>
  </si>
  <si>
    <t>03363</t>
  </si>
  <si>
    <t>03364</t>
  </si>
  <si>
    <t>03386</t>
  </si>
  <si>
    <t>03510</t>
  </si>
  <si>
    <t>03511</t>
  </si>
  <si>
    <t>03088</t>
  </si>
  <si>
    <t>03076</t>
  </si>
  <si>
    <t>02908</t>
  </si>
  <si>
    <t>02909</t>
  </si>
  <si>
    <t>02910</t>
  </si>
  <si>
    <t>03130</t>
  </si>
  <si>
    <t>03077</t>
  </si>
  <si>
    <t>03078</t>
  </si>
  <si>
    <t>03089</t>
  </si>
  <si>
    <t>03090</t>
  </si>
  <si>
    <t>03094</t>
  </si>
  <si>
    <t>03190</t>
  </si>
  <si>
    <t>03208</t>
  </si>
  <si>
    <t>3521897952595</t>
  </si>
  <si>
    <t>3521897952606</t>
  </si>
  <si>
    <t>3521897952608</t>
  </si>
  <si>
    <t>3521897952607</t>
  </si>
  <si>
    <t>3521897952609</t>
  </si>
  <si>
    <t>3521897952610</t>
  </si>
  <si>
    <t>3521897952611</t>
  </si>
  <si>
    <t>3521897952612</t>
  </si>
  <si>
    <t>3521897952613</t>
  </si>
  <si>
    <t>3521897952614</t>
  </si>
  <si>
    <t>3521897952615</t>
  </si>
  <si>
    <t>3521897952616</t>
  </si>
  <si>
    <t>3520897927298</t>
  </si>
  <si>
    <t>3520897927297</t>
  </si>
  <si>
    <t>3521897952319</t>
  </si>
  <si>
    <t>3521897952600</t>
  </si>
  <si>
    <t>3521897952601</t>
  </si>
  <si>
    <t>3521897952602</t>
  </si>
  <si>
    <t>3521897952603</t>
  </si>
  <si>
    <t>3521897952604</t>
  </si>
  <si>
    <t>3521897952605</t>
  </si>
  <si>
    <t>5520897927336</t>
  </si>
  <si>
    <t>5000897952585</t>
  </si>
  <si>
    <t>5520897927316</t>
  </si>
  <si>
    <t>5520897927337</t>
  </si>
  <si>
    <t>5520897927338</t>
  </si>
  <si>
    <t>5520897927339</t>
  </si>
  <si>
    <t>5000897952613</t>
  </si>
  <si>
    <t>5000897952614</t>
  </si>
  <si>
    <t>5000897952615</t>
  </si>
  <si>
    <t>L0461</t>
  </si>
  <si>
    <t>L1355370(1)</t>
  </si>
  <si>
    <t>L135656</t>
  </si>
  <si>
    <t>L14008</t>
  </si>
  <si>
    <t>L14010</t>
  </si>
  <si>
    <t>L3058</t>
  </si>
  <si>
    <t>L366941</t>
  </si>
  <si>
    <t>L366942</t>
  </si>
  <si>
    <t>L366943</t>
  </si>
  <si>
    <t>L366944</t>
  </si>
  <si>
    <t>L366945</t>
  </si>
  <si>
    <t>L366946</t>
  </si>
  <si>
    <t>L4060</t>
  </si>
  <si>
    <t>LM0462</t>
  </si>
  <si>
    <t>LМК1470101</t>
  </si>
  <si>
    <t>LM0460</t>
  </si>
  <si>
    <t>3521897952640</t>
  </si>
  <si>
    <t>3521897952641</t>
  </si>
  <si>
    <t>3521897952634</t>
  </si>
  <si>
    <t>3521897952633</t>
  </si>
  <si>
    <t>3521897952632</t>
  </si>
  <si>
    <t>3521897952631</t>
  </si>
  <si>
    <t>3521897952629</t>
  </si>
  <si>
    <t>3521897952625</t>
  </si>
  <si>
    <t>3521897952627</t>
  </si>
  <si>
    <t>3521897952626</t>
  </si>
  <si>
    <t>3521897952628</t>
  </si>
  <si>
    <t>3521897952621</t>
  </si>
  <si>
    <t>3521897952622</t>
  </si>
  <si>
    <t>3521897952623</t>
  </si>
  <si>
    <t>3521897952619</t>
  </si>
  <si>
    <t>3521897952620</t>
  </si>
  <si>
    <t>3521897952635</t>
  </si>
  <si>
    <t>3521897952630</t>
  </si>
  <si>
    <t>3521897952624</t>
  </si>
  <si>
    <t>3521897952617</t>
  </si>
  <si>
    <t>3521897952639</t>
  </si>
  <si>
    <t>3521897952618</t>
  </si>
  <si>
    <t>3521897952636</t>
  </si>
  <si>
    <t>3521897952637</t>
  </si>
  <si>
    <t>3521897952638</t>
  </si>
  <si>
    <t>3521897952597</t>
  </si>
  <si>
    <t>3521897952598</t>
  </si>
  <si>
    <t>3521897952596</t>
  </si>
  <si>
    <t>5520897927341</t>
  </si>
  <si>
    <t>5520897927343</t>
  </si>
  <si>
    <t>5520897927342</t>
  </si>
  <si>
    <t>5520897927340</t>
  </si>
  <si>
    <t>Схема продажи</t>
  </si>
  <si>
    <t>FBS</t>
  </si>
  <si>
    <t>FBO</t>
  </si>
  <si>
    <t>L12606</t>
  </si>
  <si>
    <t>L3296</t>
  </si>
  <si>
    <t>L1355370</t>
  </si>
  <si>
    <t>L1439</t>
  </si>
  <si>
    <t>LПШ14202</t>
  </si>
  <si>
    <t>L0763</t>
  </si>
  <si>
    <t>L0761</t>
  </si>
  <si>
    <t>L4006</t>
  </si>
  <si>
    <t>L4005</t>
  </si>
  <si>
    <t>L4001</t>
  </si>
  <si>
    <t>L4003</t>
  </si>
  <si>
    <t>L4002</t>
  </si>
  <si>
    <t>L14702</t>
  </si>
  <si>
    <t>L14699</t>
  </si>
  <si>
    <t>L14700</t>
  </si>
  <si>
    <t>L14701</t>
  </si>
  <si>
    <t>L4008</t>
  </si>
  <si>
    <t>L4007</t>
  </si>
  <si>
    <t>L14698</t>
  </si>
  <si>
    <t>L3182</t>
  </si>
  <si>
    <t>LMK2000101</t>
  </si>
  <si>
    <t>L9702</t>
  </si>
  <si>
    <t>L9703</t>
  </si>
  <si>
    <t>L3009</t>
  </si>
  <si>
    <t>L3010</t>
  </si>
  <si>
    <t>L3011</t>
  </si>
  <si>
    <t>L2663</t>
  </si>
  <si>
    <t>L580326</t>
  </si>
  <si>
    <t>L80044774</t>
  </si>
  <si>
    <t>L80217944</t>
  </si>
  <si>
    <t>L915202</t>
  </si>
  <si>
    <t>L3183</t>
  </si>
  <si>
    <t>LMK1470101</t>
  </si>
  <si>
    <t>LMK00010</t>
  </si>
  <si>
    <t>L3573</t>
  </si>
  <si>
    <t>L9122</t>
  </si>
  <si>
    <t>LMK1400101</t>
  </si>
  <si>
    <t>LMK1600101</t>
  </si>
  <si>
    <t>L9802</t>
  </si>
  <si>
    <t>L9803</t>
  </si>
  <si>
    <t>L2554</t>
  </si>
  <si>
    <t>L135560</t>
  </si>
  <si>
    <t>L135562</t>
  </si>
  <si>
    <t>L135561</t>
  </si>
  <si>
    <t>L3056</t>
  </si>
  <si>
    <t>L2629</t>
  </si>
  <si>
    <t>L2650</t>
  </si>
  <si>
    <t>L2630</t>
  </si>
  <si>
    <t>L2651</t>
  </si>
  <si>
    <t>L2924</t>
  </si>
  <si>
    <t>L2691</t>
  </si>
  <si>
    <t>L2692</t>
  </si>
  <si>
    <t>L135526</t>
  </si>
  <si>
    <t>L3066</t>
  </si>
  <si>
    <t>L135401</t>
  </si>
  <si>
    <t>L14023</t>
  </si>
  <si>
    <t>L3409</t>
  </si>
  <si>
    <t>LMK1590101</t>
  </si>
  <si>
    <t>L9900</t>
  </si>
  <si>
    <t>L3605</t>
  </si>
  <si>
    <t>L3566</t>
  </si>
  <si>
    <t>L4563151</t>
  </si>
  <si>
    <t>L2625</t>
  </si>
  <si>
    <t>L3578</t>
  </si>
  <si>
    <t>L135577</t>
  </si>
  <si>
    <t>L135578</t>
  </si>
  <si>
    <t>L26984</t>
  </si>
  <si>
    <t>L9470</t>
  </si>
  <si>
    <t>L412319</t>
  </si>
  <si>
    <t>L212281</t>
  </si>
  <si>
    <t>L412281</t>
  </si>
  <si>
    <t>L112281</t>
  </si>
  <si>
    <t>L312281</t>
  </si>
  <si>
    <t>L60337</t>
  </si>
  <si>
    <t>L59795</t>
  </si>
  <si>
    <t>L60985</t>
  </si>
  <si>
    <t>L612281</t>
  </si>
  <si>
    <t>L59590</t>
  </si>
  <si>
    <t>L59591</t>
  </si>
  <si>
    <t>L59592</t>
  </si>
  <si>
    <t>L9392</t>
  </si>
  <si>
    <t>L3552</t>
  </si>
  <si>
    <t>LMK00036</t>
  </si>
  <si>
    <t>L8565</t>
  </si>
  <si>
    <t>L8566</t>
  </si>
  <si>
    <t>L8567</t>
  </si>
  <si>
    <t>L9380</t>
  </si>
  <si>
    <t>Артикул OZON ЕМебель</t>
  </si>
  <si>
    <t>Артикул OZON МАЙЛЕТТА</t>
  </si>
  <si>
    <t xml:space="preserve"> Артикул OZON ЛЕТТА</t>
  </si>
  <si>
    <t>ML3036</t>
  </si>
  <si>
    <t>ML2488</t>
  </si>
  <si>
    <t>ML2487</t>
  </si>
  <si>
    <t>ML3153</t>
  </si>
  <si>
    <t>ML00015</t>
  </si>
  <si>
    <t>ML00016</t>
  </si>
  <si>
    <t>ML12605</t>
  </si>
  <si>
    <t>ML12607</t>
  </si>
  <si>
    <t>ML12613</t>
  </si>
  <si>
    <t>МL12614</t>
  </si>
  <si>
    <t>ML12615</t>
  </si>
  <si>
    <t>ML3021</t>
  </si>
  <si>
    <t>ML3014</t>
  </si>
  <si>
    <t>ML3024</t>
  </si>
  <si>
    <t>ML3025</t>
  </si>
  <si>
    <t>ML3026</t>
  </si>
  <si>
    <t>ML2946</t>
  </si>
  <si>
    <t>ML2947</t>
  </si>
  <si>
    <t>ML2919</t>
  </si>
  <si>
    <t>ML2920</t>
  </si>
  <si>
    <t>ML2921</t>
  </si>
  <si>
    <t>ML2699</t>
  </si>
  <si>
    <t>ML2628</t>
  </si>
  <si>
    <t>ML2486</t>
  </si>
  <si>
    <t>ML2994</t>
  </si>
  <si>
    <t>ML2995</t>
  </si>
  <si>
    <t>ML2996</t>
  </si>
  <si>
    <t>ML2911</t>
  </si>
  <si>
    <t>ML2912</t>
  </si>
  <si>
    <t>ML2913</t>
  </si>
  <si>
    <t>ML2998</t>
  </si>
  <si>
    <t>ML2999</t>
  </si>
  <si>
    <t>ML3119</t>
  </si>
  <si>
    <t>ML135531</t>
  </si>
  <si>
    <t>ML135532</t>
  </si>
  <si>
    <t>ML135533</t>
  </si>
  <si>
    <t>ML135534</t>
  </si>
  <si>
    <t>ML135535</t>
  </si>
  <si>
    <t>ML2606</t>
  </si>
  <si>
    <t>ML2900</t>
  </si>
  <si>
    <t>ML2901</t>
  </si>
  <si>
    <t>ML2902</t>
  </si>
  <si>
    <t>ML3201</t>
  </si>
  <si>
    <t>ML1355360</t>
  </si>
  <si>
    <t>ML1355390</t>
  </si>
  <si>
    <t>ML3548</t>
  </si>
  <si>
    <t>ML3549</t>
  </si>
  <si>
    <t>ML135543</t>
  </si>
  <si>
    <t>ML135571</t>
  </si>
  <si>
    <t>ML135572</t>
  </si>
  <si>
    <t>ML0763</t>
  </si>
  <si>
    <t>ML0761</t>
  </si>
  <si>
    <t>ML0762</t>
  </si>
  <si>
    <t>ML4006</t>
  </si>
  <si>
    <t>ML4002</t>
  </si>
  <si>
    <t>ML14702</t>
  </si>
  <si>
    <t>ML14699</t>
  </si>
  <si>
    <t>ML14701</t>
  </si>
  <si>
    <t>ML4007</t>
  </si>
  <si>
    <t>ML14698</t>
  </si>
  <si>
    <t>ML2566</t>
  </si>
  <si>
    <t>ML2540</t>
  </si>
  <si>
    <t>ML2970</t>
  </si>
  <si>
    <t>ML2602</t>
  </si>
  <si>
    <t>ML2925</t>
  </si>
  <si>
    <t>ML2926</t>
  </si>
  <si>
    <t>ML2927</t>
  </si>
  <si>
    <t>ML2460</t>
  </si>
  <si>
    <t>ML2461</t>
  </si>
  <si>
    <t>ML2643</t>
  </si>
  <si>
    <t>ML2642</t>
  </si>
  <si>
    <t>ML2477</t>
  </si>
  <si>
    <t>ML2476</t>
  </si>
  <si>
    <t>ML2952</t>
  </si>
  <si>
    <t>ML2953</t>
  </si>
  <si>
    <t>ML2640</t>
  </si>
  <si>
    <t>ML2641</t>
  </si>
  <si>
    <t>ML2682</t>
  </si>
  <si>
    <t>ML2608</t>
  </si>
  <si>
    <t>ML2609</t>
  </si>
  <si>
    <t>ML2610</t>
  </si>
  <si>
    <t>ML2964</t>
  </si>
  <si>
    <t>ML2965</t>
  </si>
  <si>
    <t>ML2941</t>
  </si>
  <si>
    <t>ML2942</t>
  </si>
  <si>
    <t>ML2943</t>
  </si>
  <si>
    <t>ML2944</t>
  </si>
  <si>
    <t>ML9400</t>
  </si>
  <si>
    <t>ML9401</t>
  </si>
  <si>
    <t>ML9402</t>
  </si>
  <si>
    <t>ML9403</t>
  </si>
  <si>
    <t>ML2652</t>
  </si>
  <si>
    <t>ML2624</t>
  </si>
  <si>
    <t>ML2482</t>
  </si>
  <si>
    <t>ML3054</t>
  </si>
  <si>
    <t>ML2679</t>
  </si>
  <si>
    <t>ML2680</t>
  </si>
  <si>
    <t>ML2681</t>
  </si>
  <si>
    <t>ML0152</t>
  </si>
  <si>
    <t>ML0422</t>
  </si>
  <si>
    <t>ML0421</t>
  </si>
  <si>
    <t>ML0509</t>
  </si>
  <si>
    <t>ML0519</t>
  </si>
  <si>
    <t>ML0518</t>
  </si>
  <si>
    <t>ML2491</t>
  </si>
  <si>
    <t>ML2490</t>
  </si>
  <si>
    <t>ML2489</t>
  </si>
  <si>
    <t>ML3000</t>
  </si>
  <si>
    <t>ML3001</t>
  </si>
  <si>
    <t>ML3002</t>
  </si>
  <si>
    <t>ML2661</t>
  </si>
  <si>
    <t>ML2662</t>
  </si>
  <si>
    <t>ML3017</t>
  </si>
  <si>
    <t>ML580326</t>
  </si>
  <si>
    <t>ML9398</t>
  </si>
  <si>
    <t>ML9404</t>
  </si>
  <si>
    <t>ML9406</t>
  </si>
  <si>
    <t>ML9399</t>
  </si>
  <si>
    <t>ML3018</t>
  </si>
  <si>
    <t>ML3019</t>
  </si>
  <si>
    <t>ML2693</t>
  </si>
  <si>
    <t>ML2694</t>
  </si>
  <si>
    <t>ML2685</t>
  </si>
  <si>
    <t>ML2686</t>
  </si>
  <si>
    <t>ML2687</t>
  </si>
  <si>
    <t>ML2611</t>
  </si>
  <si>
    <t>ML2612</t>
  </si>
  <si>
    <t>ML2613</t>
  </si>
  <si>
    <t>ML3057</t>
  </si>
  <si>
    <t>ML2669</t>
  </si>
  <si>
    <t>ML2670</t>
  </si>
  <si>
    <t>ML2667</t>
  </si>
  <si>
    <t>ML2636</t>
  </si>
  <si>
    <t>ML2637</t>
  </si>
  <si>
    <t>ML2603</t>
  </si>
  <si>
    <t>ML2604</t>
  </si>
  <si>
    <t>ML2605</t>
  </si>
  <si>
    <t>ML2973</t>
  </si>
  <si>
    <t>ML2974</t>
  </si>
  <si>
    <t>ML2975</t>
  </si>
  <si>
    <t>ML3063</t>
  </si>
  <si>
    <t>ML3080</t>
  </si>
  <si>
    <t>ML3081</t>
  </si>
  <si>
    <t>ML3086</t>
  </si>
  <si>
    <t>ML3087</t>
  </si>
  <si>
    <t>ML3122</t>
  </si>
  <si>
    <t>ML80217944</t>
  </si>
  <si>
    <t>ML2464</t>
  </si>
  <si>
    <t>ML2618</t>
  </si>
  <si>
    <t>ML2465</t>
  </si>
  <si>
    <t>ML2541</t>
  </si>
  <si>
    <t>ML2554</t>
  </si>
  <si>
    <t>ML2459</t>
  </si>
  <si>
    <t>ML2483</t>
  </si>
  <si>
    <t>ML2484</t>
  </si>
  <si>
    <t>ML3034</t>
  </si>
  <si>
    <t>ML2474</t>
  </si>
  <si>
    <t>ML3030</t>
  </si>
  <si>
    <t>ML3031</t>
  </si>
  <si>
    <t>ML2852</t>
  </si>
  <si>
    <t>ML33560</t>
  </si>
  <si>
    <t>ML33561</t>
  </si>
  <si>
    <t>ML33562</t>
  </si>
  <si>
    <t>ML3039</t>
  </si>
  <si>
    <t>ML2958</t>
  </si>
  <si>
    <t>ML2959</t>
  </si>
  <si>
    <t>Ml2960</t>
  </si>
  <si>
    <t>ML2492</t>
  </si>
  <si>
    <t>ML2493</t>
  </si>
  <si>
    <t>ML2494</t>
  </si>
  <si>
    <t>ML3056</t>
  </si>
  <si>
    <t>ML2633</t>
  </si>
  <si>
    <t>ML2675</t>
  </si>
  <si>
    <t>ML2631</t>
  </si>
  <si>
    <t>ML2650</t>
  </si>
  <si>
    <t>ML2630</t>
  </si>
  <si>
    <t>ML2651</t>
  </si>
  <si>
    <t>ML2496</t>
  </si>
  <si>
    <t>ML2497</t>
  </si>
  <si>
    <t>ML2498</t>
  </si>
  <si>
    <t>ML3055</t>
  </si>
  <si>
    <t>ML3048</t>
  </si>
  <si>
    <t>ML2632</t>
  </si>
  <si>
    <t>ML2657</t>
  </si>
  <si>
    <t>ML2658</t>
  </si>
  <si>
    <t>ML2659</t>
  </si>
  <si>
    <t>ML2672</t>
  </si>
  <si>
    <t>ML2673</t>
  </si>
  <si>
    <t>ML2674</t>
  </si>
  <si>
    <t>ML3027</t>
  </si>
  <si>
    <t>ML3028</t>
  </si>
  <si>
    <t>ML3029</t>
  </si>
  <si>
    <t>ML3035</t>
  </si>
  <si>
    <t>ML2569</t>
  </si>
  <si>
    <t>ML2543</t>
  </si>
  <si>
    <t>ML2556</t>
  </si>
  <si>
    <t>ML2572</t>
  </si>
  <si>
    <t>ML2573</t>
  </si>
  <si>
    <t>ML2574</t>
  </si>
  <si>
    <t>ML3032</t>
  </si>
  <si>
    <t>ML3033</t>
  </si>
  <si>
    <t>ML2473</t>
  </si>
  <si>
    <t>ML2948</t>
  </si>
  <si>
    <t>ML2949</t>
  </si>
  <si>
    <t>ML2950</t>
  </si>
  <si>
    <t>ML2961</t>
  </si>
  <si>
    <t>ML2962</t>
  </si>
  <si>
    <t>ML2963</t>
  </si>
  <si>
    <t>ML3116</t>
  </si>
  <si>
    <t>ML2937</t>
  </si>
  <si>
    <t>ML2936</t>
  </si>
  <si>
    <t>ML2922</t>
  </si>
  <si>
    <t>ML2923</t>
  </si>
  <si>
    <t>ML2924</t>
  </si>
  <si>
    <t>ML9396</t>
  </si>
  <si>
    <t>ML3003</t>
  </si>
  <si>
    <t>ML3004</t>
  </si>
  <si>
    <t>ML3005</t>
  </si>
  <si>
    <t>ML2691</t>
  </si>
  <si>
    <t>ML2692</t>
  </si>
  <si>
    <t>ML135521</t>
  </si>
  <si>
    <t>ML135523</t>
  </si>
  <si>
    <t>ML135522</t>
  </si>
  <si>
    <t>ML135524</t>
  </si>
  <si>
    <t>ML3354</t>
  </si>
  <si>
    <t>ML2472</t>
  </si>
  <si>
    <t>ML4563151</t>
  </si>
  <si>
    <t>ML2625</t>
  </si>
  <si>
    <t>ML2646</t>
  </si>
  <si>
    <t>ML2664</t>
  </si>
  <si>
    <t>ML2665</t>
  </si>
  <si>
    <t>ML2855</t>
  </si>
  <si>
    <t>ML9394</t>
  </si>
  <si>
    <t>ML2851</t>
  </si>
  <si>
    <t>ML2853</t>
  </si>
  <si>
    <t>ML412319</t>
  </si>
  <si>
    <t>ML412320</t>
  </si>
  <si>
    <t>ML412341</t>
  </si>
  <si>
    <t>ML412342</t>
  </si>
  <si>
    <t>ML59568</t>
  </si>
  <si>
    <t>ML59567</t>
  </si>
  <si>
    <t>ML412322</t>
  </si>
  <si>
    <t>ML412323</t>
  </si>
  <si>
    <t>ML412324</t>
  </si>
  <si>
    <t>ML412325</t>
  </si>
  <si>
    <t>ML412326</t>
  </si>
  <si>
    <t>ML412327</t>
  </si>
  <si>
    <t>ML412328</t>
  </si>
  <si>
    <t>ML412329</t>
  </si>
  <si>
    <t>ML412330</t>
  </si>
  <si>
    <t>ML412331</t>
  </si>
  <si>
    <t>ML412332</t>
  </si>
  <si>
    <t>ML412284</t>
  </si>
  <si>
    <t>ML412281</t>
  </si>
  <si>
    <t>ML60337</t>
  </si>
  <si>
    <t>ML59795</t>
  </si>
  <si>
    <t>ML60985</t>
  </si>
  <si>
    <t>МL10272</t>
  </si>
  <si>
    <t>ML110110</t>
  </si>
  <si>
    <t>ML110111</t>
  </si>
  <si>
    <t>ML59571</t>
  </si>
  <si>
    <t>ML59570</t>
  </si>
  <si>
    <t>ML59572</t>
  </si>
  <si>
    <t>ML412333</t>
  </si>
  <si>
    <t>ML412335</t>
  </si>
  <si>
    <t>ML412334</t>
  </si>
  <si>
    <t>ML412336</t>
  </si>
  <si>
    <t>ML412337</t>
  </si>
  <si>
    <t>ML412339</t>
  </si>
  <si>
    <t>ML412338</t>
  </si>
  <si>
    <t>ML19015</t>
  </si>
  <si>
    <t>ML2976</t>
  </si>
  <si>
    <t>ML2977</t>
  </si>
  <si>
    <t>ML2978</t>
  </si>
  <si>
    <t>ML3037</t>
  </si>
  <si>
    <t>ML2619</t>
  </si>
  <si>
    <t>ML2620</t>
  </si>
  <si>
    <t>ML2938</t>
  </si>
  <si>
    <t>ML2939</t>
  </si>
  <si>
    <t>ML2697</t>
  </si>
  <si>
    <t>ML2607</t>
  </si>
  <si>
    <t>ML9397</t>
  </si>
  <si>
    <t>ML3052</t>
  </si>
  <si>
    <t>ML2563</t>
  </si>
  <si>
    <t>ML2537</t>
  </si>
  <si>
    <t>ML2550</t>
  </si>
  <si>
    <t>ML2504</t>
  </si>
  <si>
    <t>ML2515</t>
  </si>
  <si>
    <t>ML2623</t>
  </si>
  <si>
    <t>ML19379</t>
  </si>
  <si>
    <t>ML19380</t>
  </si>
  <si>
    <t>ML19010</t>
  </si>
  <si>
    <t>ML3088</t>
  </si>
  <si>
    <t>ML3076</t>
  </si>
  <si>
    <t>ML2909</t>
  </si>
  <si>
    <t>ML2910</t>
  </si>
  <si>
    <t>ML3077</t>
  </si>
  <si>
    <t>ML3078</t>
  </si>
  <si>
    <t>ML3089</t>
  </si>
  <si>
    <t>ML3090</t>
  </si>
  <si>
    <t>E3021</t>
  </si>
  <si>
    <t>E3022</t>
  </si>
  <si>
    <t>E3023</t>
  </si>
  <si>
    <t>E3024</t>
  </si>
  <si>
    <t>E3025</t>
  </si>
  <si>
    <t>E3026</t>
  </si>
  <si>
    <t>E2994</t>
  </si>
  <si>
    <t>E2995</t>
  </si>
  <si>
    <t>E2996</t>
  </si>
  <si>
    <t>E135531</t>
  </si>
  <si>
    <t>E135532</t>
  </si>
  <si>
    <t>E135533</t>
  </si>
  <si>
    <t>E135534</t>
  </si>
  <si>
    <t>E135535</t>
  </si>
  <si>
    <t>E2900</t>
  </si>
  <si>
    <t>E2901</t>
  </si>
  <si>
    <t>E2902</t>
  </si>
  <si>
    <t>E3201</t>
  </si>
  <si>
    <t>E1355360</t>
  </si>
  <si>
    <t>E1355370</t>
  </si>
  <si>
    <t>E1355380</t>
  </si>
  <si>
    <t>E1355390</t>
  </si>
  <si>
    <t>E135539</t>
  </si>
  <si>
    <t>E3548</t>
  </si>
  <si>
    <t>E3549</t>
  </si>
  <si>
    <t>E2120</t>
  </si>
  <si>
    <t>E2121</t>
  </si>
  <si>
    <t>E2122</t>
  </si>
  <si>
    <t>E2123</t>
  </si>
  <si>
    <t>E2124</t>
  </si>
  <si>
    <t>E135542</t>
  </si>
  <si>
    <t>E135543</t>
  </si>
  <si>
    <t>E1355350</t>
  </si>
  <si>
    <t>E130130</t>
  </si>
  <si>
    <t>E135571</t>
  </si>
  <si>
    <t>E135572</t>
  </si>
  <si>
    <t>E4060</t>
  </si>
  <si>
    <t>E2476</t>
  </si>
  <si>
    <t>E3359</t>
  </si>
  <si>
    <t>E9701</t>
  </si>
  <si>
    <t>E2611</t>
  </si>
  <si>
    <t>E2612</t>
  </si>
  <si>
    <t>E2613</t>
  </si>
  <si>
    <t>E3057</t>
  </si>
  <si>
    <t>E2615</t>
  </si>
  <si>
    <t>E2616</t>
  </si>
  <si>
    <t>E90044778</t>
  </si>
  <si>
    <t>E70217949</t>
  </si>
  <si>
    <t>E70217947</t>
  </si>
  <si>
    <t>E70044776</t>
  </si>
  <si>
    <t>E3030</t>
  </si>
  <si>
    <t>E3031</t>
  </si>
  <si>
    <t>E2852</t>
  </si>
  <si>
    <t>E135573</t>
  </si>
  <si>
    <t>E135574</t>
  </si>
  <si>
    <t>E2959</t>
  </si>
  <si>
    <t>E2960</t>
  </si>
  <si>
    <t>E2492</t>
  </si>
  <si>
    <t>E2493</t>
  </si>
  <si>
    <t>E2494</t>
  </si>
  <si>
    <t>E3056</t>
  </si>
  <si>
    <t>E3064</t>
  </si>
  <si>
    <t>E2496</t>
  </si>
  <si>
    <t>E2497</t>
  </si>
  <si>
    <t>E2498</t>
  </si>
  <si>
    <t>E3055</t>
  </si>
  <si>
    <t>E3027</t>
  </si>
  <si>
    <t>E3028</t>
  </si>
  <si>
    <t>E3029</t>
  </si>
  <si>
    <t>E2937</t>
  </si>
  <si>
    <t>E2936</t>
  </si>
  <si>
    <t>E3003</t>
  </si>
  <si>
    <t>E3004</t>
  </si>
  <si>
    <t>E3005</t>
  </si>
  <si>
    <t>E135521</t>
  </si>
  <si>
    <t>E135523</t>
  </si>
  <si>
    <t>E3065</t>
  </si>
  <si>
    <t>E3066</t>
  </si>
  <si>
    <t>E135522</t>
  </si>
  <si>
    <t>E135524</t>
  </si>
  <si>
    <t>E0777</t>
  </si>
  <si>
    <t>E3354</t>
  </si>
  <si>
    <t>E135525</t>
  </si>
  <si>
    <t>E9481</t>
  </si>
  <si>
    <t>E9477</t>
  </si>
  <si>
    <t>E9480</t>
  </si>
  <si>
    <t>E7771</t>
  </si>
  <si>
    <t>E135400</t>
  </si>
  <si>
    <t>EMK1120101</t>
  </si>
  <si>
    <t>E3397</t>
  </si>
  <si>
    <t>EMK1120601</t>
  </si>
  <si>
    <t>E7772</t>
  </si>
  <si>
    <t>E135450</t>
  </si>
  <si>
    <t>E135451</t>
  </si>
  <si>
    <t>E135452</t>
  </si>
  <si>
    <t>E135575</t>
  </si>
  <si>
    <t>E135576</t>
  </si>
  <si>
    <t>E1355760</t>
  </si>
  <si>
    <t>E3605</t>
  </si>
  <si>
    <t>E2644</t>
  </si>
  <si>
    <t>E2645</t>
  </si>
  <si>
    <t>E2855</t>
  </si>
  <si>
    <t>E9470</t>
  </si>
  <si>
    <t>E59600</t>
  </si>
  <si>
    <t>E59601</t>
  </si>
  <si>
    <t>E110110</t>
  </si>
  <si>
    <t>E110111</t>
  </si>
  <si>
    <t>E60987</t>
  </si>
  <si>
    <t>E60988</t>
  </si>
  <si>
    <t>E413342</t>
  </si>
  <si>
    <t>E414342</t>
  </si>
  <si>
    <t>E712281</t>
  </si>
  <si>
    <t>E812281</t>
  </si>
  <si>
    <t>E912281</t>
  </si>
  <si>
    <t>E59602</t>
  </si>
  <si>
    <t>E61567</t>
  </si>
  <si>
    <t>E61568</t>
  </si>
  <si>
    <t>E61569</t>
  </si>
  <si>
    <t>E61570</t>
  </si>
  <si>
    <t>E61573</t>
  </si>
  <si>
    <t>E61574</t>
  </si>
  <si>
    <t>E135579</t>
  </si>
  <si>
    <t>E135580</t>
  </si>
  <si>
    <t>E135581</t>
  </si>
  <si>
    <t>E59571</t>
  </si>
  <si>
    <t>E59570</t>
  </si>
  <si>
    <t>E595962</t>
  </si>
  <si>
    <t>E55556</t>
  </si>
  <si>
    <t>E55555</t>
  </si>
  <si>
    <t>EMK00025</t>
  </si>
  <si>
    <t>E3088</t>
  </si>
  <si>
    <t>E3089</t>
  </si>
  <si>
    <t>E3090</t>
  </si>
  <si>
    <t>E45575</t>
  </si>
  <si>
    <t>E45675</t>
  </si>
  <si>
    <t>5000897952540</t>
  </si>
  <si>
    <t>5000897952539</t>
  </si>
  <si>
    <t>5520897927353</t>
  </si>
  <si>
    <t>5520897927354</t>
  </si>
  <si>
    <t>5520897927352</t>
  </si>
  <si>
    <t>Столик придиванный Бетон 470х600х300</t>
  </si>
  <si>
    <t>L3609</t>
  </si>
  <si>
    <t>ML4060</t>
  </si>
  <si>
    <t>ML3022</t>
  </si>
  <si>
    <t>ML1355370</t>
  </si>
  <si>
    <t>ML3137</t>
  </si>
  <si>
    <t>ML3139</t>
  </si>
  <si>
    <t>E2664</t>
  </si>
  <si>
    <t>E3669</t>
  </si>
  <si>
    <t>E3061</t>
  </si>
  <si>
    <t>E3019</t>
  </si>
  <si>
    <t>E2693</t>
  </si>
  <si>
    <t>E2603</t>
  </si>
  <si>
    <t>E2608</t>
  </si>
  <si>
    <t>E2610</t>
  </si>
  <si>
    <t>E135526</t>
  </si>
  <si>
    <t>E2954</t>
  </si>
  <si>
    <t>Тумба под тв Мальта Белое гладкое ш1020*в293*г354</t>
  </si>
  <si>
    <t>Комод Индиго (620х790х330) Белое тиснение</t>
  </si>
  <si>
    <t>Вешалка Милан настенная Белое тиснение</t>
  </si>
  <si>
    <t>Вешалка Милан настенная Крафт золотой/графит</t>
  </si>
  <si>
    <t>Вешалка Милан настенная Крафт золотой/Белое тиснение</t>
  </si>
  <si>
    <t>Вешалка Милан настенная Бетон/Белое тиснение</t>
  </si>
  <si>
    <t>Обувница вертикальная Мальта Лайт Белое тиснение 53х82х22</t>
  </si>
  <si>
    <t>Обувница вертикальная Мальта Лайт Венге 53х82х22</t>
  </si>
  <si>
    <t>Обувница вертикальная Мальта Лайт Дуб сонома 53х82х22</t>
  </si>
  <si>
    <t>Обувница вертикальная Мальта Лайт Дуб сонома/Белое тиснение 53х82х22</t>
  </si>
  <si>
    <t>Обувница вертикальная Мальта Лайт Бетон</t>
  </si>
  <si>
    <t>Обувница вертикальная Мальта Лайт Бетон/ Белое тиснение</t>
  </si>
  <si>
    <t>5520897927430</t>
  </si>
  <si>
    <t>5520897927429</t>
  </si>
  <si>
    <t>5520897927369</t>
  </si>
  <si>
    <t>5520897927349</t>
  </si>
  <si>
    <t>5520897927350</t>
  </si>
  <si>
    <t>5520897927351</t>
  </si>
  <si>
    <t>5520897927327</t>
  </si>
  <si>
    <t>5520897927328</t>
  </si>
  <si>
    <t>5520897927324</t>
  </si>
  <si>
    <t>5520897927325</t>
  </si>
  <si>
    <t>5520897927326</t>
  </si>
  <si>
    <t>5520897927355</t>
  </si>
  <si>
    <t>5520897927356</t>
  </si>
  <si>
    <t>5520897927358</t>
  </si>
  <si>
    <t>5520897927357</t>
  </si>
  <si>
    <t>5520897927367</t>
  </si>
  <si>
    <t>5520897927366</t>
  </si>
  <si>
    <t>5520897927362</t>
  </si>
  <si>
    <t>5520897927347</t>
  </si>
  <si>
    <t>5520897927364</t>
  </si>
  <si>
    <t>5520897927330</t>
  </si>
  <si>
    <t>5520897927360</t>
  </si>
  <si>
    <t>5520897927361</t>
  </si>
  <si>
    <t>5000897952563</t>
  </si>
  <si>
    <t>5520897927359</t>
  </si>
  <si>
    <t>5520897927368</t>
  </si>
  <si>
    <t>5520897927365</t>
  </si>
  <si>
    <t>Комод Веста Lite Белое тиснение 782х599х294</t>
  </si>
  <si>
    <t>Комод Ультра (0,750х0,729х0,330) Бетон (серия 2)</t>
  </si>
  <si>
    <t>Комод Ультра (0,75*0,729*0,33)  Бетон/Белое тиснение (серия 2)</t>
  </si>
  <si>
    <t xml:space="preserve">СКГТ </t>
  </si>
  <si>
    <t>Стол письменный Милан Белое тиснение</t>
  </si>
  <si>
    <t>Кратность на паллете</t>
  </si>
  <si>
    <t>Стол игровой XGamer Антрацит</t>
  </si>
  <si>
    <t>Вешалка Милан настенная Крафт табачный</t>
  </si>
  <si>
    <t>L1355340</t>
  </si>
  <si>
    <t>E1355340</t>
  </si>
  <si>
    <t>5520897927464</t>
  </si>
  <si>
    <t>5520897927463</t>
  </si>
  <si>
    <t>L1355341</t>
  </si>
  <si>
    <t>L3617</t>
  </si>
  <si>
    <t>L3618</t>
  </si>
  <si>
    <t>L3619</t>
  </si>
  <si>
    <t>Обувница Ultra Plus вертикальная 2 секции Белое тисн./Ателье светлое 750х859х246</t>
  </si>
  <si>
    <t>Обувница Ultra Plus вертикальная 2 секции Дуб сонома/Белое тисн. 750х859х246</t>
  </si>
  <si>
    <t>Обувница Ultra Plus вертикальная 2 секции Дуб Крафт Белый/Графит 750х859х246</t>
  </si>
  <si>
    <t>Обувница Ultra вертикальная 1 секция Белое тиснение 532х374х170</t>
  </si>
  <si>
    <t>Обувница Ultra вертикальная 1 секция Ателье светлое/Белое тиснение 532х374х170</t>
  </si>
  <si>
    <t>Обувница Ultra вертикальная 1 секция Дуб сонома 532х374х170</t>
  </si>
  <si>
    <t>Обувница Ultra вертикальная 1 секция Дуб сонома/Белое тиснение 532х374х170</t>
  </si>
  <si>
    <t>Обувница Ultra вертикальная 1 секция Венге 532х374х170</t>
  </si>
  <si>
    <t>3520000002142</t>
  </si>
  <si>
    <t>5520897927442</t>
  </si>
  <si>
    <t>5520897927444</t>
  </si>
  <si>
    <t>5520897927446</t>
  </si>
  <si>
    <t>5520897927448</t>
  </si>
  <si>
    <t>5520897927450</t>
  </si>
  <si>
    <t>5520897927452</t>
  </si>
  <si>
    <t>L135582</t>
  </si>
  <si>
    <t>L135583</t>
  </si>
  <si>
    <t>L135584</t>
  </si>
  <si>
    <t>L135585</t>
  </si>
  <si>
    <t>L135586</t>
  </si>
  <si>
    <t>L135587</t>
  </si>
  <si>
    <t>E135582</t>
  </si>
  <si>
    <t>E135583</t>
  </si>
  <si>
    <t>E135584</t>
  </si>
  <si>
    <t>E135585</t>
  </si>
  <si>
    <t>E135586</t>
  </si>
  <si>
    <t>E135587</t>
  </si>
  <si>
    <t>5520897927431</t>
  </si>
  <si>
    <t>5520897927432</t>
  </si>
  <si>
    <t>5520897927433</t>
  </si>
  <si>
    <t>5520897927434</t>
  </si>
  <si>
    <t>L30364</t>
  </si>
  <si>
    <t>L30365</t>
  </si>
  <si>
    <t>L30366</t>
  </si>
  <si>
    <t>L30367</t>
  </si>
  <si>
    <t>ML30364</t>
  </si>
  <si>
    <t>ML30365</t>
  </si>
  <si>
    <t>ML30366</t>
  </si>
  <si>
    <t>ML30367</t>
  </si>
  <si>
    <t>E30364</t>
  </si>
  <si>
    <t>E30365</t>
  </si>
  <si>
    <t>E30366</t>
  </si>
  <si>
    <t>E30367</t>
  </si>
  <si>
    <t>L3610</t>
  </si>
  <si>
    <t>L14030</t>
  </si>
  <si>
    <t>E14030</t>
  </si>
  <si>
    <t>E1355341</t>
  </si>
  <si>
    <t>L3265</t>
  </si>
  <si>
    <t>Стеллаж Quatrro 4 секции Бетон 362х1396х280</t>
  </si>
  <si>
    <t>Стеллаж угловой Jazz Plus Дуб Крафт белый 1746х330х330</t>
  </si>
  <si>
    <t>Стеллаж угловой Jazz Plus Крафт золотой 1746х330х330</t>
  </si>
  <si>
    <t>Стеллаж угловой Jazz Plus Бетон 1746х330х330</t>
  </si>
  <si>
    <t>E3670</t>
  </si>
  <si>
    <t>Стол рабочий угловой Мальта Plus с полками Венге 730*754(h)*730</t>
  </si>
  <si>
    <t>Стол рабочий угловой Мальта Plus с полками Дуб сонома 730*754(h)*730</t>
  </si>
  <si>
    <t>Стол рабочий угловой Мальта Plus с полками Ателье светлое 730*754(h)*730</t>
  </si>
  <si>
    <t>3521897952663</t>
  </si>
  <si>
    <t>3521897952664</t>
  </si>
  <si>
    <t>3521897952665</t>
  </si>
  <si>
    <t>3521897952666</t>
  </si>
  <si>
    <t>3521897952667</t>
  </si>
  <si>
    <t>3521897952668</t>
  </si>
  <si>
    <t>3521897952669</t>
  </si>
  <si>
    <t>3521897952670</t>
  </si>
  <si>
    <t>3521897952671</t>
  </si>
  <si>
    <t>3521897952672</t>
  </si>
  <si>
    <t>5520897927318</t>
  </si>
  <si>
    <t>5520897927440</t>
  </si>
  <si>
    <t>5520897927439</t>
  </si>
  <si>
    <t>5520897927456</t>
  </si>
  <si>
    <t>5520897927455</t>
  </si>
  <si>
    <t>5520897927457</t>
  </si>
  <si>
    <t>5520897927458</t>
  </si>
  <si>
    <t>5520897927459</t>
  </si>
  <si>
    <t>5520897927460</t>
  </si>
  <si>
    <t>5520897927462</t>
  </si>
  <si>
    <t>5520897927454</t>
  </si>
  <si>
    <t>5520897927476</t>
  </si>
  <si>
    <t>5520897927477</t>
  </si>
  <si>
    <t>5520897927478</t>
  </si>
  <si>
    <t>5520897927475</t>
  </si>
  <si>
    <t>5520897927479</t>
  </si>
  <si>
    <t>5520897927480</t>
  </si>
  <si>
    <t>5520897927481</t>
  </si>
  <si>
    <t>5520897927482</t>
  </si>
  <si>
    <t>5520897927483</t>
  </si>
  <si>
    <t>3521897952659</t>
  </si>
  <si>
    <t>3521897952655</t>
  </si>
  <si>
    <t>3521897952656</t>
  </si>
  <si>
    <t>3521897952657</t>
  </si>
  <si>
    <t>3521897952651</t>
  </si>
  <si>
    <t>3521897952653</t>
  </si>
  <si>
    <t>3521897952652</t>
  </si>
  <si>
    <t>3521897952654</t>
  </si>
  <si>
    <t>3521897952660</t>
  </si>
  <si>
    <t>3521897952661</t>
  </si>
  <si>
    <t>3521897952662</t>
  </si>
  <si>
    <t>3521897952400</t>
  </si>
  <si>
    <t>3521897952650</t>
  </si>
  <si>
    <t>3521897952530</t>
  </si>
  <si>
    <t>L3643</t>
  </si>
  <si>
    <t>L3641</t>
  </si>
  <si>
    <t>L30368</t>
  </si>
  <si>
    <t>Стеллаж Zett с 2 дверками Бетон 730х1757х266</t>
  </si>
  <si>
    <t>5520897927484</t>
  </si>
  <si>
    <t>5520897927474</t>
  </si>
  <si>
    <t>5520897927473</t>
  </si>
  <si>
    <t>3521897952675</t>
  </si>
  <si>
    <t>3521897952673</t>
  </si>
  <si>
    <t>3521897952674</t>
  </si>
  <si>
    <t>3521897952676</t>
  </si>
  <si>
    <t>3521897952677</t>
  </si>
  <si>
    <t>3521897952679</t>
  </si>
  <si>
    <t>3521897952680</t>
  </si>
  <si>
    <t>3521897952678</t>
  </si>
  <si>
    <t>3521897952681</t>
  </si>
  <si>
    <t>3521897952488</t>
  </si>
  <si>
    <t>Комод City 3 ящика Бетон</t>
  </si>
  <si>
    <t>Комод City 3 ящика Бетон/Белое тиснение</t>
  </si>
  <si>
    <t>Комод City 3 ящика Дуб сонома/Белое тиснение</t>
  </si>
  <si>
    <t>Комод City 3 ящика Дуб крафт табачный</t>
  </si>
  <si>
    <t>Комод City 5 ящиков Бетон/Белое тиснение</t>
  </si>
  <si>
    <t>Комод City 5 ящиков Дуб сонома/Белое тиснение</t>
  </si>
  <si>
    <t>Стол письменный УЛЬТРА (1,058х0,75х0,45) Бетон/белое тиснение (серия2)</t>
  </si>
  <si>
    <t>Стол письменный рабочий Милан белое тиснение</t>
  </si>
  <si>
    <t>Стол письменный рабочий Милан бетон</t>
  </si>
  <si>
    <t>E4040</t>
  </si>
  <si>
    <t>E2952</t>
  </si>
  <si>
    <t>E2953</t>
  </si>
  <si>
    <t>E7794</t>
  </si>
  <si>
    <t>E3617</t>
  </si>
  <si>
    <t>E3618</t>
  </si>
  <si>
    <t>E3619</t>
  </si>
  <si>
    <t>E3622</t>
  </si>
  <si>
    <t>E3623</t>
  </si>
  <si>
    <t>E3625</t>
  </si>
  <si>
    <t>E3626</t>
  </si>
  <si>
    <t>E3624</t>
  </si>
  <si>
    <t>E2609</t>
  </si>
  <si>
    <t>E3020</t>
  </si>
  <si>
    <t>E3671</t>
  </si>
  <si>
    <t>E36691</t>
  </si>
  <si>
    <t>EMK1250101</t>
  </si>
  <si>
    <t>E90217948</t>
  </si>
  <si>
    <t>E40217946</t>
  </si>
  <si>
    <t>E3377</t>
  </si>
  <si>
    <t>E3378</t>
  </si>
  <si>
    <t>E3642</t>
  </si>
  <si>
    <t>E3643</t>
  </si>
  <si>
    <t>E3641</t>
  </si>
  <si>
    <t>E14012</t>
  </si>
  <si>
    <t>Шкаф 3в1 Пакс Белое тиснение</t>
  </si>
  <si>
    <t>L135590</t>
  </si>
  <si>
    <t>L135591</t>
  </si>
  <si>
    <t>L135592</t>
  </si>
  <si>
    <t>L135593</t>
  </si>
  <si>
    <t>L14012</t>
  </si>
  <si>
    <t>L36694</t>
  </si>
  <si>
    <t>L135520</t>
  </si>
  <si>
    <t>5520897927486</t>
  </si>
  <si>
    <t>5520897927487</t>
  </si>
  <si>
    <t>5520897927488</t>
  </si>
  <si>
    <t>5520897927489</t>
  </si>
  <si>
    <t>5520897927492</t>
  </si>
  <si>
    <t>5520897927491</t>
  </si>
  <si>
    <t>5520897927490</t>
  </si>
  <si>
    <t>3521897952683</t>
  </si>
  <si>
    <t>3521897952684</t>
  </si>
  <si>
    <t>3521897952682</t>
  </si>
  <si>
    <t>L4082</t>
  </si>
  <si>
    <t>L135596</t>
  </si>
  <si>
    <t>L135600</t>
  </si>
  <si>
    <t>L135601</t>
  </si>
  <si>
    <t>L4040</t>
  </si>
  <si>
    <t>ML4040</t>
  </si>
  <si>
    <t>L4114</t>
  </si>
  <si>
    <t>Обувница Ultra Plus вертикальная 2 секции Белое тисн. 750х859х246</t>
  </si>
  <si>
    <t>Обувница Ultra вертикальная универсал. 3 секции Белое тиснение 532х1122х170</t>
  </si>
  <si>
    <t>Обувница Ultra вертикальная 3 секции Ателье светлое 532х1122х170</t>
  </si>
  <si>
    <t>Комод Мальта Plus Бетон/белое тиснение</t>
  </si>
  <si>
    <t>Комод Мальта Plus Дуб сонома/белое тиснение</t>
  </si>
  <si>
    <t>Комод Neoletta 4 ящика (570х755х352) Белое Тиснение</t>
  </si>
  <si>
    <t>Комод Веста Белое тиснение 740х346х600</t>
  </si>
  <si>
    <t>E135593</t>
  </si>
  <si>
    <t>E135592</t>
  </si>
  <si>
    <t>E135591</t>
  </si>
  <si>
    <t>E135590</t>
  </si>
  <si>
    <t>E135520</t>
  </si>
  <si>
    <t>E30368</t>
  </si>
  <si>
    <t>E4082</t>
  </si>
  <si>
    <t>E135596</t>
  </si>
  <si>
    <t>Шкаф 2в1 Пакс Крафт белый</t>
  </si>
  <si>
    <t>Шкаф навесной Мальта Графит</t>
  </si>
  <si>
    <t>Шкаф навесной Мальта Крафт белый</t>
  </si>
  <si>
    <t>Шкаф навесной Мальта Бетон</t>
  </si>
  <si>
    <t>Шкаф навесной Мальта Крафт золотой</t>
  </si>
  <si>
    <t>ML3641</t>
  </si>
  <si>
    <t>ML30368</t>
  </si>
  <si>
    <t>ML3023</t>
  </si>
  <si>
    <t>ML1355380</t>
  </si>
  <si>
    <t>ML135539</t>
  </si>
  <si>
    <t>ML2120</t>
  </si>
  <si>
    <t>ML2121</t>
  </si>
  <si>
    <t>ML2122</t>
  </si>
  <si>
    <t>ML2123</t>
  </si>
  <si>
    <t>ML2124</t>
  </si>
  <si>
    <t>ML135542</t>
  </si>
  <si>
    <t>ML1355350</t>
  </si>
  <si>
    <t>ML135596</t>
  </si>
  <si>
    <t>ML3544</t>
  </si>
  <si>
    <t>ML3620</t>
  </si>
  <si>
    <t>ML3621</t>
  </si>
  <si>
    <t>ML3642</t>
  </si>
  <si>
    <t>ML3643</t>
  </si>
  <si>
    <t>L3626</t>
  </si>
  <si>
    <t>ML3626</t>
  </si>
  <si>
    <t>L3625</t>
  </si>
  <si>
    <t>ML3625</t>
  </si>
  <si>
    <t>L3624</t>
  </si>
  <si>
    <t>ML3624</t>
  </si>
  <si>
    <t>L3623</t>
  </si>
  <si>
    <t>ML3623</t>
  </si>
  <si>
    <t>L3622</t>
  </si>
  <si>
    <t>ML3622</t>
  </si>
  <si>
    <t>ML3619</t>
  </si>
  <si>
    <t>ML3618</t>
  </si>
  <si>
    <t>ML3617</t>
  </si>
  <si>
    <t>ML7794</t>
  </si>
  <si>
    <t>ML135587</t>
  </si>
  <si>
    <t>ML135586</t>
  </si>
  <si>
    <t>ML135585</t>
  </si>
  <si>
    <t>ML135584</t>
  </si>
  <si>
    <t>ML135583</t>
  </si>
  <si>
    <t>ML135582</t>
  </si>
  <si>
    <t>ML14012</t>
  </si>
  <si>
    <t>3521897952891</t>
  </si>
  <si>
    <t>3521897952685</t>
  </si>
  <si>
    <t>3521897952892</t>
  </si>
  <si>
    <t>3521897952486</t>
  </si>
  <si>
    <t>3521897952890</t>
  </si>
  <si>
    <t>L3544</t>
  </si>
  <si>
    <t>L3620</t>
  </si>
  <si>
    <t>L3621</t>
  </si>
  <si>
    <t>L135595</t>
  </si>
  <si>
    <t>L3642</t>
  </si>
  <si>
    <t>Стол обеденный Мальта Лайт Бетон/Белое тиснение 650х780х650</t>
  </si>
  <si>
    <t>Тумба подвесная Белое тиснение Оливия 420*279*300</t>
  </si>
  <si>
    <t>Тумба подвесная Белое тиснение/дуб сонома Оливия 420*279*300</t>
  </si>
  <si>
    <t>Тумба подвесная Дуб сонома Оливия 420*279*300</t>
  </si>
  <si>
    <t>Шкаф книжный Style с 3 дверками Бетон 706х1048х300</t>
  </si>
  <si>
    <t>ML135520</t>
  </si>
  <si>
    <t>L580356</t>
  </si>
  <si>
    <t>Комод Телави Бетон 672х756х346</t>
  </si>
  <si>
    <t>Комод Телави Дуб Крафт Золотой 672х756х346</t>
  </si>
  <si>
    <t>Тумба подвесная Бетон Оливия 420*279*300</t>
  </si>
  <si>
    <t>E3544</t>
  </si>
  <si>
    <t>E3620</t>
  </si>
  <si>
    <t>E3621</t>
  </si>
  <si>
    <t>E135600</t>
  </si>
  <si>
    <t>E135601</t>
  </si>
  <si>
    <t>E366941</t>
  </si>
  <si>
    <t>E366942</t>
  </si>
  <si>
    <t>E366943</t>
  </si>
  <si>
    <t>E366944</t>
  </si>
  <si>
    <t>E366945</t>
  </si>
  <si>
    <t>E366946</t>
  </si>
  <si>
    <t>E9421</t>
  </si>
  <si>
    <t>E9422</t>
  </si>
  <si>
    <t>E9423</t>
  </si>
  <si>
    <t>L9424</t>
  </si>
  <si>
    <t>L9425</t>
  </si>
  <si>
    <t>L9426</t>
  </si>
  <si>
    <t>L1355391</t>
  </si>
  <si>
    <t>L1355392</t>
  </si>
  <si>
    <t>L4030</t>
  </si>
  <si>
    <t>L4070</t>
  </si>
  <si>
    <t>L4071</t>
  </si>
  <si>
    <t>L4072</t>
  </si>
  <si>
    <t>L4110</t>
  </si>
  <si>
    <t>L4073</t>
  </si>
  <si>
    <t>L14116</t>
  </si>
  <si>
    <t>E9424</t>
  </si>
  <si>
    <t>E9425</t>
  </si>
  <si>
    <t>Комод Телави Дуб Крафт Белый 672х756х346</t>
  </si>
  <si>
    <t>Шкаф-комод Ультра 2х дверный Бетон/белое тиснение</t>
  </si>
  <si>
    <t>Стол компьютерный рабочий Orion Белое тиснение 110х75х60</t>
  </si>
  <si>
    <t>5520897927498</t>
  </si>
  <si>
    <t>5520897927499</t>
  </si>
  <si>
    <t>5520897927493</t>
  </si>
  <si>
    <t>5520897927494</t>
  </si>
  <si>
    <t>5520897927495</t>
  </si>
  <si>
    <t>5000897952617</t>
  </si>
  <si>
    <t>5520897927500</t>
  </si>
  <si>
    <t>3521897952895</t>
  </si>
  <si>
    <t>3521897952896</t>
  </si>
  <si>
    <t>3521897952897</t>
  </si>
  <si>
    <t>ML1355391</t>
  </si>
  <si>
    <t>ML1355392</t>
  </si>
  <si>
    <t>ML135600</t>
  </si>
  <si>
    <t>ML135601</t>
  </si>
  <si>
    <t>Стеллаж Quattro 8 секций Ателье светлое 706х1396х280</t>
  </si>
  <si>
    <t>Комод City 3 ящика Серый графит</t>
  </si>
  <si>
    <t>Комод City 5 ящиков Крафт серый/Серый графит</t>
  </si>
  <si>
    <t>Комод City 5 ящиков Серый графит</t>
  </si>
  <si>
    <t>Комод Estet Бетон</t>
  </si>
  <si>
    <t>Комод Estet Крафт белый</t>
  </si>
  <si>
    <t>Комод Estet Крафт золотой</t>
  </si>
  <si>
    <t>Комод Malta Plus (750х719х392) Дуб сонома/белое тиснение</t>
  </si>
  <si>
    <t>Комод Индиго Бетон светлый</t>
  </si>
  <si>
    <t>Комод Индиго Дуб Крафт белый</t>
  </si>
  <si>
    <t>Комод Индиго Дуб Крафт Золотой</t>
  </si>
  <si>
    <t>Комод Прага 3 ящика малый бетон</t>
  </si>
  <si>
    <t>Комод Прага 3 ящика малый Крафт белый</t>
  </si>
  <si>
    <t>Комод Прага 3 ящика малый Крафт золотой</t>
  </si>
  <si>
    <t>Комод тумба офисная Praga 6 Бетон</t>
  </si>
  <si>
    <t>Комод тумба офисная Praga 6 Крафт белый</t>
  </si>
  <si>
    <t>Комод тумба офисная Praga 6 Крафт золотой</t>
  </si>
  <si>
    <t>Комод Ультра Серия 2  Графит</t>
  </si>
  <si>
    <t>Комод Ультра Серия 2  Дуб крафт табачный</t>
  </si>
  <si>
    <t>Комод Ультра Серия 2  Крафт серый/Графит</t>
  </si>
  <si>
    <t>Комод Ультра Серия 2  Рокфорд светлый</t>
  </si>
  <si>
    <t xml:space="preserve">Стол компьютерный рабочий Orion Plus черный/красная кромка </t>
  </si>
  <si>
    <t>Стол письменный компьютерный Веста plus Дуб Сонома/Белый текстурный</t>
  </si>
  <si>
    <t>Стол письменный Ультра (Серия 2) Графит</t>
  </si>
  <si>
    <t>Стол письменный Ультра (Серия 2) Крафт табачный</t>
  </si>
  <si>
    <t>Шкаф 2в1 Пакс  Графит</t>
  </si>
  <si>
    <t>Шкаф 2в1 Пакс Бетон</t>
  </si>
  <si>
    <t>Шкаф-комод Ультра 2-х дверный Бетон</t>
  </si>
  <si>
    <t>Шкаф-комод Ультра 2-х дверный Графит</t>
  </si>
  <si>
    <t>3521897952900</t>
  </si>
  <si>
    <t>3521897952901</t>
  </si>
  <si>
    <t>3521897952899</t>
  </si>
  <si>
    <t>5520897927504</t>
  </si>
  <si>
    <t>5520897927502</t>
  </si>
  <si>
    <t>5520897927501</t>
  </si>
  <si>
    <t>3521897952898</t>
  </si>
  <si>
    <t>ML4110</t>
  </si>
  <si>
    <t>ML3585</t>
  </si>
  <si>
    <t>ML30090</t>
  </si>
  <si>
    <t>ML4030</t>
  </si>
  <si>
    <t>ML4114</t>
  </si>
  <si>
    <t>L3585</t>
  </si>
  <si>
    <t>L30090</t>
  </si>
  <si>
    <t>L4068</t>
  </si>
  <si>
    <t>L4069</t>
  </si>
  <si>
    <t>L4160</t>
  </si>
  <si>
    <t>L29002</t>
  </si>
  <si>
    <t>E9426</t>
  </si>
  <si>
    <t>E4110</t>
  </si>
  <si>
    <t>E3585</t>
  </si>
  <si>
    <t>E30090</t>
  </si>
  <si>
    <t>E4030</t>
  </si>
  <si>
    <t>E4114</t>
  </si>
  <si>
    <t>ML0133</t>
  </si>
  <si>
    <t>Кошкарева</t>
  </si>
  <si>
    <t>E4068</t>
  </si>
  <si>
    <t>E2965</t>
  </si>
  <si>
    <t>E2964</t>
  </si>
  <si>
    <t>E4069</t>
  </si>
  <si>
    <t>E4160</t>
  </si>
  <si>
    <t>E2966</t>
  </si>
  <si>
    <t>E29002</t>
  </si>
  <si>
    <t>E14117</t>
  </si>
  <si>
    <t>E14118</t>
  </si>
  <si>
    <t>E14119</t>
  </si>
  <si>
    <t>E14120</t>
  </si>
  <si>
    <t>E3573</t>
  </si>
  <si>
    <t>E7773</t>
  </si>
  <si>
    <t>L14119</t>
  </si>
  <si>
    <t>L14118</t>
  </si>
  <si>
    <t>L14120</t>
  </si>
  <si>
    <t>L14117</t>
  </si>
  <si>
    <t>3521897952902</t>
  </si>
  <si>
    <t>3521897952903</t>
  </si>
  <si>
    <t>3521897952905</t>
  </si>
  <si>
    <t>3521897952910</t>
  </si>
  <si>
    <t>3521897952911</t>
  </si>
  <si>
    <t>3521897952906</t>
  </si>
  <si>
    <t>3521897952907</t>
  </si>
  <si>
    <t>3521897952908</t>
  </si>
  <si>
    <t>3521897952909</t>
  </si>
  <si>
    <t>5520897927513</t>
  </si>
  <si>
    <t>5520897927505</t>
  </si>
  <si>
    <t>5520897927506</t>
  </si>
  <si>
    <t>5520897927508</t>
  </si>
  <si>
    <t>5520897927514</t>
  </si>
  <si>
    <t>5520897927485</t>
  </si>
  <si>
    <t>5520897927509</t>
  </si>
  <si>
    <t>5520897927510</t>
  </si>
  <si>
    <t>5520897927511</t>
  </si>
  <si>
    <t>5520897927512</t>
  </si>
  <si>
    <t>5520897927515</t>
  </si>
  <si>
    <t>L29001</t>
  </si>
  <si>
    <t>ML4068</t>
  </si>
  <si>
    <t>ML4069</t>
  </si>
  <si>
    <t>ML4160</t>
  </si>
  <si>
    <t>ML14120</t>
  </si>
  <si>
    <t>ML14119</t>
  </si>
  <si>
    <t>ML14118</t>
  </si>
  <si>
    <t>ML14117</t>
  </si>
  <si>
    <t>ML29001</t>
  </si>
  <si>
    <t>L1355202</t>
  </si>
  <si>
    <t>L29970</t>
  </si>
  <si>
    <t>ML1355202</t>
  </si>
  <si>
    <t>ML29970</t>
  </si>
  <si>
    <t>E29001</t>
  </si>
  <si>
    <t>E1355202</t>
  </si>
  <si>
    <t>E9420</t>
  </si>
  <si>
    <t>E9418</t>
  </si>
  <si>
    <t>E9419</t>
  </si>
  <si>
    <t>E29970</t>
  </si>
  <si>
    <t>3521897952904</t>
  </si>
  <si>
    <t>3521897952912</t>
  </si>
  <si>
    <t>3521897952914</t>
  </si>
  <si>
    <t>3521897952913</t>
  </si>
  <si>
    <t>5520897927516</t>
  </si>
  <si>
    <t>5520897927518</t>
  </si>
  <si>
    <t>5520897927517</t>
  </si>
  <si>
    <t>5520897927519</t>
  </si>
  <si>
    <t>5520897927507</t>
  </si>
  <si>
    <t>5000897952566</t>
  </si>
  <si>
    <t>L29980</t>
  </si>
  <si>
    <t>L29990</t>
  </si>
  <si>
    <t>L9901</t>
  </si>
  <si>
    <t>ML29980</t>
  </si>
  <si>
    <t>ML29990</t>
  </si>
  <si>
    <t>E3212</t>
  </si>
  <si>
    <t>E29990</t>
  </si>
  <si>
    <t>E29980</t>
  </si>
  <si>
    <t>Тумба подвесная Malta Ателье светлое/Белое тисн. 610х200(h)х284</t>
  </si>
  <si>
    <t>Стол журнальный "Комфорт" (серия 2) Дуб Крафт золотой</t>
  </si>
  <si>
    <t>Стол журнальный "Комфорт" (серия 2) Бетон</t>
  </si>
  <si>
    <t>L130132</t>
  </si>
  <si>
    <t>L130131</t>
  </si>
  <si>
    <t>L130133</t>
  </si>
  <si>
    <t>L135603</t>
  </si>
  <si>
    <t>L14115</t>
  </si>
  <si>
    <t>L135604</t>
  </si>
  <si>
    <t>ML9477</t>
  </si>
  <si>
    <t>ML135525</t>
  </si>
  <si>
    <t>5520897927520</t>
  </si>
  <si>
    <t>5520897927522</t>
  </si>
  <si>
    <t>Тумба подвесная Malta Графит 610х200(h)х284</t>
  </si>
  <si>
    <t>3521897952924</t>
  </si>
  <si>
    <t>3521897952925</t>
  </si>
  <si>
    <t>5520897927524</t>
  </si>
  <si>
    <t>5520897927521</t>
  </si>
  <si>
    <t>5520897927363</t>
  </si>
  <si>
    <t>5520897927523</t>
  </si>
  <si>
    <t>5520897927525</t>
  </si>
  <si>
    <t>5520897927526</t>
  </si>
  <si>
    <t>5000897952586</t>
  </si>
  <si>
    <t>5520897927392</t>
  </si>
  <si>
    <t>5520897927503</t>
  </si>
  <si>
    <t>L135594</t>
  </si>
  <si>
    <t>L1355342</t>
  </si>
  <si>
    <t>L29003</t>
  </si>
  <si>
    <t>L1355201</t>
  </si>
  <si>
    <t>L3687</t>
  </si>
  <si>
    <t>L14114</t>
  </si>
  <si>
    <t>L4041</t>
  </si>
  <si>
    <t>L4043</t>
  </si>
  <si>
    <t>L4042</t>
  </si>
  <si>
    <t>L13202</t>
  </si>
  <si>
    <t>L13203</t>
  </si>
  <si>
    <t>L13204</t>
  </si>
  <si>
    <t>5520897927408</t>
  </si>
  <si>
    <t>5520897927409</t>
  </si>
  <si>
    <t>5520897927407</t>
  </si>
  <si>
    <t>СТОЛЫ МАНИКЮРНЫЕ</t>
  </si>
  <si>
    <t>L7773</t>
  </si>
  <si>
    <t>E130131</t>
  </si>
  <si>
    <t>E130133</t>
  </si>
  <si>
    <t>E135594</t>
  </si>
  <si>
    <t>E135603</t>
  </si>
  <si>
    <t>E135604</t>
  </si>
  <si>
    <t>E29003</t>
  </si>
  <si>
    <t>E2652</t>
  </si>
  <si>
    <t>L3688</t>
  </si>
  <si>
    <t>L1355343</t>
  </si>
  <si>
    <t>Стол раздвижной Дуб Вотан</t>
  </si>
  <si>
    <t>Тумба City 2 ящика Серый Графит 400х481х354</t>
  </si>
  <si>
    <t>ПШ13604</t>
  </si>
  <si>
    <t>94172/1</t>
  </si>
  <si>
    <t>94171/1</t>
  </si>
  <si>
    <t>9418/1</t>
  </si>
  <si>
    <t>9419/1</t>
  </si>
  <si>
    <t>03538/03539</t>
  </si>
  <si>
    <t>ЕДИНЫЙ АРТИКУЛ</t>
  </si>
  <si>
    <t>Комод Malta Plus Венге/Дуб белфорт 750х719х392</t>
  </si>
  <si>
    <t>Комод Malta Plus Черный 750х719х392</t>
  </si>
  <si>
    <t>Стол журнальный "Элегант" комплект, золотая основа, Белый камень</t>
  </si>
  <si>
    <t>Стол журнальный "Элегант" комплект, черная основа, Черный камень</t>
  </si>
  <si>
    <t>Стол письменный Ультра 4 ящика Белое тиснение 1056*750*450</t>
  </si>
  <si>
    <t>3521897952926</t>
  </si>
  <si>
    <t>3521897952927</t>
  </si>
  <si>
    <t>5520897927533</t>
  </si>
  <si>
    <t>5520897927534</t>
  </si>
  <si>
    <t>5520897927535</t>
  </si>
  <si>
    <t>5520897927536</t>
  </si>
  <si>
    <t>5520897927537</t>
  </si>
  <si>
    <t>ML1355211</t>
  </si>
  <si>
    <t>ML135594</t>
  </si>
  <si>
    <t>ML29003</t>
  </si>
  <si>
    <t>ML1355343</t>
  </si>
  <si>
    <t>E130132</t>
  </si>
  <si>
    <t>Стол письменный City Lite Графит</t>
  </si>
  <si>
    <t>ТУМБЫ ПРИКРОВАТНЫЕ</t>
  </si>
  <si>
    <t>Комод City Plus Бетон</t>
  </si>
  <si>
    <t>3521897952920</t>
  </si>
  <si>
    <t>3521897952921</t>
  </si>
  <si>
    <t>3521897952922</t>
  </si>
  <si>
    <t>3521897952923</t>
  </si>
  <si>
    <t>3521897952931</t>
  </si>
  <si>
    <t>3521897952930</t>
  </si>
  <si>
    <t>3521897952933</t>
  </si>
  <si>
    <t>3521897952934</t>
  </si>
  <si>
    <t>3521897952935</t>
  </si>
  <si>
    <t>5520897927329</t>
  </si>
  <si>
    <t>5520897927384</t>
  </si>
  <si>
    <t>5520897927385</t>
  </si>
  <si>
    <t>L1355361</t>
  </si>
  <si>
    <t>L1355394</t>
  </si>
  <si>
    <t>L2125</t>
  </si>
  <si>
    <t>L14001</t>
  </si>
  <si>
    <t>L417105</t>
  </si>
  <si>
    <t>E3688</t>
  </si>
  <si>
    <t>E1355343</t>
  </si>
  <si>
    <t>E2696</t>
  </si>
  <si>
    <t>E2697</t>
  </si>
  <si>
    <t>E2698</t>
  </si>
  <si>
    <t>E3570</t>
  </si>
  <si>
    <t>E3571</t>
  </si>
  <si>
    <t>E2938</t>
  </si>
  <si>
    <t>E2940</t>
  </si>
  <si>
    <t>E2939</t>
  </si>
  <si>
    <t>EMK00020</t>
  </si>
  <si>
    <t>EMK00045</t>
  </si>
  <si>
    <t>E14001</t>
  </si>
  <si>
    <t>5520897927539</t>
  </si>
  <si>
    <t>5520897927398</t>
  </si>
  <si>
    <t>5520897927540</t>
  </si>
  <si>
    <t>5520897927538</t>
  </si>
  <si>
    <t>Шкаф 2в1 Пакс Крафт Табачный</t>
  </si>
  <si>
    <t>Стол письменный УЛЬТРА (1,058х0,75х0,45) Дуб крафт белый (серия2)</t>
  </si>
  <si>
    <t>3521897952932</t>
  </si>
  <si>
    <t>3521897952938</t>
  </si>
  <si>
    <t>3521897952939</t>
  </si>
  <si>
    <t>3521897952399</t>
  </si>
  <si>
    <t>3521897952940</t>
  </si>
  <si>
    <t>ML135526</t>
  </si>
  <si>
    <t>ML33330</t>
  </si>
  <si>
    <t>ML33331</t>
  </si>
  <si>
    <t>ML33332</t>
  </si>
  <si>
    <t>ML33333</t>
  </si>
  <si>
    <t>L3724</t>
  </si>
  <si>
    <t>L1355345</t>
  </si>
  <si>
    <t>L14110</t>
  </si>
  <si>
    <t>3521897952937</t>
  </si>
  <si>
    <t>5520897927541</t>
  </si>
  <si>
    <t>5520897927544</t>
  </si>
  <si>
    <t>MK1620901</t>
  </si>
  <si>
    <t>Стол компьютерный Gamer ЛДСП Графит, Черн. металл. 1100х730(h)х700</t>
  </si>
  <si>
    <t>5520897927549</t>
  </si>
  <si>
    <t>5520897927550</t>
  </si>
  <si>
    <t>5520897927551</t>
  </si>
  <si>
    <t>5520897927552</t>
  </si>
  <si>
    <t>5520897927553</t>
  </si>
  <si>
    <t>5520897927554</t>
  </si>
  <si>
    <t>5520897927545</t>
  </si>
  <si>
    <t>5520897927547</t>
  </si>
  <si>
    <t>5520897927346</t>
  </si>
  <si>
    <t>5520897927345</t>
  </si>
  <si>
    <t>5520897927548</t>
  </si>
  <si>
    <t>Шкаф 2в1 Пакс Крафт Золотой</t>
  </si>
  <si>
    <t>LMK1620901</t>
  </si>
  <si>
    <t>L14111</t>
  </si>
  <si>
    <t>ML2696</t>
  </si>
  <si>
    <t>ML2698</t>
  </si>
  <si>
    <t>E8565</t>
  </si>
  <si>
    <t>E8566</t>
  </si>
  <si>
    <t>E8567</t>
  </si>
  <si>
    <t>L2479</t>
  </si>
  <si>
    <t>Статус позиции</t>
  </si>
  <si>
    <t>L2464</t>
  </si>
  <si>
    <t>ML2479</t>
  </si>
  <si>
    <t>Комод Malta Plus Графит 750х719х392</t>
  </si>
  <si>
    <t>3521897952946</t>
  </si>
  <si>
    <t>5520897927556</t>
  </si>
  <si>
    <t>L1355395</t>
  </si>
  <si>
    <t>EМК00035</t>
  </si>
  <si>
    <t>E1355395</t>
  </si>
  <si>
    <t>ML1355395</t>
  </si>
  <si>
    <t>3521897952947</t>
  </si>
  <si>
    <t>3521897952949</t>
  </si>
  <si>
    <t>3521897952950</t>
  </si>
  <si>
    <t>3521897952954</t>
  </si>
  <si>
    <t>3521897952953</t>
  </si>
  <si>
    <t>3521897952951</t>
  </si>
  <si>
    <t>3521897952952</t>
  </si>
  <si>
    <t>Стол письменный Милан Бетон</t>
  </si>
  <si>
    <t>Стеллаж Hardy широкий Белое тиснение</t>
  </si>
  <si>
    <t>Категория</t>
  </si>
  <si>
    <t>Стол журнальный "Комфорт" (серия 2) Белое тиснение</t>
  </si>
  <si>
    <t>L14051</t>
  </si>
  <si>
    <t>L135557</t>
  </si>
  <si>
    <t>L14032</t>
  </si>
  <si>
    <t>L135602</t>
  </si>
  <si>
    <t>L1355250</t>
  </si>
  <si>
    <t>ML140007</t>
  </si>
  <si>
    <t>5520897927557</t>
  </si>
  <si>
    <t>5520897927558</t>
  </si>
  <si>
    <t>5520897927559</t>
  </si>
  <si>
    <t>5520897927560</t>
  </si>
  <si>
    <t>5520897927414</t>
  </si>
  <si>
    <t>5520897927561</t>
  </si>
  <si>
    <t>5520897927562</t>
  </si>
  <si>
    <t>ML1355201</t>
  </si>
  <si>
    <t>E3035</t>
  </si>
  <si>
    <t>E2614</t>
  </si>
  <si>
    <t>E2405</t>
  </si>
  <si>
    <t>E135401</t>
  </si>
  <si>
    <t>Тумба под ТВ Loft плюс Серый Графит 1090х477х350</t>
  </si>
  <si>
    <t>Тумба под ТВ Лофт универсальная Серый Графит 1000х332х264</t>
  </si>
  <si>
    <t>L3723</t>
  </si>
  <si>
    <t>Обувница стеллаж Ultra Lite Белое тиснение</t>
  </si>
  <si>
    <t>5520897927563</t>
  </si>
  <si>
    <t>L3722</t>
  </si>
  <si>
    <t>ML140008</t>
  </si>
  <si>
    <t>ML140009</t>
  </si>
  <si>
    <t>ML140010</t>
  </si>
  <si>
    <t>E9396</t>
  </si>
  <si>
    <t>5520897927564</t>
  </si>
  <si>
    <t>5520897927386</t>
  </si>
  <si>
    <t>5520897927565</t>
  </si>
  <si>
    <t>5520897927566</t>
  </si>
  <si>
    <t>E30361</t>
  </si>
  <si>
    <t>E30362</t>
  </si>
  <si>
    <t>E30363</t>
  </si>
  <si>
    <t>EMK1310101</t>
  </si>
  <si>
    <t>E3155</t>
  </si>
  <si>
    <t>E3361</t>
  </si>
  <si>
    <t>Стол компьютерный рабочий Orion Белое тиснение/красная кромка 110х75х60</t>
  </si>
  <si>
    <t>Стол письменный Милан Графит</t>
  </si>
  <si>
    <t>5520897927332</t>
  </si>
  <si>
    <t>5520897927404</t>
  </si>
  <si>
    <t>L14050</t>
  </si>
  <si>
    <t>L14054</t>
  </si>
  <si>
    <t>L14053</t>
  </si>
  <si>
    <t>L14055</t>
  </si>
  <si>
    <t>L7774</t>
  </si>
  <si>
    <t>L14031</t>
  </si>
  <si>
    <t>Стол журнальный складной Белое тиснение 570*110*60</t>
  </si>
  <si>
    <t>Стол журнальный складной Ателье Темное 570*110*60</t>
  </si>
  <si>
    <t>Стол журнальный складной Артвуд Темный 570*110*60</t>
  </si>
  <si>
    <t>5520897927567</t>
  </si>
  <si>
    <t>Матрас Organic Compact 140*200 (скрутка)</t>
  </si>
  <si>
    <t>Матрас Organic Compact 160*200 (скрутка)</t>
  </si>
  <si>
    <t>Матрас Organic Compact 90*200 (скрутка)</t>
  </si>
  <si>
    <t>Загашева</t>
  </si>
  <si>
    <t>Стеллаж Zett с 2 дверками Черный 730х1757х266</t>
  </si>
  <si>
    <t>Вакансия</t>
  </si>
  <si>
    <t>ML43330</t>
  </si>
  <si>
    <t>ML43331</t>
  </si>
  <si>
    <t>ML43333</t>
  </si>
  <si>
    <t>E4000</t>
  </si>
  <si>
    <t>E3213</t>
  </si>
  <si>
    <t>E3580</t>
  </si>
  <si>
    <t>EMK00011</t>
  </si>
  <si>
    <t>E2607</t>
  </si>
  <si>
    <t>E3610</t>
  </si>
  <si>
    <t>E3687</t>
  </si>
  <si>
    <t>E3579</t>
  </si>
  <si>
    <t>L36690</t>
  </si>
  <si>
    <t>L26200</t>
  </si>
  <si>
    <t>L26201</t>
  </si>
  <si>
    <t>L26202</t>
  </si>
  <si>
    <t>Матрас Spring Compact 160*200 (скрутка)</t>
  </si>
  <si>
    <t>Матрас Spring Compact 140*200 (скрутка)</t>
  </si>
  <si>
    <t>L14064</t>
  </si>
  <si>
    <t>L14065</t>
  </si>
  <si>
    <t>L14063</t>
  </si>
  <si>
    <t>L14066</t>
  </si>
  <si>
    <t>L14068</t>
  </si>
  <si>
    <t>L14067</t>
  </si>
  <si>
    <t>5520897927570</t>
  </si>
  <si>
    <t>5520897927569</t>
  </si>
  <si>
    <t>5520897927568</t>
  </si>
  <si>
    <t>5520897927571</t>
  </si>
  <si>
    <t>5520897927572</t>
  </si>
  <si>
    <t>5520897927573</t>
  </si>
  <si>
    <t>5520897927574</t>
  </si>
  <si>
    <t>Перепечаева</t>
  </si>
  <si>
    <t>Комод Веста Графит 757х346х600</t>
  </si>
  <si>
    <t>Комод Веста Дуб сонома 757х346х600</t>
  </si>
  <si>
    <t>Комод Веста Дуб сонома/белое тиснение 757х346х600</t>
  </si>
  <si>
    <t>Комод Веста Венге 757х346х600</t>
  </si>
  <si>
    <t>Комод Веста Lite Графит 782х599х294</t>
  </si>
  <si>
    <t>Комод Веста Lite Дуб сонома 782х599х294</t>
  </si>
  <si>
    <t>Комод Веста Lite Дуб сонома/белое тиснение 782х599х294</t>
  </si>
  <si>
    <t>Комод Веста Lite Венге 782х599х294</t>
  </si>
  <si>
    <t>Стеллаж Hardy узкий Графит</t>
  </si>
  <si>
    <t>Стол письменный УЛЬТРА (серия 2) (1,058х0,75х0,45) Черный</t>
  </si>
  <si>
    <t>L41101</t>
  </si>
  <si>
    <t>L41103</t>
  </si>
  <si>
    <t>L41104</t>
  </si>
  <si>
    <t>L41105</t>
  </si>
  <si>
    <t>L41141</t>
  </si>
  <si>
    <t>L41143</t>
  </si>
  <si>
    <t>L41144</t>
  </si>
  <si>
    <t>L41145</t>
  </si>
  <si>
    <t>L130070</t>
  </si>
  <si>
    <t>L1355277</t>
  </si>
  <si>
    <t>3521897952948</t>
  </si>
  <si>
    <t>3520000002169</t>
  </si>
  <si>
    <t>3521897952955</t>
  </si>
  <si>
    <t>3521897952956</t>
  </si>
  <si>
    <t>MK1710101</t>
  </si>
  <si>
    <t>Стол угловой Tokyo ЛДСП Дуб Вотан, Черн. металл. 1100х750(h)х1100/450</t>
  </si>
  <si>
    <t>Комод Ультра 4 ящика с делителем Белая гладкая (0,75х0,734х0,334)</t>
  </si>
  <si>
    <t>Стеллаж Estet Plus Белое тиснение 730*1425*220</t>
  </si>
  <si>
    <t>Шкаф стеллаж детский Белое тиснение 780*1100*292</t>
  </si>
  <si>
    <t>3793.17/01</t>
  </si>
  <si>
    <t>Стол письменный Ultra Plus Белая гладкая 1100*750*670</t>
  </si>
  <si>
    <t>Обувница стеллаж Мальта с ящиком Белое тиснение 600*750*256</t>
  </si>
  <si>
    <t>Комод City New универсальный Белое тиснение 1402*1083*394</t>
  </si>
  <si>
    <t>Стеллаж Hardy Лайт 2 с дверками Графит</t>
  </si>
  <si>
    <t>Стеллаж Hardy Лайт 2 Графит</t>
  </si>
  <si>
    <t>40217946.09/01</t>
  </si>
  <si>
    <t>80317945.09/01</t>
  </si>
  <si>
    <t>Стол стеллаж Ultra Lite Белое Тиснение 1088*1382*400</t>
  </si>
  <si>
    <t>Стол стеллаж Zett Lite Белое Тиснение 1164*1541*450</t>
  </si>
  <si>
    <t>3804.17/01</t>
  </si>
  <si>
    <t>Стол письменный Estet Plus Белая Гладкая 1100*754*670</t>
  </si>
  <si>
    <t>3711.17/01</t>
  </si>
  <si>
    <t>Стеллаж Sakura 2 ящика Белая Гладкая 358*1804*292</t>
  </si>
  <si>
    <t>Тумба для обуви Мальта Лайт Белая Гладкая 380х425х300</t>
  </si>
  <si>
    <t>3767.17/01</t>
  </si>
  <si>
    <t>Обувница стеллаж Мальта с ящиком Белая Гладкая 600*750256</t>
  </si>
  <si>
    <t>Матрас Spring Compact 90*200 (скрутка)</t>
  </si>
  <si>
    <t>Обувница стеллаж Мальта с ящиком Дуб Крафт Золотой 600*750256</t>
  </si>
  <si>
    <t>3767.05/01</t>
  </si>
  <si>
    <t>Стеллаж угловой Jazz Plus Белое Тиснение 380*1750*380</t>
  </si>
  <si>
    <t>Стеллаж Zett с дверками и с ручками Графит 730х1750х230</t>
  </si>
  <si>
    <t>366941.09/01</t>
  </si>
  <si>
    <t>Стеллаж Sakura 2 ящика Дуб Крафт Золотой 358*1804*292</t>
  </si>
  <si>
    <t>3711.05/01</t>
  </si>
  <si>
    <t>L80317945.09/01</t>
  </si>
  <si>
    <t>L40217946.09/01</t>
  </si>
  <si>
    <t>Шкаф 3в1 Пакс Белая гладкая</t>
  </si>
  <si>
    <t>Комод City New универсальный Дуб Сонома 1402*1083*394</t>
  </si>
  <si>
    <t>3751.03/01</t>
  </si>
  <si>
    <t>5520897927348</t>
  </si>
  <si>
    <t>5520897927406</t>
  </si>
  <si>
    <t>5520897927405</t>
  </si>
  <si>
    <t>L366941.09/01</t>
  </si>
  <si>
    <t>Комод City New 6 ящиков Белое тиснение 1400*827*394</t>
  </si>
  <si>
    <t>3357.09/01</t>
  </si>
  <si>
    <t>Тумба для обуви Серый Графит/Кожзам Серый1042х500х295</t>
  </si>
  <si>
    <t>3767.06/01</t>
  </si>
  <si>
    <t>Обувница стеллаж Мальта с ящиком Дуб Крафт Белый 600*750*256</t>
  </si>
  <si>
    <t>3810.09/01</t>
  </si>
  <si>
    <t>Стеллаж угловой Jazz Plus Серый Графит 380*1750*380</t>
  </si>
  <si>
    <t>3756.05/01</t>
  </si>
  <si>
    <t>3756.09/01</t>
  </si>
  <si>
    <t>Стеллаж Estet Plus Дуб Крафт Золотой 730*1425*220</t>
  </si>
  <si>
    <t>Стеллаж Estet Plus Серый Графит 730*1425*220</t>
  </si>
  <si>
    <t>Комод City New универсальный Черный 1402*1083*394</t>
  </si>
  <si>
    <t>3751.12/01</t>
  </si>
  <si>
    <t>Стеллаж Sakura 2 ящика Серый Графит358*1804*292</t>
  </si>
  <si>
    <t>3711.09/01</t>
  </si>
  <si>
    <t>L3804.17/01</t>
  </si>
  <si>
    <t>L3770</t>
  </si>
  <si>
    <t>L3750</t>
  </si>
  <si>
    <t>L3751</t>
  </si>
  <si>
    <t>Шкаф Норд 2х дверный Белое тиснение 800*2057*474</t>
  </si>
  <si>
    <t>3756.06/01</t>
  </si>
  <si>
    <t>Стеллаж Estet Plus Дуб Крафт Белый 730*1425*220</t>
  </si>
  <si>
    <t>Стеллаж угловой Jazz Plus Дуб Крафт Белый 380*1750*380</t>
  </si>
  <si>
    <t>3751.11/01</t>
  </si>
  <si>
    <t>Комод City New универсальный Венге Цаво 1402*1083*394</t>
  </si>
  <si>
    <t>5520897927424</t>
  </si>
  <si>
    <t>5520897927577</t>
  </si>
  <si>
    <t>5520897927581</t>
  </si>
  <si>
    <t>5520897927344</t>
  </si>
  <si>
    <t>3521897953101</t>
  </si>
  <si>
    <t>3751.04.09/01</t>
  </si>
  <si>
    <t>Комод City New универсальный Дуб Сонома/Белая гладкая 1402*1083*394</t>
  </si>
  <si>
    <t>Комод City New универсальный Крафт Серый/Серый Графит 1402*1083*394</t>
  </si>
  <si>
    <t>Комод City New универсальный Серый Графит 1402*1083*394</t>
  </si>
  <si>
    <t>3767.20/01</t>
  </si>
  <si>
    <t>Обувница стеллаж Мальта с ящиком Цемент светлый Вельвет 600*750*256</t>
  </si>
  <si>
    <t>3810.05/01</t>
  </si>
  <si>
    <t>Стеллаж угловой Jazz Plus Дуб Крафт Золотой 380*1750*380</t>
  </si>
  <si>
    <t>Стеллаж угловой Jazz Plus Цемент светлый Вельвет 380*1750*380</t>
  </si>
  <si>
    <t>3756.20/01</t>
  </si>
  <si>
    <t>3704.17/01</t>
  </si>
  <si>
    <t>Стеллаж Estet Plus Цемент Светлый Вельвет 730*1425*220</t>
  </si>
  <si>
    <t>Стеллаж Прага 2х дверный Белая гладкая 500*1830*224</t>
  </si>
  <si>
    <t>3357.20/01</t>
  </si>
  <si>
    <t>3810.20/01</t>
  </si>
  <si>
    <t>3751.03.17/01</t>
  </si>
  <si>
    <t>5520897927582</t>
  </si>
  <si>
    <t>5520897927578</t>
  </si>
  <si>
    <t>5520897927580</t>
  </si>
  <si>
    <t>5520897927579</t>
  </si>
  <si>
    <t>L3756</t>
  </si>
  <si>
    <t>L3756.05/01</t>
  </si>
  <si>
    <t>L3793.17/01</t>
  </si>
  <si>
    <t>3728.06/01</t>
  </si>
  <si>
    <t>Стеллаж горка Quattro New универсальный Дуб Крафт Белый 954х956(h)х288</t>
  </si>
  <si>
    <t>Стеллаж горка Quattro New универсальный Белое тиснение 954х956(h)х288</t>
  </si>
  <si>
    <t>Тумба под ТВ Valencia Plus Белое тиснение 1000х340(h)х334</t>
  </si>
  <si>
    <t>Фасад шкафа стеллажа детского 2шт. (1 комп) Белое тиснение 386*788*16</t>
  </si>
  <si>
    <t>Стол письменный компьютерный с полками Гамма Белая шагрень 179*53*75,5</t>
  </si>
  <si>
    <t>Тумба для обуви Цемент Светлый вельвет/Кожзам Серый1042х500х295</t>
  </si>
  <si>
    <t>2953.20/01</t>
  </si>
  <si>
    <t>Тумба для обуви Мальта Лайт Цемент светлый вельвет 380х425х300</t>
  </si>
  <si>
    <t>5520897927382</t>
  </si>
  <si>
    <t>5520897927383</t>
  </si>
  <si>
    <t>5520897927583</t>
  </si>
  <si>
    <t>L3751.03/01</t>
  </si>
  <si>
    <t>L3751.11/01</t>
  </si>
  <si>
    <t>L3748</t>
  </si>
  <si>
    <t>L3767.17/01</t>
  </si>
  <si>
    <t>L3767.05/01</t>
  </si>
  <si>
    <t>L3767.06/01</t>
  </si>
  <si>
    <t>L3767</t>
  </si>
  <si>
    <t>L1355211</t>
  </si>
  <si>
    <t>L3756.06/01</t>
  </si>
  <si>
    <t>L3756.09/01</t>
  </si>
  <si>
    <t>L3864</t>
  </si>
  <si>
    <t>3757.05.09/01</t>
  </si>
  <si>
    <t>Тумба под ТВ Valencia Plus Дуб Крафт золотой/Серый Графит 1000х340(h)х334</t>
  </si>
  <si>
    <t>5520897927586</t>
  </si>
  <si>
    <t>5520897927584</t>
  </si>
  <si>
    <t>5520897927428</t>
  </si>
  <si>
    <t>L3757</t>
  </si>
  <si>
    <t>L3810.05/01</t>
  </si>
  <si>
    <t>L3810</t>
  </si>
  <si>
    <t>L3810.09/01</t>
  </si>
  <si>
    <t>L3790</t>
  </si>
  <si>
    <t>L3749</t>
  </si>
  <si>
    <t>L3751.09/01</t>
  </si>
  <si>
    <t>L3751.04.09/01</t>
  </si>
  <si>
    <t>L3751.03.17/01</t>
  </si>
  <si>
    <t>L3767.20/01</t>
  </si>
  <si>
    <t>L2953.20/01</t>
  </si>
  <si>
    <t>L3357.20/01</t>
  </si>
  <si>
    <t>L3704.17/01</t>
  </si>
  <si>
    <t>L3357.09/01</t>
  </si>
  <si>
    <t>L3751.12/01</t>
  </si>
  <si>
    <t>L3756.20/01</t>
  </si>
  <si>
    <t>L3757.05.09/01</t>
  </si>
  <si>
    <t>L3810.20/01</t>
  </si>
  <si>
    <t>L3711.05/01</t>
  </si>
  <si>
    <t>L3711.09/01</t>
  </si>
  <si>
    <t>L3711.17/01</t>
  </si>
  <si>
    <t>Шкаф 3в1 Пакс Серый графит 1050х1800(h)x454</t>
  </si>
  <si>
    <t>Шкаф 3в1 Пакс Дуб Вотан 1050х1800(h)x454</t>
  </si>
  <si>
    <t>Шкаф 3в1 Пакс Дуб Крафт Серый 1050х1800(h)x454</t>
  </si>
  <si>
    <t>Стол письменный Рейн Дуб сонома/Белое тиснение 750x766x518 (серия 2)</t>
  </si>
  <si>
    <t>3728.05/01</t>
  </si>
  <si>
    <t>Стеллаж горка Quattro New универсальный Дуб Крафт золотой 954х956(h)х288</t>
  </si>
  <si>
    <t>Стол письменный компьютерный с полками Гамма Дуб Вотан 179*53*75,5</t>
  </si>
  <si>
    <t>СКГТ (ОЗОН)</t>
  </si>
  <si>
    <t>5520897927587</t>
  </si>
  <si>
    <t>5520897927413</t>
  </si>
  <si>
    <t>5520897927588</t>
  </si>
  <si>
    <t>5520897927589</t>
  </si>
  <si>
    <t>5520897927590</t>
  </si>
  <si>
    <t>3521897953102</t>
  </si>
  <si>
    <t>3521897953104</t>
  </si>
  <si>
    <t>3521897953103</t>
  </si>
  <si>
    <t>L3715</t>
  </si>
  <si>
    <t>L3740</t>
  </si>
  <si>
    <t>L3739</t>
  </si>
  <si>
    <t>L3741</t>
  </si>
  <si>
    <t>L30351</t>
  </si>
  <si>
    <t>L26203</t>
  </si>
  <si>
    <t>L3838</t>
  </si>
  <si>
    <t/>
  </si>
  <si>
    <t>3728.20/01</t>
  </si>
  <si>
    <t>Стеллаж горка Quattro New универсальный Цемент светлый вельвет 954х956(h)х288</t>
  </si>
  <si>
    <t>3810.06/01</t>
  </si>
  <si>
    <t>L14052</t>
  </si>
  <si>
    <t>L26204</t>
  </si>
  <si>
    <t>E2125</t>
  </si>
  <si>
    <t>E36694</t>
  </si>
  <si>
    <t>E36690</t>
  </si>
  <si>
    <t>E1355201</t>
  </si>
  <si>
    <t>E3362</t>
  </si>
  <si>
    <t>E3386</t>
  </si>
  <si>
    <t>E4070</t>
  </si>
  <si>
    <t>E4071</t>
  </si>
  <si>
    <t>E4073</t>
  </si>
  <si>
    <t>3770.03/01</t>
  </si>
  <si>
    <t>Стол стеллаж Ultra Lite Дуб сонома 1088*1382*400</t>
  </si>
  <si>
    <t>E2526</t>
  </si>
  <si>
    <t>E2504</t>
  </si>
  <si>
    <t>E2515</t>
  </si>
  <si>
    <t>E3051</t>
  </si>
  <si>
    <t>E3550</t>
  </si>
  <si>
    <t>E3551</t>
  </si>
  <si>
    <t>E3552</t>
  </si>
  <si>
    <t>E4072</t>
  </si>
  <si>
    <t>E3724</t>
  </si>
  <si>
    <t>Cтеллаж  Пакс с ящиками Венге</t>
  </si>
  <si>
    <t>Стеллаж Hardy узкий Бетон</t>
  </si>
  <si>
    <t>3750.09/01</t>
  </si>
  <si>
    <t>Комод City New 6 ящиков Графит 1400*827*394</t>
  </si>
  <si>
    <t>3770.12/01</t>
  </si>
  <si>
    <t>Стол стеллаж Ultra Lite Черный 1088*1382*400</t>
  </si>
  <si>
    <t>Стул Комфорт Фиолетовый V10 (комплект 2 шт.)</t>
  </si>
  <si>
    <t>Стул Комфорт Светло-серый V52 (комплект 2 шт.)</t>
  </si>
  <si>
    <t>Стул Комфорт Серый V32 (комплект 2 шт.)</t>
  </si>
  <si>
    <t>Стул Комфорт Синий V54 (комплект 2 шт.)</t>
  </si>
  <si>
    <t>Стул Комфорт Зеленый V20 (комплект 2 шт.)</t>
  </si>
  <si>
    <t>Стул Комфорт Черный V34 (комплект 2 шт.)</t>
  </si>
  <si>
    <t>L3728</t>
  </si>
  <si>
    <t>L3728.05/01</t>
  </si>
  <si>
    <t>L3728.06/01</t>
  </si>
  <si>
    <t>L3728.20/01</t>
  </si>
  <si>
    <t>3750.03/01</t>
  </si>
  <si>
    <t>Комод City New 6 ящиков Дуб сонома 1400*827*394</t>
  </si>
  <si>
    <t>L3750.09/01</t>
  </si>
  <si>
    <t>L135614</t>
  </si>
  <si>
    <t>L135608</t>
  </si>
  <si>
    <t>L135607</t>
  </si>
  <si>
    <t>L135610</t>
  </si>
  <si>
    <t>L135609</t>
  </si>
  <si>
    <t>L135611</t>
  </si>
  <si>
    <t>L14026</t>
  </si>
  <si>
    <t>L14027</t>
  </si>
  <si>
    <t>L14028</t>
  </si>
  <si>
    <t>Cтеллаж  Пакс с ящиками Дуб сонома</t>
  </si>
  <si>
    <t>Cтеллаж  Пакс с ящиками Графит</t>
  </si>
  <si>
    <t>E4010</t>
  </si>
  <si>
    <t>E4011</t>
  </si>
  <si>
    <t>L3770.03/01</t>
  </si>
  <si>
    <t>L3770.12/01</t>
  </si>
  <si>
    <t>L3750.03/01</t>
  </si>
  <si>
    <t>Стеллаж Quattro New 8 секций с дверками Венге 642*1268*292</t>
  </si>
  <si>
    <t>L13553101</t>
  </si>
  <si>
    <t>Стеллаж Quattro New 8 секций с дверками Дуб сонома 642*1268*292</t>
  </si>
  <si>
    <t>Стеллаж Quattro New 8 секций с дверками Белое тиснение 642*1268*292</t>
  </si>
  <si>
    <t>3681.20/01</t>
  </si>
  <si>
    <t>Стеллаж Quattro New 8 секций с дверками Цемент светлый вельвет 642*1268*292</t>
  </si>
  <si>
    <t>5520897927594</t>
  </si>
  <si>
    <t>L3681</t>
  </si>
  <si>
    <t>L3681.20/01</t>
  </si>
  <si>
    <t>L3700</t>
  </si>
  <si>
    <t>L3702</t>
  </si>
  <si>
    <t>5520897927599</t>
  </si>
  <si>
    <t>Стол письменный компьютерный Praga Крафт золотой/графит</t>
  </si>
  <si>
    <t>3521897953105</t>
  </si>
  <si>
    <t>3521897953106</t>
  </si>
  <si>
    <t>ML36694</t>
  </si>
  <si>
    <t>ML36690</t>
  </si>
  <si>
    <t>ML135400</t>
  </si>
  <si>
    <t>ML135402</t>
  </si>
  <si>
    <t>Стеллаж Quattro New со штангой для вещей Цемент светлый Вельвет 642*1236*288</t>
  </si>
  <si>
    <t>3709.20/01</t>
  </si>
  <si>
    <t>Шкаф комод Ультра Push 2х дверный Цемент светлый Вельвет 602*701*290</t>
  </si>
  <si>
    <t>3890.20/01</t>
  </si>
  <si>
    <t>Шкаф комод Ультра Push 2х дверный Серый Графит 602*701*290</t>
  </si>
  <si>
    <t>3709.05/01</t>
  </si>
  <si>
    <t>Стеллаж Quattro New со штангой для вещей Белое тиснение 642*1236*288</t>
  </si>
  <si>
    <t>Стеллаж Quattro New со штангой для вещей Дуб Крафт золотой 642*1236*288</t>
  </si>
  <si>
    <t>Стеллаж Quattro New 4 секций с дверками Белое тиснение 642*644*292</t>
  </si>
  <si>
    <t>Стеллаж Quattro New 4 секций с дверками Дуб Крафт Золотой 642*644*292</t>
  </si>
  <si>
    <t>3774.05/01</t>
  </si>
  <si>
    <t>3774.09/01</t>
  </si>
  <si>
    <t>Стеллаж Quattro New 4 секций (квадрат) Белое тиснение 642*644*288</t>
  </si>
  <si>
    <t>Стеллаж Quattro New 4 секций (квадрат) Дуб Крафт Золотой 642*644*288</t>
  </si>
  <si>
    <t>Стеллаж Quattro New 4 секций (квадрат) Графит 642*644*288</t>
  </si>
  <si>
    <t>Шкаф комод Ультра Push 2х дверный Белая гладкая 602*701*290</t>
  </si>
  <si>
    <t>3890.17/01</t>
  </si>
  <si>
    <t>5520897927604</t>
  </si>
  <si>
    <t>5520897927603</t>
  </si>
  <si>
    <t>5520897927575</t>
  </si>
  <si>
    <t>5520897927606</t>
  </si>
  <si>
    <t>5520897927609</t>
  </si>
  <si>
    <t>5520897927600</t>
  </si>
  <si>
    <t>5520897927601</t>
  </si>
  <si>
    <t>5520897927602</t>
  </si>
  <si>
    <t>5520897927595</t>
  </si>
  <si>
    <t>5520897927596</t>
  </si>
  <si>
    <t>5520897927597</t>
  </si>
  <si>
    <t>5520897927598</t>
  </si>
  <si>
    <t>5520897927608</t>
  </si>
  <si>
    <t>5520897927607</t>
  </si>
  <si>
    <t>L3890.09/01</t>
  </si>
  <si>
    <t>L3890.17/01</t>
  </si>
  <si>
    <t>L3890.20/01</t>
  </si>
  <si>
    <t>Стеллаж Quattro New 4 секций с дверками Графит 642*644*292</t>
  </si>
  <si>
    <t>L3810.06/01</t>
  </si>
  <si>
    <t>3708.09/01</t>
  </si>
  <si>
    <t>MK1270201</t>
  </si>
  <si>
    <t>Стеллаж Tokyo угловой ЛДСП Белое тиснение, Черн. металл. 470х1758(h)х232</t>
  </si>
  <si>
    <t>MK1460201</t>
  </si>
  <si>
    <t>Стеллаж тумба Trust Plus ЛДСП Белое тиснение, Черн. металл. 1100х780(h)х300</t>
  </si>
  <si>
    <t>3898.05/01</t>
  </si>
  <si>
    <t>3898.09/01</t>
  </si>
  <si>
    <t>3898.17/01</t>
  </si>
  <si>
    <t>Стеллаж Quattro New в детскую для книг и игрушек Дуб Крафт золотой 642*864*288</t>
  </si>
  <si>
    <t>Стеллаж Quattro New в детскую для книг и игрушек Серый Графит 642*864*288</t>
  </si>
  <si>
    <t>Стеллаж Quattro New в детскую для книг и игрушек Белая гладкая 642*864*288</t>
  </si>
  <si>
    <t>Комод City New универсальный Дуб Крафт золотой 1402*1083*394</t>
  </si>
  <si>
    <t>3751.05/01</t>
  </si>
  <si>
    <t>2608.01/01</t>
  </si>
  <si>
    <t>Полка книжная Ультра Дуб Вотан 1150х520х200</t>
  </si>
  <si>
    <t>MK00037</t>
  </si>
  <si>
    <t>MK00039</t>
  </si>
  <si>
    <t>MK1600201</t>
  </si>
  <si>
    <t>Стеллаж Tokyo 3 секции ЛДСП Белое тиснение,Черн. металл.</t>
  </si>
  <si>
    <t>Стеллаж Tokyo ЛДСП Белое тиснение,Черн. металл.</t>
  </si>
  <si>
    <t>Стеллаж этажерка Tokyo с откр. полками ЛДСП Белое тиснение, Черн. металл. 710х1750(h)х382</t>
  </si>
  <si>
    <t>Система хранения Frame №1 ЛДСП Белое тиснение, Черн. металл</t>
  </si>
  <si>
    <t>5520897927591</t>
  </si>
  <si>
    <t>5520897927592</t>
  </si>
  <si>
    <t>5520897927631</t>
  </si>
  <si>
    <t>L3708</t>
  </si>
  <si>
    <t>L3708.05/01</t>
  </si>
  <si>
    <t>L3708.09/01</t>
  </si>
  <si>
    <t>L3774</t>
  </si>
  <si>
    <t>L3898.17/01</t>
  </si>
  <si>
    <t>3708.05/01</t>
  </si>
  <si>
    <t>E3018</t>
  </si>
  <si>
    <t>L7777</t>
  </si>
  <si>
    <t>LMK1460201</t>
  </si>
  <si>
    <t>LMK1270201</t>
  </si>
  <si>
    <t>L3751.05/01</t>
  </si>
  <si>
    <t>LMK00039</t>
  </si>
  <si>
    <t>LMK00037</t>
  </si>
  <si>
    <t>L3774.05/01</t>
  </si>
  <si>
    <t>L3774.09/01</t>
  </si>
  <si>
    <t>E3757</t>
  </si>
  <si>
    <t>E3757.05.09/01</t>
  </si>
  <si>
    <t>E3723</t>
  </si>
  <si>
    <t>E3722</t>
  </si>
  <si>
    <t>5520897927632</t>
  </si>
  <si>
    <t>E135602</t>
  </si>
  <si>
    <t>MK1610201</t>
  </si>
  <si>
    <t>Стол письменный Estet Plus дуб сонома/белое тиснение 1100*754*670</t>
  </si>
  <si>
    <t>3897.09/01</t>
  </si>
  <si>
    <t>Стеллаж Quattro New 5 секций универс. Серый Графит 642*996*454</t>
  </si>
  <si>
    <t>Комод City универсальный Белое тиснение 1048*675*354</t>
  </si>
  <si>
    <t>3761.17/01</t>
  </si>
  <si>
    <t>3789.17/01</t>
  </si>
  <si>
    <t>Обувница Ultra 2 секции с ящиком Белая гладкая 520*946*274</t>
  </si>
  <si>
    <t>Обувница Ultra Lux вертикальная 3 секции Белая гладкая 532*1360*242</t>
  </si>
  <si>
    <t>Стеллаж Quattro New 5 секций универс. Белая гладкая 642*996*454</t>
  </si>
  <si>
    <t>3897.17/01</t>
  </si>
  <si>
    <t>Шкаф Норд 4х дверный с ящиками Белое тиснение 1600*2057*474</t>
  </si>
  <si>
    <t>Шкаф 4х дверный с ящиками Белое тиснение 1600*2057*474</t>
  </si>
  <si>
    <t>E4041</t>
  </si>
  <si>
    <t>E4042</t>
  </si>
  <si>
    <t>E4043</t>
  </si>
  <si>
    <t>E41141</t>
  </si>
  <si>
    <t>E41143</t>
  </si>
  <si>
    <t>E41144</t>
  </si>
  <si>
    <t>E41145</t>
  </si>
  <si>
    <t>L13552110</t>
  </si>
  <si>
    <t>L3898.05/01</t>
  </si>
  <si>
    <t>L3898.09/01</t>
  </si>
  <si>
    <t>L3709.05/01</t>
  </si>
  <si>
    <t>L3709.20/01</t>
  </si>
  <si>
    <t>L3709</t>
  </si>
  <si>
    <t>L3286</t>
  </si>
  <si>
    <t>L3789.17/01</t>
  </si>
  <si>
    <t>L3897.09/01</t>
  </si>
  <si>
    <t>L3897.17/01</t>
  </si>
  <si>
    <t>Стол письменный компьютерный  Веста Plus Графит</t>
  </si>
  <si>
    <t>L9903</t>
  </si>
  <si>
    <t>L63021</t>
  </si>
  <si>
    <t>3897.05/01</t>
  </si>
  <si>
    <t>L3897.05/01</t>
  </si>
  <si>
    <t>Стеллаж Quattro New 5 секций универс. Дуб Крафт золотой 642*996*454</t>
  </si>
  <si>
    <t>Фасад шкафа стеллажа детского 2шт. (1 комп) Дуб сонома 386*788*16</t>
  </si>
  <si>
    <t>Фасад шкафа стеллажа детского 2шт. (1 комп) Дуб Крафт Белый 386*788*16</t>
  </si>
  <si>
    <t>3748.03/01</t>
  </si>
  <si>
    <t>3748.06/01</t>
  </si>
  <si>
    <t>3749.03/01</t>
  </si>
  <si>
    <t>3749.06/01</t>
  </si>
  <si>
    <t>Шкаф стеллаж детский Дуб сонома 780*1100*292</t>
  </si>
  <si>
    <t>Шкаф стеллаж детский Дуб Крафт белый 780*1100*292</t>
  </si>
  <si>
    <t>3925.17/01</t>
  </si>
  <si>
    <t>Шкаф пенал Компакт 2х дверный с полками Белая гладкая 278*1835*260</t>
  </si>
  <si>
    <t>3175.01.07/01</t>
  </si>
  <si>
    <t>3176.01.07/01</t>
  </si>
  <si>
    <t>Комод Лион 2х дверный с надстройкой Белое тиснение/Дуб сонома 780*870*334</t>
  </si>
  <si>
    <t>Комод Blues 2х   дверн. с ящ. Дуб Вотан/Антрацит 750х795(h)х320</t>
  </si>
  <si>
    <t>Комод Blues 1-о дверн. с ящ. и полками   Дуб Вотан/Антрацит 586х795(h)х320</t>
  </si>
  <si>
    <t>5520897927527</t>
  </si>
  <si>
    <t>5520897927528</t>
  </si>
  <si>
    <t>5520897927529</t>
  </si>
  <si>
    <t>5520897927642</t>
  </si>
  <si>
    <t>5520897927641</t>
  </si>
  <si>
    <t>5520897927640</t>
  </si>
  <si>
    <t>5520897927639</t>
  </si>
  <si>
    <t>5520897927638</t>
  </si>
  <si>
    <t>5520897927633</t>
  </si>
  <si>
    <t>5520897927635</t>
  </si>
  <si>
    <t>5520897927636</t>
  </si>
  <si>
    <t>5520897927637</t>
  </si>
  <si>
    <t>5520897927531</t>
  </si>
  <si>
    <t>5520897927532</t>
  </si>
  <si>
    <t>5520897927378</t>
  </si>
  <si>
    <t>5520897927628</t>
  </si>
  <si>
    <t>5520897927629</t>
  </si>
  <si>
    <t>3769.17/01</t>
  </si>
  <si>
    <t>Шкаф комод для обуви Мальта 2х дверный Белая гладкая 500*780*304</t>
  </si>
  <si>
    <t>E41101</t>
  </si>
  <si>
    <t>E41103</t>
  </si>
  <si>
    <t>E2970</t>
  </si>
  <si>
    <t>E2971</t>
  </si>
  <si>
    <t>E2972</t>
  </si>
  <si>
    <t>E2640</t>
  </si>
  <si>
    <t>EMK00047</t>
  </si>
  <si>
    <t>E41104</t>
  </si>
  <si>
    <t>E41105</t>
  </si>
  <si>
    <t>E14020</t>
  </si>
  <si>
    <t>E13203</t>
  </si>
  <si>
    <t>E13204</t>
  </si>
  <si>
    <t>E9501</t>
  </si>
  <si>
    <t>E2944</t>
  </si>
  <si>
    <t>E2925</t>
  </si>
  <si>
    <t>E3864</t>
  </si>
  <si>
    <t>E2641</t>
  </si>
  <si>
    <t>L40110</t>
  </si>
  <si>
    <t>L3175.01.07/01</t>
  </si>
  <si>
    <t>L3176.01.07/01</t>
  </si>
  <si>
    <t>L3761.17/01</t>
  </si>
  <si>
    <t>L3748.03/01</t>
  </si>
  <si>
    <t>L3748.06/01</t>
  </si>
  <si>
    <t>L3749.03/01</t>
  </si>
  <si>
    <t>L3749.06/01</t>
  </si>
  <si>
    <t>L3804</t>
  </si>
  <si>
    <t>LMK1610201</t>
  </si>
  <si>
    <t>L3925.17/01</t>
  </si>
  <si>
    <t>Стеллаж Quatrro 4 секции с ящиками Белое тиснение</t>
  </si>
  <si>
    <t>Стеллаж Quatrro 8 секций комбинир. Белое тиснение</t>
  </si>
  <si>
    <t>СКГТ</t>
  </si>
  <si>
    <t>ML2971</t>
  </si>
  <si>
    <t>ML3864</t>
  </si>
  <si>
    <t>MLMK00047</t>
  </si>
  <si>
    <t>MLMK00028</t>
  </si>
  <si>
    <t>ML2972</t>
  </si>
  <si>
    <t>ML2954</t>
  </si>
  <si>
    <t>MLMK1060101</t>
  </si>
  <si>
    <t>3818.17/01</t>
  </si>
  <si>
    <t>Шкаф комод Николь универс. Белая гладкая 1248*1021*474</t>
  </si>
  <si>
    <t>5520897927649</t>
  </si>
  <si>
    <t>5520897927650</t>
  </si>
  <si>
    <t>5520897927651</t>
  </si>
  <si>
    <t>5520897927652</t>
  </si>
  <si>
    <t>5520897927653</t>
  </si>
  <si>
    <t>5520897927585</t>
  </si>
  <si>
    <t>5520897927654</t>
  </si>
  <si>
    <t>E3582</t>
  </si>
  <si>
    <t>MK2500101</t>
  </si>
  <si>
    <t>Стеллаж Tokyo Lite Plus ЛДСП Дуб Вотан,Черн. метал. 780*1758*290</t>
  </si>
  <si>
    <t>Стол рабочий Breeze с ящиком Дуб Крафт золотой/Белая гладкая 900*764*450</t>
  </si>
  <si>
    <t>Стол рабочий Jazz Дуб сонома NEW 1046*1075*490</t>
  </si>
  <si>
    <t>Стол рабочий Jazz Белое тиснение NEW 1046*1075*490</t>
  </si>
  <si>
    <t>ТУМБЫ под ТВ</t>
  </si>
  <si>
    <t>MK2350101</t>
  </si>
  <si>
    <t>MK3000101</t>
  </si>
  <si>
    <t>Стеллаж Родос ЛДСП Дуб Вотан, Черн. металл. 940х1754х328</t>
  </si>
  <si>
    <t>Комод Frame 3 ящика с полками ЛДСП Дуб Вотан, Черн. металл. 1100х770(h)х282 ,</t>
  </si>
  <si>
    <t>L3582</t>
  </si>
  <si>
    <t>L3818.17/01</t>
  </si>
  <si>
    <t>L3769.17/01</t>
  </si>
  <si>
    <t>L3380</t>
  </si>
  <si>
    <t>L30611</t>
  </si>
  <si>
    <t>L3717</t>
  </si>
  <si>
    <t>L135402</t>
  </si>
  <si>
    <t>LMK3000101</t>
  </si>
  <si>
    <t>L4053</t>
  </si>
  <si>
    <t>MK2950101</t>
  </si>
  <si>
    <t>MK2951701</t>
  </si>
  <si>
    <t>Комод Boston 3 ящика ЛДСП Дуб Вотан. Черн. металл 750*728*334</t>
  </si>
  <si>
    <t>Комод Boston 3 ящика ЛДСП Белая гладкая, Черн. металл 750*728*334</t>
  </si>
  <si>
    <t>L2608.01/01</t>
  </si>
  <si>
    <t>Обувница Neoletta Lux 3 сек. Белое тиснение/Дуб Вотан 584*1396*246</t>
  </si>
  <si>
    <t>L3792</t>
  </si>
  <si>
    <t>L43330</t>
  </si>
  <si>
    <t>L43331</t>
  </si>
  <si>
    <t>L43332</t>
  </si>
  <si>
    <t>LMK2630101</t>
  </si>
  <si>
    <t>MK2630101</t>
  </si>
  <si>
    <t>Тумба прикроватная Fiji с дверкой Дуб Вотан, Черный металл</t>
  </si>
  <si>
    <t>L43333</t>
  </si>
  <si>
    <t>L33330</t>
  </si>
  <si>
    <t>L33332</t>
  </si>
  <si>
    <t>L33331</t>
  </si>
  <si>
    <t>Комод Бостон с ящиками, полками Белое тиснение 750х740(h)х334</t>
  </si>
  <si>
    <t>Шкаф 2х дверный, комбинированный City Белое гладкое 802*1800*454</t>
  </si>
  <si>
    <t>3867.25/01</t>
  </si>
  <si>
    <t>Шкаф 2х дверный, комбинированный City Цемент темный молет 802*1800*454</t>
  </si>
  <si>
    <t>Стол рабочий Tokyo Lite складной ЛДСП Дуб Вотан, Черн. металл. 740*750*560</t>
  </si>
  <si>
    <t>Стеллаж Quatrro 8 секций Графит 706х1396х280</t>
  </si>
  <si>
    <t>L3894.17/01</t>
  </si>
  <si>
    <t>L3893.17/01</t>
  </si>
  <si>
    <t>3894.17/01</t>
  </si>
  <si>
    <t>3895.17/01</t>
  </si>
  <si>
    <t>3893.17/01</t>
  </si>
  <si>
    <t>Система хранения Компакт 4 секции Белая гладкая 780*800*240</t>
  </si>
  <si>
    <t>Система хранения Компакт 3 секции Белая гладкая 390х1190(h)х240</t>
  </si>
  <si>
    <t>Система хранения Компакт 2 секции Белая гладкая 390*800*240</t>
  </si>
  <si>
    <t>MK1970101</t>
  </si>
  <si>
    <t>L3867</t>
  </si>
  <si>
    <t>L3867.25/01</t>
  </si>
  <si>
    <t>Шкаф 2х дверный, комбинированный City Дуб Вотан (кромка Антрацит) 802*1800*454</t>
  </si>
  <si>
    <t>L3737</t>
  </si>
  <si>
    <t>L3735</t>
  </si>
  <si>
    <t>Шкаф 2х дверный, комбинированный City Дуб Крафт серый 802*1800*454</t>
  </si>
  <si>
    <t>LMK2950101</t>
  </si>
  <si>
    <t>LMK2951701</t>
  </si>
  <si>
    <t>L3763</t>
  </si>
  <si>
    <t>3942.01.09/01</t>
  </si>
  <si>
    <t>3943.01/02</t>
  </si>
  <si>
    <t>Шкаф Мальта 2х дверный с ящиками Дуб Вотан/Серый графит 924х2020(h)х504</t>
  </si>
  <si>
    <t>Шкаф Мальта 2х дверный с ящиками Дуб Вотан</t>
  </si>
  <si>
    <t>L3942.01.09/01</t>
  </si>
  <si>
    <t>Стеллаж Frame New комбинир. ЛДСП Дуб Вотан, Черн.металл 712*2000*408</t>
  </si>
  <si>
    <t>MK2880101</t>
  </si>
  <si>
    <t>Стеллаж Нео комбинированный Белая гладкая 400*1796*292</t>
  </si>
  <si>
    <t>3934.17/01</t>
  </si>
  <si>
    <t>3918.06/01</t>
  </si>
  <si>
    <t>3919.05/01</t>
  </si>
  <si>
    <t>3920.07/01</t>
  </si>
  <si>
    <t>Модуль многофункциональный 550х250(h)х394 Дуб Крафт Белый</t>
  </si>
  <si>
    <t>Модуль многофункциональный 750х250(h)х394 Дуб Крафт золотой</t>
  </si>
  <si>
    <t>Модуль многофункциональный 950х250(h)х394 Антрацит</t>
  </si>
  <si>
    <t>3556.01.09/01</t>
  </si>
  <si>
    <t>14115.01.09</t>
  </si>
  <si>
    <t>Шкаф 3х дверный, комбинированный City Дуб Вотан/Серый графит 1050*1800*454</t>
  </si>
  <si>
    <t>Шкаф 2в1 Пакс Дуб Вотан/ Серый графит 902*1800*450</t>
  </si>
  <si>
    <t>Тумба под ТВ Loft плюс Дуб крафт золотой 1090х477х350</t>
  </si>
  <si>
    <t>MK2990101</t>
  </si>
  <si>
    <t>MK2040101</t>
  </si>
  <si>
    <t>Стеллаж Trust Plus ЛДСП Дуб Вотан, Черн. металл. 1102*1750*300</t>
  </si>
  <si>
    <t>L3895.17/01</t>
  </si>
  <si>
    <t>L3920.07/01</t>
  </si>
  <si>
    <t>L3919.05/01</t>
  </si>
  <si>
    <t>L3918.06/01</t>
  </si>
  <si>
    <t>LMK2500101</t>
  </si>
  <si>
    <t>E3357</t>
  </si>
  <si>
    <t>E3357.09/01</t>
  </si>
  <si>
    <t>E3357.20/01</t>
  </si>
  <si>
    <t>E2953.20/01</t>
  </si>
  <si>
    <t>E2608.01/01</t>
  </si>
  <si>
    <t>Модульная система "Токио" шкаф двухстворчатый с двумя ящиками Белый текстурный</t>
  </si>
  <si>
    <t>EMK1060101</t>
  </si>
  <si>
    <t>EMK00028</t>
  </si>
  <si>
    <t>MK1120602</t>
  </si>
  <si>
    <t>MK1121705</t>
  </si>
  <si>
    <t>Стол письменный Frame New с ящ., с полкой ЛДСП Дуб Крафт Белый, Белый металл. 800х760(h)х510</t>
  </si>
  <si>
    <t>Стол письменный Frame New с ящ., с полкой ЛДСП Белая гладкая, Золото металл. 800х760(h)х510</t>
  </si>
  <si>
    <t>E3767.20/01</t>
  </si>
  <si>
    <t>E3767.05/01</t>
  </si>
  <si>
    <t>E3767.06/01</t>
  </si>
  <si>
    <t>E3767.17/01</t>
  </si>
  <si>
    <t>E3761.17/01</t>
  </si>
  <si>
    <t>E3789.17/01</t>
  </si>
  <si>
    <t>E3572</t>
  </si>
  <si>
    <t>3770.06/01</t>
  </si>
  <si>
    <t>Стол стеллаж Ultra Lite Дуб Крафт белый 1088*1382*400</t>
  </si>
  <si>
    <t>L3934.17/01</t>
  </si>
  <si>
    <t>LMK2880101</t>
  </si>
  <si>
    <t>L6000</t>
  </si>
  <si>
    <t>LMK1970101</t>
  </si>
  <si>
    <t>LMK2990101</t>
  </si>
  <si>
    <t>LMK2040101</t>
  </si>
  <si>
    <t>LMK1121705</t>
  </si>
  <si>
    <t>LMK1120602</t>
  </si>
  <si>
    <t>L3770.06/01</t>
  </si>
  <si>
    <t>L3556.01.09/01</t>
  </si>
  <si>
    <t>YL0777</t>
  </si>
  <si>
    <t>YL135450</t>
  </si>
  <si>
    <t>YL135520</t>
  </si>
  <si>
    <t>YL1355201</t>
  </si>
  <si>
    <t>YL1355202</t>
  </si>
  <si>
    <t>YL135521</t>
  </si>
  <si>
    <t>YL1355211</t>
  </si>
  <si>
    <t>YL135522</t>
  </si>
  <si>
    <t>YL135523</t>
  </si>
  <si>
    <t>YL135524</t>
  </si>
  <si>
    <t>YL135525</t>
  </si>
  <si>
    <t>YL1355250</t>
  </si>
  <si>
    <t>YL135526</t>
  </si>
  <si>
    <t>YL1355277</t>
  </si>
  <si>
    <t>YL135531</t>
  </si>
  <si>
    <t>YL135534</t>
  </si>
  <si>
    <t>YL1355340</t>
  </si>
  <si>
    <t>YL1355341</t>
  </si>
  <si>
    <t>YL1355343</t>
  </si>
  <si>
    <t>YL1355345</t>
  </si>
  <si>
    <t>YL135535</t>
  </si>
  <si>
    <t>YL1355380</t>
  </si>
  <si>
    <t>YL1355390</t>
  </si>
  <si>
    <t>YL1355395</t>
  </si>
  <si>
    <t>YL135542</t>
  </si>
  <si>
    <t>YL135566</t>
  </si>
  <si>
    <t>YL135568</t>
  </si>
  <si>
    <t>YL14015</t>
  </si>
  <si>
    <t>YL2496</t>
  </si>
  <si>
    <t>YL2497</t>
  </si>
  <si>
    <t>YL2498</t>
  </si>
  <si>
    <t>YL2603</t>
  </si>
  <si>
    <t>YL2611</t>
  </si>
  <si>
    <t>YL2693</t>
  </si>
  <si>
    <t>YL2696</t>
  </si>
  <si>
    <t>YL2938</t>
  </si>
  <si>
    <t>YL2939</t>
  </si>
  <si>
    <t>YL2940</t>
  </si>
  <si>
    <t>YL3003</t>
  </si>
  <si>
    <t>YL3018</t>
  </si>
  <si>
    <t>YL3021</t>
  </si>
  <si>
    <t>YL3024</t>
  </si>
  <si>
    <t>YL3027</t>
  </si>
  <si>
    <t>YL3028</t>
  </si>
  <si>
    <t>YL3029</t>
  </si>
  <si>
    <t>YL3030</t>
  </si>
  <si>
    <t>YL3035</t>
  </si>
  <si>
    <t>YL3055</t>
  </si>
  <si>
    <t>YL3088</t>
  </si>
  <si>
    <t>YL3137</t>
  </si>
  <si>
    <t>YL3153</t>
  </si>
  <si>
    <t>YL3212</t>
  </si>
  <si>
    <t>YL3213</t>
  </si>
  <si>
    <t>YL3570</t>
  </si>
  <si>
    <t>YL3669</t>
  </si>
  <si>
    <t>YL366941</t>
  </si>
  <si>
    <t>YL3723</t>
  </si>
  <si>
    <t>YL3770</t>
  </si>
  <si>
    <t>YL40217946</t>
  </si>
  <si>
    <t>YL4030</t>
  </si>
  <si>
    <t>YL7771</t>
  </si>
  <si>
    <t>YL7772</t>
  </si>
  <si>
    <t>YL7773</t>
  </si>
  <si>
    <t>YL9396</t>
  </si>
  <si>
    <t>YL9418</t>
  </si>
  <si>
    <t>YL9477</t>
  </si>
  <si>
    <t>YL 3571</t>
  </si>
  <si>
    <t>Игровой стол компьютерный письменный Orion черный/красная кромка 110х75х60</t>
  </si>
  <si>
    <t>Стол письменный УЛЬТРА (1,058х0,75х0,45) Графит (серия2)</t>
  </si>
  <si>
    <t>Стол письменный УЛЬТРА (1,058х0,75х0,45) Крафт табачный (серия2)</t>
  </si>
  <si>
    <t>Стол письменный компьютерный рабочий УЛЬТРА белый 105.6x45x75</t>
  </si>
  <si>
    <t>Стол письменный Ультра 4 ящика Белая гладкая 1056*750*450</t>
  </si>
  <si>
    <t>Стол письменный компьютерный УЛЬТРА Дуб сонома 105,6x45x75</t>
  </si>
  <si>
    <t>Стол письменный компьютерный УЛЬТРА Венге 105,6x45x75</t>
  </si>
  <si>
    <t>Стол письменный УЛЬТРА ДУБ СОНОМА/БЕЛЫЙ ТЕКСТУРА 105,6x45x75</t>
  </si>
  <si>
    <t>Стол письменный компьютерный рабочий ультра венге-белфорт 110x50x75</t>
  </si>
  <si>
    <t xml:space="preserve">Стол письменный УЛЬТРА Дуб Крафт белый 105.6x45x75																								</t>
  </si>
  <si>
    <t>Стол письменный УЛЬТРА Бетон</t>
  </si>
  <si>
    <t>Стол письменный компьютерный рабочий УЛЬТРА черный  105.6x45x75</t>
  </si>
  <si>
    <t>Комод Ультра Белый 72,9х33х75</t>
  </si>
  <si>
    <t>Комод с ящиками Ультра Венге/Бежевый</t>
  </si>
  <si>
    <t>Комод Ультра 4 ящика Бетон</t>
  </si>
  <si>
    <t>Комод Ультра 4 ящика Бетон/Белое Тиснение</t>
  </si>
  <si>
    <t xml:space="preserve">Комод Ультра Крафт серый/Графит </t>
  </si>
  <si>
    <t>Комод Ультра Графит</t>
  </si>
  <si>
    <t>Комод с ящиками Ультра белое тиснение /Дуб сонома</t>
  </si>
  <si>
    <t>Комод Malta Plus  Венге  750х719х392</t>
  </si>
  <si>
    <t>Комод Malta Plus  Белое тиснение</t>
  </si>
  <si>
    <t>Комод Ультра Крафт Белый 0,750х0,729х0,330</t>
  </si>
  <si>
    <t>Стеллаж Hardy узкий  белый 202*40*28</t>
  </si>
  <si>
    <t>Стеллаж Hardy узкий венге 202*40*28</t>
  </si>
  <si>
    <t>Стол компьютерный с 2 ящиками Ультра Белый 900х750х450</t>
  </si>
  <si>
    <t>Стол письменный компьютерный рабочий с 2 ящиками Ультра Венге 900х750х450</t>
  </si>
  <si>
    <t>Стол письменный компьютерный рабочий с 2 ящиками Ультра Дуб сонома 900х750х450</t>
  </si>
  <si>
    <t>Стеллаж с открытыми полками Ультра Белый 600х785х237</t>
  </si>
  <si>
    <t>Стеллаж Zett Белый 730х1757х250</t>
  </si>
  <si>
    <t>Стеллаж Quattro Белое тиснение 1050x1048x320</t>
  </si>
  <si>
    <t>Тумба под телевизор Лофт универсальная Белая 1000х332х264</t>
  </si>
  <si>
    <t>Тумба под телевизор Лофт плюс Белая 1090х477х350</t>
  </si>
  <si>
    <t>Тумба под телевизор Лофт Плюс Дуб крафт золотой 1090х477х350</t>
  </si>
  <si>
    <t>Тумба под телевизор Лофт Плюс Дуб сонома 1090х477х350</t>
  </si>
  <si>
    <t xml:space="preserve">Стол-стеллаж письменный компьютерный рабочий Ультра 1088х1418х400 </t>
  </si>
  <si>
    <t>Стеллаж Quatrro 8секций Белый 706х1396х280</t>
  </si>
  <si>
    <t>Комод City 3 ящика Белый 700х675х354</t>
  </si>
  <si>
    <t>Комод City 5 ящиков Белый 400х1059х354</t>
  </si>
  <si>
    <t>Стол письменный рабочий City Белый 1060х750х500</t>
  </si>
  <si>
    <t>Стол письменный рабочий компьютерный City Венге 1060х750х500</t>
  </si>
  <si>
    <t>Стол письменный рабочий компьютерный City Дуб сонома 1060х750х500</t>
  </si>
  <si>
    <t>Столик придиванный журнальный подставной  Белый 470х600х300</t>
  </si>
  <si>
    <t xml:space="preserve"> Стол письменный компьютерный рабочий Рейн Белый 750х750х520</t>
  </si>
  <si>
    <t>Стол письменный с ящиками Ультра 900х750х450</t>
  </si>
  <si>
    <t>Книжный шкаф стеллаж с дверками белый 706х1048х300</t>
  </si>
  <si>
    <t>Вешалка выкатная Ultra с полками Белое тиснение 786х1463х250</t>
  </si>
  <si>
    <t>Столик макияжный , гримерный консоль Мальта Белое тиснение 610х200х290</t>
  </si>
  <si>
    <t>Столик макияжный, гримерный консоль 2 ящика Мальта Плюс 910х200х290 Белое тиснение</t>
  </si>
  <si>
    <t xml:space="preserve">Тумба под телевизор Лофт Черный </t>
  </si>
  <si>
    <t>Стеллаж Zett Белый  с ящиком 730х1757х250</t>
  </si>
  <si>
    <t>Стеллаж деревянный напольный для игрушек, шкаф для книг</t>
  </si>
  <si>
    <t>Стол-стеллаж Ultra Lite с белым тиснением, модель 1088x1382x400</t>
  </si>
  <si>
    <t>Стеллаж Hardy Лайт с дверками Белый</t>
  </si>
  <si>
    <t>Стол компьютерный рабочий Orion Черный/Белая кромка 110х75х60</t>
  </si>
  <si>
    <t xml:space="preserve">Игровой стол / Геймерский стол / компьютерный письменный Orion Белый/черная кромка 110х75х60 </t>
  </si>
  <si>
    <t xml:space="preserve">Стол туалетный столик Макияжный																							</t>
  </si>
  <si>
    <t>Уценка ЯМ</t>
  </si>
  <si>
    <t>УЦЕНКА ЯМ</t>
  </si>
  <si>
    <t>3770.09/01</t>
  </si>
  <si>
    <t>Стол стеллаж Ultra Lite Серый графит 1088*1382*400</t>
  </si>
  <si>
    <t>Тумба под телевизор Лофт Дуб Крафт Белый</t>
  </si>
  <si>
    <t>LMK2350101</t>
  </si>
  <si>
    <t>L3770.09/01</t>
  </si>
  <si>
    <t>MK2650101</t>
  </si>
  <si>
    <t>Столик придиванный Fiji ЛДСП Дуб Вотан, Черн. металл.</t>
  </si>
  <si>
    <t>LMK2650101</t>
  </si>
  <si>
    <t>3921.17/01</t>
  </si>
  <si>
    <t>L3921.17/01</t>
  </si>
  <si>
    <t>Стол письменный Мальта Лайт универ. с ящ. и дверк. Белая гладкая 1100*754*450/780</t>
  </si>
  <si>
    <t>Артикул МФП</t>
  </si>
  <si>
    <t>Артикул OZON МФП</t>
  </si>
  <si>
    <t>135531.19/01</t>
  </si>
  <si>
    <t>135531.18/01</t>
  </si>
  <si>
    <t>135531.23/01</t>
  </si>
  <si>
    <t>МК.184.01.01</t>
  </si>
  <si>
    <t>ПШ.280.63</t>
  </si>
  <si>
    <t>ПШ28063</t>
  </si>
  <si>
    <t>ПШ.280.62</t>
  </si>
  <si>
    <t>ПШ28062</t>
  </si>
  <si>
    <t>ПШ28054</t>
  </si>
  <si>
    <t>ПШ.280.58</t>
  </si>
  <si>
    <t>ПШ28058</t>
  </si>
  <si>
    <t>ПШ.280.57</t>
  </si>
  <si>
    <t>ПШ28057</t>
  </si>
  <si>
    <t>ПШ.279.60</t>
  </si>
  <si>
    <t>ПШ27960</t>
  </si>
  <si>
    <t>ПШ.279.59</t>
  </si>
  <si>
    <t>ПШ27959</t>
  </si>
  <si>
    <t>ПШ.279.58</t>
  </si>
  <si>
    <t>ПШ27958</t>
  </si>
  <si>
    <t>ПШ.279.57</t>
  </si>
  <si>
    <t>ПШ27957</t>
  </si>
  <si>
    <t>ПШ.279.56</t>
  </si>
  <si>
    <t>ПШ27956</t>
  </si>
  <si>
    <t>ПШ.279.55</t>
  </si>
  <si>
    <t>ПШ27955</t>
  </si>
  <si>
    <t>МК.225.01.01</t>
  </si>
  <si>
    <t>ПШ.271.59</t>
  </si>
  <si>
    <t>ПШ27159</t>
  </si>
  <si>
    <t>ПШ.271.60</t>
  </si>
  <si>
    <t>ПШ27160</t>
  </si>
  <si>
    <t>ПШ.271.56</t>
  </si>
  <si>
    <t>ПШ.271.57</t>
  </si>
  <si>
    <t>ПШ27157</t>
  </si>
  <si>
    <t>ПШ.271.55</t>
  </si>
  <si>
    <t>ПШ.280.24</t>
  </si>
  <si>
    <t>ПШ28024</t>
  </si>
  <si>
    <t>ПШ.280.23</t>
  </si>
  <si>
    <t>ПШ28023</t>
  </si>
  <si>
    <t>03890.20/01</t>
  </si>
  <si>
    <t>03890.17/01</t>
  </si>
  <si>
    <t>МК.228.01.01.51</t>
  </si>
  <si>
    <t>ПШ.271.25</t>
  </si>
  <si>
    <t>ПШ27125</t>
  </si>
  <si>
    <t>ПШ.279.24</t>
  </si>
  <si>
    <t>ПШ.279.23</t>
  </si>
  <si>
    <t>ПШ.271.24</t>
  </si>
  <si>
    <t>ПШ27124</t>
  </si>
  <si>
    <t>ПШ.271.26</t>
  </si>
  <si>
    <t>ПШ27126</t>
  </si>
  <si>
    <t>ПШ.271.27</t>
  </si>
  <si>
    <t>ПШ27127</t>
  </si>
  <si>
    <t>ПШ.271.29</t>
  </si>
  <si>
    <t>ПШ27129</t>
  </si>
  <si>
    <t>ПШ.271.23</t>
  </si>
  <si>
    <t>ПШ.271.28</t>
  </si>
  <si>
    <t>ПШ27128</t>
  </si>
  <si>
    <t>ПШ.271.31</t>
  </si>
  <si>
    <t>ПШ27131</t>
  </si>
  <si>
    <t>ПШ.271.13</t>
  </si>
  <si>
    <t>ПШ27113</t>
  </si>
  <si>
    <t>ПШ.271.08</t>
  </si>
  <si>
    <t>ПШ27108</t>
  </si>
  <si>
    <t>ПШ.271.03</t>
  </si>
  <si>
    <t>ПШ27103</t>
  </si>
  <si>
    <t>ПШ.279.11</t>
  </si>
  <si>
    <t>ПШ27911</t>
  </si>
  <si>
    <t>ПШ.281.11</t>
  </si>
  <si>
    <t>ПШ28111</t>
  </si>
  <si>
    <t>ПШ.280.11</t>
  </si>
  <si>
    <t>ПШ28011</t>
  </si>
  <si>
    <t>МК.158.01.01</t>
  </si>
  <si>
    <t>МК.235.01.01</t>
  </si>
  <si>
    <t>МК.146.02.01</t>
  </si>
  <si>
    <t>МК.162.09.01</t>
  </si>
  <si>
    <t>МК.171.01.01</t>
  </si>
  <si>
    <t>МК.00035</t>
  </si>
  <si>
    <t>ПШ.279.53</t>
  </si>
  <si>
    <t>ПШ27953</t>
  </si>
  <si>
    <t>ПШ.279.51</t>
  </si>
  <si>
    <t>ПШ27951</t>
  </si>
  <si>
    <t>ПШ.279.50</t>
  </si>
  <si>
    <t>ПШ.280.53</t>
  </si>
  <si>
    <t>ПШ28053</t>
  </si>
  <si>
    <t>ПШ.280.50</t>
  </si>
  <si>
    <t>ПШ.281.51</t>
  </si>
  <si>
    <t>ПШ28151</t>
  </si>
  <si>
    <t>ПШ.281.50</t>
  </si>
  <si>
    <t>ПШ28150</t>
  </si>
  <si>
    <t>МК.00045</t>
  </si>
  <si>
    <t>МК.127.02.01</t>
  </si>
  <si>
    <t>МК.00039</t>
  </si>
  <si>
    <t>МК.200.01.01</t>
  </si>
  <si>
    <t>МК.160.02.01</t>
  </si>
  <si>
    <t>МК.122.00.01.40</t>
  </si>
  <si>
    <t>МК.122.00.01.20</t>
  </si>
  <si>
    <t>МК.250.01.01</t>
  </si>
  <si>
    <t>МК.159.01.01</t>
  </si>
  <si>
    <t>МК.00033</t>
  </si>
  <si>
    <t>ПШ.136.04</t>
  </si>
  <si>
    <t>МК.00034</t>
  </si>
  <si>
    <t>МК.125.01.01</t>
  </si>
  <si>
    <t>МК.00016</t>
  </si>
  <si>
    <t>МК.161.02.01</t>
  </si>
  <si>
    <t>МК.161.01.01</t>
  </si>
  <si>
    <t>МК.144.01.01</t>
  </si>
  <si>
    <t>МК.00044</t>
  </si>
  <si>
    <t>МК.00019</t>
  </si>
  <si>
    <t>МК.147.01.01</t>
  </si>
  <si>
    <t>МК.00033.06.01</t>
  </si>
  <si>
    <t>МК.00033.05.01</t>
  </si>
  <si>
    <t>МК.02221</t>
  </si>
  <si>
    <t>МК.112.06.01</t>
  </si>
  <si>
    <t>МК.127.01.01</t>
  </si>
  <si>
    <t>МК.00037</t>
  </si>
  <si>
    <t>МК.126.01.01</t>
  </si>
  <si>
    <t>МК.00020</t>
  </si>
  <si>
    <t>МК.128.01.01</t>
  </si>
  <si>
    <t>МК.104.01.01</t>
  </si>
  <si>
    <t>МК.137.01.01</t>
  </si>
  <si>
    <t>МК.131.01.01</t>
  </si>
  <si>
    <t>МК.129.01.01</t>
  </si>
  <si>
    <t>МК.00031</t>
  </si>
  <si>
    <t>МК.00024</t>
  </si>
  <si>
    <t>МК.102.01.01</t>
  </si>
  <si>
    <t>МК.142.01.01.02</t>
  </si>
  <si>
    <t>МК.111.01.01</t>
  </si>
  <si>
    <t>МК.146.01.01</t>
  </si>
  <si>
    <t>МК.00001</t>
  </si>
  <si>
    <t>МК.103.01.01</t>
  </si>
  <si>
    <t>МК.00021</t>
  </si>
  <si>
    <t>МК.112.01.01</t>
  </si>
  <si>
    <t>МК.00023</t>
  </si>
  <si>
    <t>МК.00022</t>
  </si>
  <si>
    <t>МК.00011</t>
  </si>
  <si>
    <t>МК.00025</t>
  </si>
  <si>
    <t>МК.295.01.01</t>
  </si>
  <si>
    <t>МК.295.17.01</t>
  </si>
  <si>
    <t>03818.17/01</t>
  </si>
  <si>
    <t>03751.12/01</t>
  </si>
  <si>
    <t>03751.04.09/01</t>
  </si>
  <si>
    <t>03769.17/01</t>
  </si>
  <si>
    <t>МК.288.01.01</t>
  </si>
  <si>
    <t>Шкаф комод Николь гардеробный с ящиками Белая гладкая 866*1021*474</t>
  </si>
  <si>
    <t>Шкаф комод Николь гардеробный с дверкой Белая гладкая 866*1021*474</t>
  </si>
  <si>
    <t>Комод Рокки универсальный Белая гладкая/Дуб Крафт Золотой 1322х858(h)х398</t>
  </si>
  <si>
    <t>3890.09/01</t>
  </si>
  <si>
    <t>3751.09/01</t>
  </si>
  <si>
    <t>3957.17/01</t>
  </si>
  <si>
    <t>3958.17/01</t>
  </si>
  <si>
    <t>4152.17.05/01</t>
  </si>
  <si>
    <t>L3957.17/01</t>
  </si>
  <si>
    <t>L3958.17/01</t>
  </si>
  <si>
    <t>L4152.17.05/01</t>
  </si>
  <si>
    <t>Стеллаж Рокки 1-о дверный Белая гладкая/Дуб Крафт Золотой 480х1800(h)х398</t>
  </si>
  <si>
    <t>4155.17.05/01</t>
  </si>
  <si>
    <t>Стеллаж Рокки 3 ящика Белая гладкая/Дуб Крафт Золотой 480х1800(h)х398</t>
  </si>
  <si>
    <t>4154.17.05/01</t>
  </si>
  <si>
    <t>L4154.17.05/01</t>
  </si>
  <si>
    <t>Стол стеллаж Ultra Lite Дуб Крафт золотой 1088*1382*400</t>
  </si>
  <si>
    <t>3770.05/01</t>
  </si>
  <si>
    <t>Стол стеллаж Ultra Lite Дуб Крафт золотой/черная кромка 1088*1382*400</t>
  </si>
  <si>
    <t>3770.05Ч/01</t>
  </si>
  <si>
    <t>L3770.05/01</t>
  </si>
  <si>
    <t>L3770.05Ч/01</t>
  </si>
  <si>
    <t>5520897927665</t>
  </si>
  <si>
    <t>Тумба под ТВ Рокки 2 ящика Белая гладкая/Дуб Крафт Золотой 1200х420(h)х398</t>
  </si>
  <si>
    <t>4156.17.05/01</t>
  </si>
  <si>
    <t>Тумба Frame с ящиком ЛДСП Белое тиснение, черн. Металл. 406х740х304</t>
  </si>
  <si>
    <t>MK1030201</t>
  </si>
  <si>
    <t>Тумба прикроватная Индиго Дуб Крафт белый 410х530х380</t>
  </si>
  <si>
    <t>Тумба прикроватная Индиго Дуб Крафт золотой 410х530х380</t>
  </si>
  <si>
    <t>Тумба прикроватная Индиго Антрацит 410х530х380</t>
  </si>
  <si>
    <t>Тумба прикроватная Индиго Дуб Крафт серый 410х530х380</t>
  </si>
  <si>
    <t>Система хранения Frame №2 ЛДСП Дуб Вотан, Черн. металл, Ткань Strong 04 902х1808(h)х408</t>
  </si>
  <si>
    <t>Шкаф Норд 2х дверный с ящиками Белое тиснение 800*2057*474</t>
  </si>
  <si>
    <t>Шкаф 2х дверный с ящиками Белое тиснение 800*2057*474</t>
  </si>
  <si>
    <t>4660041000825</t>
  </si>
  <si>
    <t>4660041000665</t>
  </si>
  <si>
    <t>4660041000672</t>
  </si>
  <si>
    <t>4660041000764</t>
  </si>
  <si>
    <t>4660041000870</t>
  </si>
  <si>
    <t>4660041000894</t>
  </si>
  <si>
    <t>4660041000900</t>
  </si>
  <si>
    <t>4660041001013</t>
  </si>
  <si>
    <t>4660041001006</t>
  </si>
  <si>
    <t>4660041001136</t>
  </si>
  <si>
    <t>4660041001112</t>
  </si>
  <si>
    <t>4660041001129</t>
  </si>
  <si>
    <t>4660041001181</t>
  </si>
  <si>
    <t>4660041001198</t>
  </si>
  <si>
    <t>4660041001174</t>
  </si>
  <si>
    <t>4660041001150</t>
  </si>
  <si>
    <t>4660041001273</t>
  </si>
  <si>
    <t>4660041001303</t>
  </si>
  <si>
    <t>4660041001310</t>
  </si>
  <si>
    <t>4660041001327</t>
  </si>
  <si>
    <t>4660041001402</t>
  </si>
  <si>
    <t>4660041001419</t>
  </si>
  <si>
    <t>4660041001426</t>
  </si>
  <si>
    <t>4660041001365</t>
  </si>
  <si>
    <t>4660041001372</t>
  </si>
  <si>
    <t>4660041001389</t>
  </si>
  <si>
    <t>4660041000726</t>
  </si>
  <si>
    <t>4660041000689</t>
  </si>
  <si>
    <t>4660041000863</t>
  </si>
  <si>
    <t>4660041000696</t>
  </si>
  <si>
    <t>4660041001679</t>
  </si>
  <si>
    <t>4660041000658</t>
  </si>
  <si>
    <t>4660041000795</t>
  </si>
  <si>
    <t>4660041000702</t>
  </si>
  <si>
    <t>4660041001747</t>
  </si>
  <si>
    <t>4660041000801</t>
  </si>
  <si>
    <t>4660041000887</t>
  </si>
  <si>
    <t>4660041001754</t>
  </si>
  <si>
    <t>4660041000962</t>
  </si>
  <si>
    <t>4660041000955</t>
  </si>
  <si>
    <t>4660041002546</t>
  </si>
  <si>
    <t>4660041002553</t>
  </si>
  <si>
    <t>4660041002560</t>
  </si>
  <si>
    <t>4660041001334</t>
  </si>
  <si>
    <t>4660041001341</t>
  </si>
  <si>
    <t>4660041001358</t>
  </si>
  <si>
    <t>4660041001433</t>
  </si>
  <si>
    <t>4660041001440</t>
  </si>
  <si>
    <t>4660041001457</t>
  </si>
  <si>
    <t>4660041001464</t>
  </si>
  <si>
    <t>4660041001525</t>
  </si>
  <si>
    <t>4660041001549</t>
  </si>
  <si>
    <t>4660041001556</t>
  </si>
  <si>
    <t>4660041001563</t>
  </si>
  <si>
    <t>4660041001488</t>
  </si>
  <si>
    <t>4660041001686</t>
  </si>
  <si>
    <t>4660041001693</t>
  </si>
  <si>
    <t>4660041001495</t>
  </si>
  <si>
    <t>4660041001518</t>
  </si>
  <si>
    <t>4660041001532</t>
  </si>
  <si>
    <t>4660041001570</t>
  </si>
  <si>
    <t>4660041001655</t>
  </si>
  <si>
    <t>4660041001631</t>
  </si>
  <si>
    <t>4660041001600</t>
  </si>
  <si>
    <t>4660041001624</t>
  </si>
  <si>
    <t>4660041001594</t>
  </si>
  <si>
    <t>4660041001501</t>
  </si>
  <si>
    <t>4660041001792</t>
  </si>
  <si>
    <t>4660041001778</t>
  </si>
  <si>
    <t>4660041002195</t>
  </si>
  <si>
    <t>4660041001853</t>
  </si>
  <si>
    <t>4660041001860</t>
  </si>
  <si>
    <t>4660041001822</t>
  </si>
  <si>
    <t>4660041001808</t>
  </si>
  <si>
    <t>4660041002065</t>
  </si>
  <si>
    <t>4660041002072</t>
  </si>
  <si>
    <t>4660041002096</t>
  </si>
  <si>
    <t>4660041002034</t>
  </si>
  <si>
    <t>4660041001815</t>
  </si>
  <si>
    <t>4660041002720</t>
  </si>
  <si>
    <t>4660041002089</t>
  </si>
  <si>
    <t>4660041002119</t>
  </si>
  <si>
    <t>4660041002058</t>
  </si>
  <si>
    <t>4660041002539</t>
  </si>
  <si>
    <t>4660041002737</t>
  </si>
  <si>
    <t>4660041002744</t>
  </si>
  <si>
    <t>4660041003062</t>
  </si>
  <si>
    <t>4660041002201</t>
  </si>
  <si>
    <t>4660041002683</t>
  </si>
  <si>
    <t>4660041002676</t>
  </si>
  <si>
    <t>4660041002669</t>
  </si>
  <si>
    <t>4660041002706</t>
  </si>
  <si>
    <t>4660041002690</t>
  </si>
  <si>
    <t>4660041002638</t>
  </si>
  <si>
    <t>4660041002645</t>
  </si>
  <si>
    <t>4660041002652</t>
  </si>
  <si>
    <t>4660041002607</t>
  </si>
  <si>
    <t>4660041002614</t>
  </si>
  <si>
    <t>4660041002621</t>
  </si>
  <si>
    <t>4660041002577</t>
  </si>
  <si>
    <t>4660041002584</t>
  </si>
  <si>
    <t>4660041002591</t>
  </si>
  <si>
    <t>4660041001921</t>
  </si>
  <si>
    <t>4660041000627</t>
  </si>
  <si>
    <t>4660041000979</t>
  </si>
  <si>
    <t>4660041001471</t>
  </si>
  <si>
    <t>4660041002294</t>
  </si>
  <si>
    <t>4660041002287</t>
  </si>
  <si>
    <t>4660041002775</t>
  </si>
  <si>
    <t>4660041002768</t>
  </si>
  <si>
    <t>4660041002751</t>
  </si>
  <si>
    <t>4660041003093</t>
  </si>
  <si>
    <t>4660041003109</t>
  </si>
  <si>
    <t>4660041003116</t>
  </si>
  <si>
    <t>4660041002836</t>
  </si>
  <si>
    <t>4660041002829</t>
  </si>
  <si>
    <t>4660041002812</t>
  </si>
  <si>
    <t>4660041003185</t>
  </si>
  <si>
    <t>4660041003192</t>
  </si>
  <si>
    <t>4660041003208</t>
  </si>
  <si>
    <t>4660041002959</t>
  </si>
  <si>
    <t>4660041002966</t>
  </si>
  <si>
    <t>4660041002881</t>
  </si>
  <si>
    <t>4660041002898</t>
  </si>
  <si>
    <t>4660041002904</t>
  </si>
  <si>
    <t>4660041002911</t>
  </si>
  <si>
    <t>4660041003215</t>
  </si>
  <si>
    <t>4660041003222</t>
  </si>
  <si>
    <t>4660041003239</t>
  </si>
  <si>
    <t>4660041002843</t>
  </si>
  <si>
    <t>4660041002973</t>
  </si>
  <si>
    <t>4660041002980</t>
  </si>
  <si>
    <t>4660041003376</t>
  </si>
  <si>
    <t>4660041003383</t>
  </si>
  <si>
    <t>4660041003390</t>
  </si>
  <si>
    <t>4660041003642</t>
  </si>
  <si>
    <t>4660041003659</t>
  </si>
  <si>
    <t>4660041003666</t>
  </si>
  <si>
    <t>4660041002997</t>
  </si>
  <si>
    <t>4660041003000</t>
  </si>
  <si>
    <t>4660041003017</t>
  </si>
  <si>
    <t>4660041003246</t>
  </si>
  <si>
    <t>4660041003253</t>
  </si>
  <si>
    <t>4660041003260</t>
  </si>
  <si>
    <t>4660041003338</t>
  </si>
  <si>
    <t>4660041003345</t>
  </si>
  <si>
    <t>4660041003352</t>
  </si>
  <si>
    <t>4660041003277</t>
  </si>
  <si>
    <t>4660041003284</t>
  </si>
  <si>
    <t>4660041003291</t>
  </si>
  <si>
    <t>4660041003307</t>
  </si>
  <si>
    <t>4660041003314</t>
  </si>
  <si>
    <t>4660041003321</t>
  </si>
  <si>
    <t>4660041003703</t>
  </si>
  <si>
    <t>4660041003710</t>
  </si>
  <si>
    <t>4660041003727</t>
  </si>
  <si>
    <t>4660041003864</t>
  </si>
  <si>
    <t>4660041003871</t>
  </si>
  <si>
    <t>4660041003888</t>
  </si>
  <si>
    <t>4660041004397</t>
  </si>
  <si>
    <t>4660041004403</t>
  </si>
  <si>
    <t>4660041004410</t>
  </si>
  <si>
    <t>4660041003611</t>
  </si>
  <si>
    <t>4660041003628</t>
  </si>
  <si>
    <t>4660041003673</t>
  </si>
  <si>
    <t>4660041003680</t>
  </si>
  <si>
    <t>4660041003697</t>
  </si>
  <si>
    <t>4660041003734</t>
  </si>
  <si>
    <t>4660041003741</t>
  </si>
  <si>
    <t>4660041003758</t>
  </si>
  <si>
    <t>4660041003796</t>
  </si>
  <si>
    <t>4660041003826</t>
  </si>
  <si>
    <t>4660041003895</t>
  </si>
  <si>
    <t>4660041003901</t>
  </si>
  <si>
    <t>4660041003918</t>
  </si>
  <si>
    <t>4660041003925</t>
  </si>
  <si>
    <t>4660041003932</t>
  </si>
  <si>
    <t>4660041003949</t>
  </si>
  <si>
    <t>4660041003765</t>
  </si>
  <si>
    <t>4660041003772</t>
  </si>
  <si>
    <t>4660041003789</t>
  </si>
  <si>
    <t>4660041003833</t>
  </si>
  <si>
    <t>4660041003840</t>
  </si>
  <si>
    <t>4660041003857</t>
  </si>
  <si>
    <t>4660041003802</t>
  </si>
  <si>
    <t>4660041003956</t>
  </si>
  <si>
    <t>4660041003963</t>
  </si>
  <si>
    <t>4660041003451</t>
  </si>
  <si>
    <t>4660041003468</t>
  </si>
  <si>
    <t>4660041003475</t>
  </si>
  <si>
    <t>4660041003499</t>
  </si>
  <si>
    <t>4660041003505</t>
  </si>
  <si>
    <t>4660041003529</t>
  </si>
  <si>
    <t>4660041003536</t>
  </si>
  <si>
    <t>4660041003970</t>
  </si>
  <si>
    <t>4660041003987</t>
  </si>
  <si>
    <t>4660041003994</t>
  </si>
  <si>
    <t>4660041003543</t>
  </si>
  <si>
    <t>4660041003550</t>
  </si>
  <si>
    <t>4660041003567</t>
  </si>
  <si>
    <t>4660041003574</t>
  </si>
  <si>
    <t>4660041003581</t>
  </si>
  <si>
    <t>4660041003598</t>
  </si>
  <si>
    <t>4660041003604</t>
  </si>
  <si>
    <t>4660041004076</t>
  </si>
  <si>
    <t>4660041004083</t>
  </si>
  <si>
    <t>4660041004106</t>
  </si>
  <si>
    <t>4660041004168</t>
  </si>
  <si>
    <t>4660041004182</t>
  </si>
  <si>
    <t>4660041004199</t>
  </si>
  <si>
    <t>4660041004205</t>
  </si>
  <si>
    <t>4660041004212</t>
  </si>
  <si>
    <t>4660041004229</t>
  </si>
  <si>
    <t>4660041004335</t>
  </si>
  <si>
    <t>4660041004342</t>
  </si>
  <si>
    <t>4660041004359</t>
  </si>
  <si>
    <t>4660041004366</t>
  </si>
  <si>
    <t>4660041004373</t>
  </si>
  <si>
    <t>4660041004380</t>
  </si>
  <si>
    <t>4660041004489</t>
  </si>
  <si>
    <t>4660041004458</t>
  </si>
  <si>
    <t>4660041004465</t>
  </si>
  <si>
    <t>4660041004472</t>
  </si>
  <si>
    <t>4660041004069</t>
  </si>
  <si>
    <t>4660041004120</t>
  </si>
  <si>
    <t>4660041004175</t>
  </si>
  <si>
    <t>4660041004601</t>
  </si>
  <si>
    <t>4660041004519</t>
  </si>
  <si>
    <t>4660041004526</t>
  </si>
  <si>
    <t>4660041004502</t>
  </si>
  <si>
    <t>4660041004625</t>
  </si>
  <si>
    <t>4660041004595</t>
  </si>
  <si>
    <t>4660041004588</t>
  </si>
  <si>
    <t>4660041004557</t>
  </si>
  <si>
    <t>4660041004571</t>
  </si>
  <si>
    <t>4660041004564</t>
  </si>
  <si>
    <t>4660041004533</t>
  </si>
  <si>
    <t>4660041004540</t>
  </si>
  <si>
    <t>4660041004496</t>
  </si>
  <si>
    <t>4660041004427</t>
  </si>
  <si>
    <t>4660041004984</t>
  </si>
  <si>
    <t>4660041004991</t>
  </si>
  <si>
    <t>4660041004786</t>
  </si>
  <si>
    <t>4660041004809</t>
  </si>
  <si>
    <t>4660041004793</t>
  </si>
  <si>
    <t>4660041004670</t>
  </si>
  <si>
    <t>4660041004694</t>
  </si>
  <si>
    <t>4660041004687</t>
  </si>
  <si>
    <t>4660041004762</t>
  </si>
  <si>
    <t>4660041004663</t>
  </si>
  <si>
    <t>4660041004755</t>
  </si>
  <si>
    <t>4660041004748</t>
  </si>
  <si>
    <t>4660041004724</t>
  </si>
  <si>
    <t>4660041004731</t>
  </si>
  <si>
    <t>4660041004700</t>
  </si>
  <si>
    <t>4660041004915</t>
  </si>
  <si>
    <t>4660041004977</t>
  </si>
  <si>
    <t>4660041005257</t>
  </si>
  <si>
    <t>4660041005240</t>
  </si>
  <si>
    <t>4660041005196</t>
  </si>
  <si>
    <t>4660041005219</t>
  </si>
  <si>
    <t>4660041005080</t>
  </si>
  <si>
    <t>4660041005097</t>
  </si>
  <si>
    <t>4660041005233</t>
  </si>
  <si>
    <t>4660041005226</t>
  </si>
  <si>
    <t>4660041005516</t>
  </si>
  <si>
    <t>4660041005172</t>
  </si>
  <si>
    <t>4660041005110</t>
  </si>
  <si>
    <t>4660041005158</t>
  </si>
  <si>
    <t>4660041007893</t>
  </si>
  <si>
    <t>4660041007923</t>
  </si>
  <si>
    <t>4660041005042</t>
  </si>
  <si>
    <t>4660041008814</t>
  </si>
  <si>
    <t>4660041006100</t>
  </si>
  <si>
    <t>4660041006131</t>
  </si>
  <si>
    <t>4660041006124</t>
  </si>
  <si>
    <t>4640219954945</t>
  </si>
  <si>
    <t>4660041007770</t>
  </si>
  <si>
    <t>4660041005288</t>
  </si>
  <si>
    <t>4660041005301</t>
  </si>
  <si>
    <t>4660041005318</t>
  </si>
  <si>
    <t>4660041005325</t>
  </si>
  <si>
    <t>4660041005356</t>
  </si>
  <si>
    <t>4660041005363</t>
  </si>
  <si>
    <t>4660041005418</t>
  </si>
  <si>
    <t>4660041005419</t>
  </si>
  <si>
    <t>4660041005394</t>
  </si>
  <si>
    <t>4660041005769</t>
  </si>
  <si>
    <t>4660041006117</t>
  </si>
  <si>
    <t>4660041006148</t>
  </si>
  <si>
    <t>4660041007961</t>
  </si>
  <si>
    <t>4660041008173</t>
  </si>
  <si>
    <t>4660041006865</t>
  </si>
  <si>
    <t>4660041008197</t>
  </si>
  <si>
    <t>4660041007510</t>
  </si>
  <si>
    <t>4660041006469</t>
  </si>
  <si>
    <t>4660041005776</t>
  </si>
  <si>
    <t>4660041005783</t>
  </si>
  <si>
    <t>4660041008012</t>
  </si>
  <si>
    <t>4660041007565</t>
  </si>
  <si>
    <t>4660041007671</t>
  </si>
  <si>
    <t>4660041007688</t>
  </si>
  <si>
    <t>4660041006766</t>
  </si>
  <si>
    <t>4660041006773</t>
  </si>
  <si>
    <t>4660041006780</t>
  </si>
  <si>
    <t>4660041006797</t>
  </si>
  <si>
    <t>4660041007725</t>
  </si>
  <si>
    <t>4660041008128</t>
  </si>
  <si>
    <t>4660041008043</t>
  </si>
  <si>
    <t>4660041007732</t>
  </si>
  <si>
    <t>4660041007596</t>
  </si>
  <si>
    <t>4660041007572</t>
  </si>
  <si>
    <t>4660041007916</t>
  </si>
  <si>
    <t>4660041007930</t>
  </si>
  <si>
    <t>4660041008241</t>
  </si>
  <si>
    <t>4660041008463</t>
  </si>
  <si>
    <t>4660041008425</t>
  </si>
  <si>
    <t>4660041008456</t>
  </si>
  <si>
    <t>4660041008395</t>
  </si>
  <si>
    <t>4660041009569</t>
  </si>
  <si>
    <t>4660041009002</t>
  </si>
  <si>
    <t>4660041009019</t>
  </si>
  <si>
    <t>4660041009026</t>
  </si>
  <si>
    <t>4660041009118</t>
  </si>
  <si>
    <t>4660041009125</t>
  </si>
  <si>
    <t>4660041009040</t>
  </si>
  <si>
    <t>4660041009071</t>
  </si>
  <si>
    <t>4660041009088</t>
  </si>
  <si>
    <t>4640219951388</t>
  </si>
  <si>
    <t>4640219950183</t>
  </si>
  <si>
    <t>4640219950527</t>
  </si>
  <si>
    <t>4640219950541</t>
  </si>
  <si>
    <t>4660041009859</t>
  </si>
  <si>
    <t>4660041009880</t>
  </si>
  <si>
    <t>4640219950091</t>
  </si>
  <si>
    <t>4640219950107</t>
  </si>
  <si>
    <t>4640219950114</t>
  </si>
  <si>
    <t>4640219950152</t>
  </si>
  <si>
    <t>4640219951210</t>
  </si>
  <si>
    <t>4640219957403</t>
  </si>
  <si>
    <t>4640219950299</t>
  </si>
  <si>
    <t>4640219952538</t>
  </si>
  <si>
    <t>4640219950435</t>
  </si>
  <si>
    <t>4640219950459</t>
  </si>
  <si>
    <t>4640219950473</t>
  </si>
  <si>
    <t>4640219951098</t>
  </si>
  <si>
    <t>4640219951104</t>
  </si>
  <si>
    <t>4640219951111</t>
  </si>
  <si>
    <t>4640219951050</t>
  </si>
  <si>
    <t>4640219951135</t>
  </si>
  <si>
    <t>4640219951142</t>
  </si>
  <si>
    <t>4640219951159</t>
  </si>
  <si>
    <t>4640219951166</t>
  </si>
  <si>
    <t>4640219951180</t>
  </si>
  <si>
    <t>4640219951197</t>
  </si>
  <si>
    <t>4640219951609</t>
  </si>
  <si>
    <t>4640219951654</t>
  </si>
  <si>
    <t>4640219958349</t>
  </si>
  <si>
    <t>4640219950800</t>
  </si>
  <si>
    <t>4640219955614</t>
  </si>
  <si>
    <t>4640219951852</t>
  </si>
  <si>
    <t>4640219956857</t>
  </si>
  <si>
    <t>4640219951876</t>
  </si>
  <si>
    <t>4640219955522</t>
  </si>
  <si>
    <t>4640219951661</t>
  </si>
  <si>
    <t>4640219951760</t>
  </si>
  <si>
    <t>4640219953047</t>
  </si>
  <si>
    <t>4640219952644</t>
  </si>
  <si>
    <t>4640219956482</t>
  </si>
  <si>
    <t>4640219952576</t>
  </si>
  <si>
    <t>4640219952668</t>
  </si>
  <si>
    <t>4640219957885</t>
  </si>
  <si>
    <t>4640219957946</t>
  </si>
  <si>
    <t>4640219958547</t>
  </si>
  <si>
    <t>4640219959698</t>
  </si>
  <si>
    <t>4640219954471</t>
  </si>
  <si>
    <t>4640219954631</t>
  </si>
  <si>
    <t>4640219954457</t>
  </si>
  <si>
    <t>4640219953962</t>
  </si>
  <si>
    <t>4660041005837</t>
  </si>
  <si>
    <t>4660041005691</t>
  </si>
  <si>
    <t>4660041005707</t>
  </si>
  <si>
    <t>4660041006261</t>
  </si>
  <si>
    <t>4660041006209</t>
  </si>
  <si>
    <t>4660041006315</t>
  </si>
  <si>
    <t>4660041006193</t>
  </si>
  <si>
    <t>4660041006049</t>
  </si>
  <si>
    <t>4660041006056</t>
  </si>
  <si>
    <t>4660041006063</t>
  </si>
  <si>
    <t>4660041006070</t>
  </si>
  <si>
    <t>4660041006087</t>
  </si>
  <si>
    <t>4660041006155</t>
  </si>
  <si>
    <t>4660041006094</t>
  </si>
  <si>
    <t>4660041006179</t>
  </si>
  <si>
    <t>4660041005899</t>
  </si>
  <si>
    <t>4660041005950</t>
  </si>
  <si>
    <t>4660041005929</t>
  </si>
  <si>
    <t>4660041006933</t>
  </si>
  <si>
    <t>4660041006940</t>
  </si>
  <si>
    <t>4660041006254</t>
  </si>
  <si>
    <t>4660041006247</t>
  </si>
  <si>
    <t>4660041007763</t>
  </si>
  <si>
    <t>4660041007787</t>
  </si>
  <si>
    <t>4660041007879</t>
  </si>
  <si>
    <t>4660041006230</t>
  </si>
  <si>
    <t>4660041006216</t>
  </si>
  <si>
    <t>4660041006186</t>
  </si>
  <si>
    <t>4660041005721</t>
  </si>
  <si>
    <t>4660041006292</t>
  </si>
  <si>
    <t>4660041006322</t>
  </si>
  <si>
    <t>4660041006353</t>
  </si>
  <si>
    <t>4660041008883</t>
  </si>
  <si>
    <t>4660041006377</t>
  </si>
  <si>
    <t>4660041006889</t>
  </si>
  <si>
    <t>4660041006391</t>
  </si>
  <si>
    <t>4660041006414</t>
  </si>
  <si>
    <t>4660041006438</t>
  </si>
  <si>
    <t>4660041006926</t>
  </si>
  <si>
    <t>4660041007107</t>
  </si>
  <si>
    <t>4660041007114</t>
  </si>
  <si>
    <t>4660041007121</t>
  </si>
  <si>
    <t>4660041006506</t>
  </si>
  <si>
    <t>4660041007022</t>
  </si>
  <si>
    <t>4660041007008</t>
  </si>
  <si>
    <t>4660041006681</t>
  </si>
  <si>
    <t>4660041006537</t>
  </si>
  <si>
    <t>4660041006551</t>
  </si>
  <si>
    <t>4660041006650</t>
  </si>
  <si>
    <t>4660041006575</t>
  </si>
  <si>
    <t>4660041006599</t>
  </si>
  <si>
    <t>4660041006612</t>
  </si>
  <si>
    <t>4660041006902</t>
  </si>
  <si>
    <t>4660041007060</t>
  </si>
  <si>
    <t>4660041007053</t>
  </si>
  <si>
    <t>4660041006803</t>
  </si>
  <si>
    <t>4660041007046</t>
  </si>
  <si>
    <t>4660041006834</t>
  </si>
  <si>
    <t>4660041006827</t>
  </si>
  <si>
    <t>4660041006841</t>
  </si>
  <si>
    <t>4660041007411</t>
  </si>
  <si>
    <t>4660041007213</t>
  </si>
  <si>
    <t>4660041007190</t>
  </si>
  <si>
    <t>4660041007206</t>
  </si>
  <si>
    <t>4660041007237</t>
  </si>
  <si>
    <t>4660041007244</t>
  </si>
  <si>
    <t>4660041009767</t>
  </si>
  <si>
    <t>4660041007398</t>
  </si>
  <si>
    <t>4660041008319</t>
  </si>
  <si>
    <t>4660041007602</t>
  </si>
  <si>
    <t>4660041008722</t>
  </si>
  <si>
    <t>4660041008746</t>
  </si>
  <si>
    <t>4660041009330</t>
  </si>
  <si>
    <t>4640219955690</t>
  </si>
  <si>
    <t>4660041009361</t>
  </si>
  <si>
    <t>4660041007985</t>
  </si>
  <si>
    <t>4640219950770</t>
  </si>
  <si>
    <t>4640219950787</t>
  </si>
  <si>
    <t>4640219950794</t>
  </si>
  <si>
    <t>4640219950824</t>
  </si>
  <si>
    <t>4640219950831</t>
  </si>
  <si>
    <t>4640219950848</t>
  </si>
  <si>
    <t>4640219950855</t>
  </si>
  <si>
    <t>4640219950862</t>
  </si>
  <si>
    <t>4640219950879</t>
  </si>
  <si>
    <t>4640219950886</t>
  </si>
  <si>
    <t>4640219950916</t>
  </si>
  <si>
    <t>4640219951975</t>
  </si>
  <si>
    <t>4640219951968</t>
  </si>
  <si>
    <t>4640219951951</t>
  </si>
  <si>
    <t>4640219951937</t>
  </si>
  <si>
    <t>4640219951920</t>
  </si>
  <si>
    <t>4640219950046</t>
  </si>
  <si>
    <t>4640219950688</t>
  </si>
  <si>
    <t>4640219950695</t>
  </si>
  <si>
    <t>4660041009736</t>
  </si>
  <si>
    <t>4660041009743</t>
  </si>
  <si>
    <t>4660041009750</t>
  </si>
  <si>
    <t>4640219952064</t>
  </si>
  <si>
    <t>4640219952057</t>
  </si>
  <si>
    <t>4640219952040</t>
  </si>
  <si>
    <t>4640219952033</t>
  </si>
  <si>
    <t>4640219952026</t>
  </si>
  <si>
    <t>4640219952019</t>
  </si>
  <si>
    <t>4640219950053</t>
  </si>
  <si>
    <t>4640219950961</t>
  </si>
  <si>
    <t>4640219950978</t>
  </si>
  <si>
    <t>4660041009705</t>
  </si>
  <si>
    <t>4660041009729</t>
  </si>
  <si>
    <t>4640219952149</t>
  </si>
  <si>
    <t>4640219952132</t>
  </si>
  <si>
    <t>4640219952101</t>
  </si>
  <si>
    <t>4640219952095</t>
  </si>
  <si>
    <t>4640219952088</t>
  </si>
  <si>
    <t>4660041009675</t>
  </si>
  <si>
    <t>4660041009682</t>
  </si>
  <si>
    <t>ПШ28051</t>
  </si>
  <si>
    <t>ПШ28050</t>
  </si>
  <si>
    <t>ПШ27950</t>
  </si>
  <si>
    <t>ПШ27123</t>
  </si>
  <si>
    <t>ПШ27923</t>
  </si>
  <si>
    <t>ПШ27924</t>
  </si>
  <si>
    <t>ПШ27155</t>
  </si>
  <si>
    <t>ПШ27156</t>
  </si>
  <si>
    <t>ПШ27151</t>
  </si>
  <si>
    <t>ПШ28168</t>
  </si>
  <si>
    <t>ПШ28102</t>
  </si>
  <si>
    <t>ПШ28169</t>
  </si>
  <si>
    <t>ПШ28154</t>
  </si>
  <si>
    <t>ПШ28172</t>
  </si>
  <si>
    <t>ПШ28170</t>
  </si>
  <si>
    <t>ПШ28163</t>
  </si>
  <si>
    <t>ПШ28157</t>
  </si>
  <si>
    <t>ПШ28167</t>
  </si>
  <si>
    <t>ПШ28161</t>
  </si>
  <si>
    <t>ПШ35451</t>
  </si>
  <si>
    <t>ПШ35453</t>
  </si>
  <si>
    <t>ПШ35450</t>
  </si>
  <si>
    <t>ПШ35550</t>
  </si>
  <si>
    <t>ПШ35551</t>
  </si>
  <si>
    <t>ПШ27966</t>
  </si>
  <si>
    <t>ПШ27971</t>
  </si>
  <si>
    <t>ПШ35553</t>
  </si>
  <si>
    <t>ПШ28156</t>
  </si>
  <si>
    <t>ПШ28171</t>
  </si>
  <si>
    <t>ПШ28166</t>
  </si>
  <si>
    <t>02491.20/01</t>
  </si>
  <si>
    <t>03018.25Ч/01</t>
  </si>
  <si>
    <t>03751.25/01</t>
  </si>
  <si>
    <t>03871.05/01</t>
  </si>
  <si>
    <t>5520897927660</t>
  </si>
  <si>
    <t>5520897927645</t>
  </si>
  <si>
    <t>5520897927643</t>
  </si>
  <si>
    <t>5520897927663</t>
  </si>
  <si>
    <t>5520897927630</t>
  </si>
  <si>
    <t>5520897927619</t>
  </si>
  <si>
    <t>5520897927620</t>
  </si>
  <si>
    <t>5520897927621</t>
  </si>
  <si>
    <t>5520897927666</t>
  </si>
  <si>
    <t>5520897927667</t>
  </si>
  <si>
    <t>5520897927661</t>
  </si>
  <si>
    <t>L14115.01.09</t>
  </si>
  <si>
    <t>L40100</t>
  </si>
  <si>
    <t>L40101</t>
  </si>
  <si>
    <t>L40102</t>
  </si>
  <si>
    <t>L40103</t>
  </si>
  <si>
    <t>4660041005417</t>
  </si>
  <si>
    <t>03890.06/01</t>
  </si>
  <si>
    <t>03890.05/01</t>
  </si>
  <si>
    <t>4640219952590</t>
  </si>
  <si>
    <t>4640219952651</t>
  </si>
  <si>
    <t>3890.06/01</t>
  </si>
  <si>
    <t>3890.05/01</t>
  </si>
  <si>
    <t>4640219959315</t>
  </si>
  <si>
    <t>135531.17Д01</t>
  </si>
  <si>
    <t>4640219952774</t>
  </si>
  <si>
    <t>Комод Ультра 4 ящика Дуб Гудзон Кашемир 750х734(h)х334</t>
  </si>
  <si>
    <t>Комод Ультра 4 ящика с делителем Белая гладкая 750х734(h)х334</t>
  </si>
  <si>
    <t>Комод Ультра 4 ящика Дуб Гудзон Амаретто 750х734(h)х334</t>
  </si>
  <si>
    <t>Комод Ультра 4 ящика Дуб Гудзон Шоколад 750х734(h)х334</t>
  </si>
  <si>
    <t>Шкаф-комод Ультра Push 2х дверный Дуб Крафт Белый 602х701(h)х290</t>
  </si>
  <si>
    <t>Шкаф-комод Ультра Push 2х дверный Дуб Крафт Золотой 602х701(h)х290</t>
  </si>
  <si>
    <t>4620263150043</t>
  </si>
  <si>
    <t>МК.112.17.05</t>
  </si>
  <si>
    <t>4640219958806</t>
  </si>
  <si>
    <t>4640219958813</t>
  </si>
  <si>
    <t>04053.25.06/01</t>
  </si>
  <si>
    <t>04053.04.17/01</t>
  </si>
  <si>
    <t>Стол рабочий Breeze с ящиком Цемент темный молет/Дуб Крафт Белый 900х764(h)х450</t>
  </si>
  <si>
    <t>Стол рабочий Breeze с ящиком Крафт Серый/Белая гладкая 900х764(h)х450</t>
  </si>
  <si>
    <t>4640219958363</t>
  </si>
  <si>
    <t>4640219958387</t>
  </si>
  <si>
    <t>4053.04.17/01</t>
  </si>
  <si>
    <t>4053.25.06/01</t>
  </si>
  <si>
    <t>4660041006346</t>
  </si>
  <si>
    <t>MK1740101</t>
  </si>
  <si>
    <t>МК.174.01.01</t>
  </si>
  <si>
    <t>4660041008166</t>
  </si>
  <si>
    <t>MK2220101</t>
  </si>
  <si>
    <t>4660041008333</t>
  </si>
  <si>
    <t>MK2330101</t>
  </si>
  <si>
    <t>4660041008470</t>
  </si>
  <si>
    <t>MK1910101</t>
  </si>
  <si>
    <t>MK2150101</t>
  </si>
  <si>
    <t>MK1050101</t>
  </si>
  <si>
    <t>MK1470201</t>
  </si>
  <si>
    <t>4660041008074</t>
  </si>
  <si>
    <t>4660041008289</t>
  </si>
  <si>
    <t>4660041007695</t>
  </si>
  <si>
    <t>4660041006858</t>
  </si>
  <si>
    <t>МК.147.02.01</t>
  </si>
  <si>
    <t>Стеллаж Trust ЛДСП Белое тиснение, Черн. металл.</t>
  </si>
  <si>
    <t>Тумбы для обуви Frame малая ЛДСП Дуб Вотан, Черн.металл.</t>
  </si>
  <si>
    <t>Вешалка угловая Bronx ЛДСП Дуб Вотан, Черн. металл.</t>
  </si>
  <si>
    <t>Стеллаж Fiji 4х дверный ЛДСП Дуб Вотан. Черн. металл. 750х1200х300</t>
  </si>
  <si>
    <t>Стеллаж Fiji 2-х дверный ЛДСП Дуб Вотан, Черн. металл</t>
  </si>
  <si>
    <t>Стеллаж Bronx  ЛДСП Дуб Вотан, Черн. металл.</t>
  </si>
  <si>
    <t>4640219951203</t>
  </si>
  <si>
    <t>4660041008906</t>
  </si>
  <si>
    <t>4640219951319</t>
  </si>
  <si>
    <t>4640219956659</t>
  </si>
  <si>
    <t>4640219950374</t>
  </si>
  <si>
    <t>4660041009156</t>
  </si>
  <si>
    <t>4660041008609</t>
  </si>
  <si>
    <t>4640219951296</t>
  </si>
  <si>
    <t>4640219956451</t>
  </si>
  <si>
    <t>4660041008678</t>
  </si>
  <si>
    <t>MK000102001</t>
  </si>
  <si>
    <t>MK142010104</t>
  </si>
  <si>
    <t>MK2502001</t>
  </si>
  <si>
    <t>MK1912501</t>
  </si>
  <si>
    <t>MK2180101</t>
  </si>
  <si>
    <t>MK2010101</t>
  </si>
  <si>
    <t>MK2012001</t>
  </si>
  <si>
    <t>MK1272501</t>
  </si>
  <si>
    <t>MK2340101</t>
  </si>
  <si>
    <t>Стеллаж Frame 2 ящика ЛДСП Цемент светл.вельвет,Черный металл.670х1442(h)х304</t>
  </si>
  <si>
    <t>МК.00010.20.01</t>
  </si>
  <si>
    <t>МК.142.01.01.04</t>
  </si>
  <si>
    <t>Комод Capri 6 ящиков ЛДСП Дуб Вотан/Ткань Capri 13, Черн. металл</t>
  </si>
  <si>
    <t>Стеллаж Fiji 4х дверный ЛДСП Цемент темный молет, Черн. металл.750х1200(h)х300</t>
  </si>
  <si>
    <t>Вешалка в прихожую Frame с зеркалом ЛДСП Дуб Вотан, Черн.металл. 820х1813(h)х350</t>
  </si>
  <si>
    <t>Стол рабочий маникюрный Blues Loft / Дуб Вотан/ Металл. 980х900(h)х450</t>
  </si>
  <si>
    <t>МК.127.25.01</t>
  </si>
  <si>
    <t>Стеллаж Tokyo угловой ЛДСП Цемент темный молет, Черн. металл.470х1758(h)х232</t>
  </si>
  <si>
    <t>Стол рабочий маникюрный Blues Loft Цемент светл.вельвет,черн.металл 980х900(h)х450</t>
  </si>
  <si>
    <t>4660041008210</t>
  </si>
  <si>
    <t>Шкаф стеллаж Neoletta 1 дверн. Белое тиснен./Дуб Вотан</t>
  </si>
  <si>
    <t>4660041009866</t>
  </si>
  <si>
    <t>Стол рабочий Ultra комбинированный Серый Графит/Ателье светлое 1201х754(h)х450</t>
  </si>
  <si>
    <t>Шкаф комод City Серый Графит 1200х1176(h)х502</t>
  </si>
  <si>
    <t>4640219950169</t>
  </si>
  <si>
    <t>4640219950428</t>
  </si>
  <si>
    <t>Стол письменный Ультра 4 ящ. Белое гладкое 1056х750(h)x450</t>
  </si>
  <si>
    <t>Комод Estetika 3х дверн. с ящ. Белое тисн. 1100х816(h)х354</t>
  </si>
  <si>
    <t>Комод Loft New 5 дверн. c ящиками Дуб сон./Белое тисн.</t>
  </si>
  <si>
    <t>Обувница Ultra Lux вертикальная 3 секции Белое тиснение 532х1360(h)х242</t>
  </si>
  <si>
    <t>4660041008845</t>
  </si>
  <si>
    <t>4660041008876</t>
  </si>
  <si>
    <t>4640219956949</t>
  </si>
  <si>
    <t>4660041008340</t>
  </si>
  <si>
    <t>4640219958615</t>
  </si>
  <si>
    <t>4640219950558</t>
  </si>
  <si>
    <t>4640219958073</t>
  </si>
  <si>
    <t>4640219950572</t>
  </si>
  <si>
    <t>Шкаф стеллаж Trend Дуб Вотан/Антрацит</t>
  </si>
  <si>
    <t>Стол рабочий Ultra комбинированный/Левое исполнение Дуб сонома/Белое тиснение 1201х754(h)х450</t>
  </si>
  <si>
    <t>Стол рабочий Ultra комбинированный/Левое исполнение Серый Графит/Ателье светлое 1201х754(h)х450</t>
  </si>
  <si>
    <t>3750.01/01</t>
  </si>
  <si>
    <t>Комод City New 6 ящиков Дуб Вотан 1402*827*394</t>
  </si>
  <si>
    <t>MK1680101</t>
  </si>
  <si>
    <t>2491.20/01</t>
  </si>
  <si>
    <t>3018.25Ч/01</t>
  </si>
  <si>
    <t>3751.25/01</t>
  </si>
  <si>
    <t>3871.05/01</t>
  </si>
  <si>
    <t>3583.25/01</t>
  </si>
  <si>
    <t>3012.09/01</t>
  </si>
  <si>
    <t>3536.06/01</t>
  </si>
  <si>
    <t>3536.05.09/01</t>
  </si>
  <si>
    <t>3175.25.17/01</t>
  </si>
  <si>
    <t>3536.01/01</t>
  </si>
  <si>
    <t>3708.01/01</t>
  </si>
  <si>
    <t>3708.06/01</t>
  </si>
  <si>
    <t>3761.01/01</t>
  </si>
  <si>
    <t>3871.17.08/01</t>
  </si>
  <si>
    <t>3925.05/01</t>
  </si>
  <si>
    <t>3925.09/01</t>
  </si>
  <si>
    <t>3925.06/01</t>
  </si>
  <si>
    <t>3925.20/01</t>
  </si>
  <si>
    <t>3709.06/01</t>
  </si>
  <si>
    <t>3763.05/01</t>
  </si>
  <si>
    <t>3763.06/01</t>
  </si>
  <si>
    <t>3763.09/01</t>
  </si>
  <si>
    <t>3871.17/01</t>
  </si>
  <si>
    <t>3934.05/01</t>
  </si>
  <si>
    <t>3934.06/01</t>
  </si>
  <si>
    <t>3934.09/01</t>
  </si>
  <si>
    <t>2040636596063</t>
  </si>
  <si>
    <t>4640219959636</t>
  </si>
  <si>
    <t>4640219959629</t>
  </si>
  <si>
    <t>4640219959605</t>
  </si>
  <si>
    <t>4660041009712</t>
  </si>
  <si>
    <t>4640219958219</t>
  </si>
  <si>
    <t>4640219957366</t>
  </si>
  <si>
    <t>4640219957045</t>
  </si>
  <si>
    <t>4640219957014</t>
  </si>
  <si>
    <t>4640219957335</t>
  </si>
  <si>
    <t>4640219957267</t>
  </si>
  <si>
    <t>4640219959612</t>
  </si>
  <si>
    <t>4620263150272</t>
  </si>
  <si>
    <t>4620263150395</t>
  </si>
  <si>
    <t>4620263150289</t>
  </si>
  <si>
    <t>4620263150494</t>
  </si>
  <si>
    <t>4620263150487</t>
  </si>
  <si>
    <t>4640219959575</t>
  </si>
  <si>
    <t>4640219959582</t>
  </si>
  <si>
    <t>4620263150500</t>
  </si>
  <si>
    <t>4640219957038</t>
  </si>
  <si>
    <t>4640219957342</t>
  </si>
  <si>
    <t>03583.25/01</t>
  </si>
  <si>
    <t>03012.09/01</t>
  </si>
  <si>
    <t>03536.06/01</t>
  </si>
  <si>
    <t>03536.05.09/01</t>
  </si>
  <si>
    <t>03175.25.17/01</t>
  </si>
  <si>
    <t>03536.01/01</t>
  </si>
  <si>
    <t>03708.01/01</t>
  </si>
  <si>
    <t>03708.06/01</t>
  </si>
  <si>
    <t>03925.05/01</t>
  </si>
  <si>
    <t>03925.06/01</t>
  </si>
  <si>
    <t>03925.09/01</t>
  </si>
  <si>
    <t>03925.20/01</t>
  </si>
  <si>
    <t>03709.06/01</t>
  </si>
  <si>
    <t>03763.05/01</t>
  </si>
  <si>
    <t>03763.06/01</t>
  </si>
  <si>
    <t>03763.09/01</t>
  </si>
  <si>
    <t>03871.17/01</t>
  </si>
  <si>
    <t>03934.05/01</t>
  </si>
  <si>
    <t>03934.06/01</t>
  </si>
  <si>
    <t>03934.09/01</t>
  </si>
  <si>
    <t>МК.00041</t>
  </si>
  <si>
    <t>ПШ.281.68</t>
  </si>
  <si>
    <t>ПШ.281.69</t>
  </si>
  <si>
    <t>ПШ.281.54</t>
  </si>
  <si>
    <t>ПШ.281.72</t>
  </si>
  <si>
    <t>ПШ.281.70</t>
  </si>
  <si>
    <t>ПШ.281.63</t>
  </si>
  <si>
    <t>ПШ.281.57</t>
  </si>
  <si>
    <t>ПШ.281.61</t>
  </si>
  <si>
    <t>ПШ.354.51</t>
  </si>
  <si>
    <t>ПШ.354.53</t>
  </si>
  <si>
    <t>ПШ.354.50</t>
  </si>
  <si>
    <t>ПШ.355.50</t>
  </si>
  <si>
    <t>ПШ.355.51</t>
  </si>
  <si>
    <t>ПШ.279.66</t>
  </si>
  <si>
    <t>ПШ.279.71</t>
  </si>
  <si>
    <t>ПШ.355.53</t>
  </si>
  <si>
    <t>ПШ.281.56</t>
  </si>
  <si>
    <t>ПШ.281.71</t>
  </si>
  <si>
    <t>ПШ.281.66</t>
  </si>
  <si>
    <t>АССОРТИМЕНТ МФП</t>
  </si>
  <si>
    <t>Органайзер Спанбонд серый Стеллажа Quattro 280х280(h)х280</t>
  </si>
  <si>
    <t>Органайзер Спанбонд черный Стеллажа Quattro 280х280(h)х280</t>
  </si>
  <si>
    <t>Органайзер Спанбонд серый Стеллажа Hardy Лайт 2  550х270(h)х210</t>
  </si>
  <si>
    <t>Органайзер Спанбонд бежевый Стеллажа Hardy Лайт 2 550х270(h)х210</t>
  </si>
  <si>
    <t>Органайзер Спанбонд серый Стеллажа Zett 500х250(h)х210</t>
  </si>
  <si>
    <t>Органайзер Спанбонд черный Стеллажа Zett 500х250(h)х210</t>
  </si>
  <si>
    <t>Органайзер Спанбонд бежевый Стеллажа Zett 500х250(h)х210</t>
  </si>
  <si>
    <t>Органайзер Ткань Savanna Camel Стеллажа Hardy Лайт 2 550х270(h)х210</t>
  </si>
  <si>
    <t>Органайзер Ткань мебельная Savanna Camel Стеллажа Quattro 280х280(h)х280</t>
  </si>
  <si>
    <t>MK2342501</t>
  </si>
  <si>
    <t>Стол рабочий Tokyo с надстройкой ЛДСП Дуб Вотан, Черн. металл</t>
  </si>
  <si>
    <t>Стол рабочий Tokyo Lite с надстройкой ЛДСП Цемент темный молет, Черн. металл</t>
  </si>
  <si>
    <t>Смирнова</t>
  </si>
  <si>
    <t>Тумба прикроватная Рокки 2 ящика Белая гладкая/Дуб Крафт золотой 480*420*398</t>
  </si>
  <si>
    <t>4153.17.05/01</t>
  </si>
  <si>
    <t>4014.02.03/01</t>
  </si>
  <si>
    <t>Стол письменный Лион универ. с ящ. и дверками Белое тиснение/Дуб сонома</t>
  </si>
  <si>
    <t>Органайзер Ткань Savanna Camel Стеллажа Zett 500х250(h)х210</t>
  </si>
  <si>
    <t>Органайзер ткань Capri №29 Стеллажа Zett  250х250(h)х250</t>
  </si>
  <si>
    <t>Органайзер ткань Capri №9 Стеллажа Zett  250х250(h)х250</t>
  </si>
  <si>
    <t>Органайзер ткань Capri №18 Стеллажа Zett  250х250(h)х250</t>
  </si>
  <si>
    <t>Органайзер ткань Capri №21 Стеллажа Zett  250х250(h)х250</t>
  </si>
  <si>
    <t>Органайзер ткань SAVANNA GREY Стеллажа Zett  250х250(h)х250</t>
  </si>
  <si>
    <t>Органайзер Ткань СМ Стеллажа Zett  250х250(h)х250</t>
  </si>
  <si>
    <t>Органайзер ткань SAVANNA Plus Denim Стеллажа Zett  250х250(h)х250</t>
  </si>
  <si>
    <t>Органайзер ткань SAVANNA GREEN Стеллажа Zett  250х250(h)х250</t>
  </si>
  <si>
    <t>Органайзер ткань SAVANNA COFFEE Стеллажа Zett  250х250(h)х250</t>
  </si>
  <si>
    <t>Органайзер ткань SAVANNA BERRY Стеллажа Zett  250х250(h)х250</t>
  </si>
  <si>
    <t>Стол рабочий Tokyo складной ЛДСП Дуб вотан, Черн. металл.</t>
  </si>
  <si>
    <t>Органайзер Ткань СМ Стеллажа Zett 500х250(h)х210</t>
  </si>
  <si>
    <t>Органайзер Ткань SAVANNA BERRY Стеллажа Zett 500х250(h)х210</t>
  </si>
  <si>
    <t>Органайзер ткань SAVANNA CHOCOLATE Стеллажа Zett 250х250(h)х250</t>
  </si>
  <si>
    <t>Обувница Ultra Plus ЛДСП Дуб Вотан/Спанбонд черн.</t>
  </si>
  <si>
    <t>Органайзер Ткань СМ Стеллажа Hardy 550х270(h)х210</t>
  </si>
  <si>
    <t>Органайзер Ткань Savanna BERRY Стеллажа Hardy 550х270(h)х210</t>
  </si>
  <si>
    <t>Органайзер Спанбонд Ткань мебельная Alejandro 10 Стеллажа Zett 250х250(h)х250</t>
  </si>
  <si>
    <t>Органайзер ткань NEO 5 (Рогожка) Стеллажа Zett 250х250(h)х250</t>
  </si>
  <si>
    <t>Органайзер ткань NEO 2 (Рогожка) Стеллажа Zett 250х250(h)х250</t>
  </si>
  <si>
    <t>Органайзер ткань NEO 12 (Рогожка) Стеллажа Zett 250х250(h)х250</t>
  </si>
  <si>
    <t>Органайзер ткань NEO 9 (Рогожка) Стеллажа Zett 250х250(h)х250</t>
  </si>
  <si>
    <t>Тумбы для обуви Frame малая ЛДСП Белое тиснен., Черн.металл.</t>
  </si>
  <si>
    <t>Стол рабочий Frame с системой хранения ЛДСП Дуб Вотан, Черн.Метал</t>
  </si>
  <si>
    <t>Органайзер ткань мебельная Alejandro 10 Стеллажа Zett 500х250(h)х210</t>
  </si>
  <si>
    <t>Органайзер ткань NEO 2 (Рогожка) Стеллажа Zett 500х250(h)х210</t>
  </si>
  <si>
    <t>Органайзер ткань NEO 5 (Рогожка) Стеллажа Zett 500х250(h)х210</t>
  </si>
  <si>
    <t>Органайзер ткань NEO 8 (Рогожка) Стеллажа Zett 500х250(h)х210</t>
  </si>
  <si>
    <t>Органайзер ткань NEO 9 (Рогожка) Стеллажа Zett 500х250(h)х210</t>
  </si>
  <si>
    <t xml:space="preserve">Органайзер ткань NEO 12 (Рогожка) Стеллажа Zett 500х250(h)х210 </t>
  </si>
  <si>
    <t>Органайзер ткань NEO 5 (Рогожка) Стеллажа Hardy 550х270(h)х210</t>
  </si>
  <si>
    <t>Органайзер ткань NEO 8 (Рогожка) Стеллажа Hardy 550х270(h)х210</t>
  </si>
  <si>
    <t>Органайзер ткань мебельная Frida 10 Стелажа Hardy 550х270(h)х210</t>
  </si>
  <si>
    <t>Органайзер ткань мебельная Frida 11 Стеллажа Hardy 550х270(h)х210</t>
  </si>
  <si>
    <t>Органайзер ткань мебельная Frida 13 Стеллажа Hardy 550х270(h)х210</t>
  </si>
  <si>
    <t>Стеллаж этажерка Tokyo Lite с дверк. ЛДСП 18 Белая гладкая, Черн. металл. 710х1750(h)х386</t>
  </si>
  <si>
    <t>Стеллаж 6 секций Цемент светлый вельвет 948х653(h)х294</t>
  </si>
  <si>
    <t>Стеллаж Quattro 8 секций Цемент темный молет Чёрная Кромка 706х1396(h)х280</t>
  </si>
  <si>
    <t>Обувница Сити с вырезами 4 секции подвесная Дуб Крафт золотой 962х802(h)х170</t>
  </si>
  <si>
    <t>Обувница стеллаж Ultra Plus Цемент темный молет 690х1184(h)х348</t>
  </si>
  <si>
    <t>Комод City 4 ящика Серый Графит 700х867х354</t>
  </si>
  <si>
    <t>Прихожая Астерия Дуб Крафт Белый 1200х2045(h)х356</t>
  </si>
  <si>
    <t>Комод Blues 2х дверн. с ящ. Цемент темный молет/Белая гладкая 750х795(h)х320</t>
  </si>
  <si>
    <t>Стеллаж Quattro New 4 секций с дверками Дуб Вотан 642х644(h)х292</t>
  </si>
  <si>
    <t>Стеллаж Quattro New 4 секций с дверками Дуб Крафт Белый 642х644(h)х292</t>
  </si>
  <si>
    <t>Шкаф пенал Компакт 2х дверный с полками Дуб крафт золотой 278х1835(h)х260</t>
  </si>
  <si>
    <t>Шкаф пенал Компакт 2х дверный с полками Дуб Крафт белый 278х1835(h)х260</t>
  </si>
  <si>
    <t>Шкаф пенал Компакт 2х дверный с полками Серый Графит 278х1835(h)х260</t>
  </si>
  <si>
    <t>Шкаф пенал Компакт 2х дверный с полками Цемент светлый молет 278х1835(h)х260</t>
  </si>
  <si>
    <t>Стеллаж Quattro New со штангой для вещей Дуб Крафт Белый 642х1236(h)х288</t>
  </si>
  <si>
    <t>Комод Бостон с ящиками, полками Дуб Крафт золотой 750х740(h)х334</t>
  </si>
  <si>
    <t>Комод Бостон с ящиками, полками Дуб Крафт Белый 750х740(h)х334</t>
  </si>
  <si>
    <t>Комод Бостон с ящиками, полками Серый Графит 750х740(h)х334</t>
  </si>
  <si>
    <t>Обувница Сити с вырезами 4 секции подвесная Белая гладкая 962х802(h)х170</t>
  </si>
  <si>
    <t>Стеллаж Нео комбинированный Дуб крафт золотой 400х1796(h)х292</t>
  </si>
  <si>
    <t>Стеллаж Нео комбинированный Дуб Крафт белый 400х1796(h)х292</t>
  </si>
  <si>
    <t>Стеллаж Нео комбинированный Серый Графит 400х1796(h)х292</t>
  </si>
  <si>
    <t>Органайзер Ткань мебельная желтая Стеллажа Quattro 280х280(h)х280</t>
  </si>
  <si>
    <t>Органайзер Ткань мебельная фиолетовая Стеллажа Quattro 280х280(h)х280</t>
  </si>
  <si>
    <t>Органайзер Ткань мебельная светло-серый Стеллажа Quattro 280х280(h)х280</t>
  </si>
  <si>
    <t>Органайзер Ткань мебельная светло-сиреневая Стеллажа Quattro 280х280(h)х280</t>
  </si>
  <si>
    <t>Органайзер Ткань мебельная бежевая Стеллажа Quattro 280х280(h)х280</t>
  </si>
  <si>
    <t>Органайзер Ткань мебельная серо-синяя Стеллажа Quattro 280х280(h)х280</t>
  </si>
  <si>
    <t>Органайзер ткань мебельная серо-зеленая  Стеллажа Quattro 280х280(h)х280</t>
  </si>
  <si>
    <t>Органайзер ткань мебельная оливковая Стеллажа Quattro 280х280(h)х280</t>
  </si>
  <si>
    <t>Комплект органайзеров 2шт для Стеллажа Zett Спанбонд черный 250х250(h)х250</t>
  </si>
  <si>
    <t>Комплект органайзеров 2шт для Стеллажа Zett Спанбонд бежевый 250х250(h)х250</t>
  </si>
  <si>
    <t>Комплект органайзеров 2шт для Стеллажа Zett Спанбонд серый 250х250(h)х250</t>
  </si>
  <si>
    <t>Комплект органайзеров 2шт для Стеллажа Zett Спанбонд серый 500х250(h)х210</t>
  </si>
  <si>
    <t>Комплект органайзеров 2шт для Стеллажа Zett Спанбонд черный 500х250(h)х210</t>
  </si>
  <si>
    <t>Органайзер ткань мебельная голубая Стеллажа Zett 490х250(h)х210</t>
  </si>
  <si>
    <t>Органайзер ткань мебельная светлая серо-зеленая Стеллажа Zett 490х250(h)х210</t>
  </si>
  <si>
    <t>Комплект органайзеров 2шт для Стеллажа Zett Спанбонд бежевый 500х250(h)х210</t>
  </si>
  <si>
    <t>Органайзер ткань мебельная светло-бежевая  Стеллажа Quattro 280х280(h)х280</t>
  </si>
  <si>
    <t>Органайзер Ткань мебельная светлый серо-зеленая  Стеллажа Quattro 280х280(h)х280</t>
  </si>
  <si>
    <t>Органайзер Ткань мебельная голубая Стеллажа Quattro 280х280(h)х280</t>
  </si>
  <si>
    <t>Стол письменный Neoletta 2 ящика Белое тисн./Дуб Вотан</t>
  </si>
  <si>
    <t>Пенал навесной Ultra Дуб Вотан/Антрацит</t>
  </si>
  <si>
    <t>Комод Praga New 2х дверный с ящиком Белое тиснен.</t>
  </si>
  <si>
    <t>Стол рабочий Ultra комбинированный Дуб сонома/Белое тиснение</t>
  </si>
  <si>
    <t>Обувница стеллаж Ultra Plus Белое тиснен.</t>
  </si>
  <si>
    <t>Обувница Ultra вертикальная универсал. 1 секция Дуб Вотан/Антрацит 532х374х170</t>
  </si>
  <si>
    <t>Обувница Ultra вертикальная универсал. 3 секции Дуб Вотан/Антрацит 532х1122х170</t>
  </si>
  <si>
    <t>Шкаф пенал Neoletta навесной Белое тиснен./Дуб Вотан</t>
  </si>
  <si>
    <t>Стеллаж Zett на ножках Белое тиснение 730х1852(h)х250</t>
  </si>
  <si>
    <t>Банкетка Capri с ящиками Белое тиснен./Ткань Capri №22, 30</t>
  </si>
  <si>
    <t>Стол рабочий Ultra комбинированный Дуб Вотан/Антрацит 1201х754(h)х450</t>
  </si>
  <si>
    <t>Cтеллаж угловой в детскую для игрушек Ателье светлое 580х814(h)х580</t>
  </si>
  <si>
    <t>Стол рабочий Neoletta 3 ящика Белое тиснение/Дуб Вотан</t>
  </si>
  <si>
    <t>Стол стеллаж Quattro универсальный Белое тиснен.</t>
  </si>
  <si>
    <t>Стол рабочий маникюрный Blues с ящиками Белое гладкое 468х750/904(h)х300/980</t>
  </si>
  <si>
    <t>Шкаф Neoletta 1-о дверн. Белое тиснен./Дуб Вотан</t>
  </si>
  <si>
    <t>Комод Ультра 4 ящика Белая шагрень 750х734(h)х334</t>
  </si>
  <si>
    <t>Стеллаж Hardy Лайт 2 на ножках Белое гладкое 602х1930(h)х244</t>
  </si>
  <si>
    <t>Стеллаж Hardy Лайт 2 с дверками на ножках Белое гладкое 602х1930(h)х260</t>
  </si>
  <si>
    <t>Стол письменный Neoletta 4 ящика Белое тисн./Дуб Вотан</t>
  </si>
  <si>
    <t>Шкаф комод City Белое гладкое 1200х1176(h)х502</t>
  </si>
  <si>
    <t>Шкаф стеллаж детский Белое гладкое 780х1100(h)х292</t>
  </si>
  <si>
    <t>Фасад шкафа стеллажа детского 2 шт(1 компл) Белое гладкое 386х788(h)х16</t>
  </si>
  <si>
    <t>Стеллаж в детскую для книг и игрушек Белое гладкое 642х848(h)х288</t>
  </si>
  <si>
    <t>Стеллаж открытый 5 секций универсальный Белое гладкое 670х880(h)402</t>
  </si>
  <si>
    <t>Стол универсальный Tokyo Белое гладкое 780х900(h)х504</t>
  </si>
  <si>
    <t>Комод City New 6 ящиков Белая Гладкая 1400х827(h)х394</t>
  </si>
  <si>
    <t>Столик туалетный Ultra с зеркалом Белое гладкое 702х784(h)х401</t>
  </si>
  <si>
    <t>Стеллаж Quattro New 6 секций Белое тиснение 642х956(h)х288</t>
  </si>
  <si>
    <t>Стеллаж Hardy Лайт New с дверками Белое тиснение 602х2006(h)х420</t>
  </si>
  <si>
    <t>Комод Ультра 4 ящика ЛДСП 18 Белая гладкая 750х734(h)х334</t>
  </si>
  <si>
    <t>Шкаф-комод Ультра 2х дверный ЛДСП 18 Белая гладкая 602х701(h)х290</t>
  </si>
  <si>
    <t>Стол универсальный Tokyo Дуб Вотан/Антрацит 780х900(h)х504</t>
  </si>
  <si>
    <t>Шкаф 2х дверн. комбинированный City  Дуб Вотан 802х1800(h)x454</t>
  </si>
  <si>
    <t>Шкаф комод City Дуб Вотан 1200х1176(h)х502</t>
  </si>
  <si>
    <t>Стол шкаф Ultra Белое тиснение 1410х1112(h)х454</t>
  </si>
  <si>
    <t>Комод City 2х дверный с ящиком Белое тисн. 700х867(h)х354</t>
  </si>
  <si>
    <t>Обувница Ultra 2 секции с ящиком Дуб Вотан 520х946(h)х274</t>
  </si>
  <si>
    <t>Обувница Сити с вырезами 4 секции подвесная Белая гладкая/Ателье светлое 962х802(h)х170</t>
  </si>
  <si>
    <t>Стеллаж Tokyo Lite Plus ЛДСП Цемент светл.вельвет,Черн.металл.780х1758(h)х290</t>
  </si>
  <si>
    <t>4640219955560</t>
  </si>
  <si>
    <t>4660041008807</t>
  </si>
  <si>
    <t>4640219951722</t>
  </si>
  <si>
    <t>4640219953320</t>
  </si>
  <si>
    <t>4640219953313</t>
  </si>
  <si>
    <t>4640219959346</t>
  </si>
  <si>
    <t>4640219959766</t>
  </si>
  <si>
    <t>4620263150593</t>
  </si>
  <si>
    <t>4660041003031</t>
  </si>
  <si>
    <t>4640219952729</t>
  </si>
  <si>
    <t>4640219956468</t>
  </si>
  <si>
    <t>4640219956437</t>
  </si>
  <si>
    <t>4640219956444</t>
  </si>
  <si>
    <t>4640219952750</t>
  </si>
  <si>
    <t>4640219956864</t>
  </si>
  <si>
    <t>4640219953948</t>
  </si>
  <si>
    <t>4640219953924</t>
  </si>
  <si>
    <t>4640219958097</t>
  </si>
  <si>
    <t>4640219955904</t>
  </si>
  <si>
    <t>4640219958226</t>
  </si>
  <si>
    <t>4640219958233</t>
  </si>
  <si>
    <t>4640219958080</t>
  </si>
  <si>
    <t>4640219955836</t>
  </si>
  <si>
    <t>4640219959728</t>
  </si>
  <si>
    <t>4640219959735</t>
  </si>
  <si>
    <t>4640219959711</t>
  </si>
  <si>
    <t>4640219956543</t>
  </si>
  <si>
    <t>Комод Лион 5 ящиков Белое тиснение/Дуб сонома 400х1020(h)х398</t>
  </si>
  <si>
    <t>4013.02.03/01</t>
  </si>
  <si>
    <t>Комод тумба Estetika 3 ящ. Белое тиснение 460*632*424</t>
  </si>
  <si>
    <t>Комод Estetika 4 ящ. Белое тиснение 460*824*424</t>
  </si>
  <si>
    <t xml:space="preserve"> WB МФП</t>
  </si>
  <si>
    <t>3536.20/01</t>
  </si>
  <si>
    <t>3536.09/01</t>
  </si>
  <si>
    <t>Прихожая Астерия Цемент Светлый Вельвет 1200х2045х354</t>
  </si>
  <si>
    <t>Прихожая Астерия Серый графит  (всегда + арт 3537.09/02)</t>
  </si>
  <si>
    <t>4640219955447</t>
  </si>
  <si>
    <t>4640219955362</t>
  </si>
  <si>
    <t>MK1862001</t>
  </si>
  <si>
    <t>MK1860101</t>
  </si>
  <si>
    <t>Шкаф комод Frame с дверкой и полками ЛДСП Цемент светл.вельвет, Черн.металл 700*910*300</t>
  </si>
  <si>
    <t>Шкаф комод Frame с дверкой и полками ЛДСП Дуб Вотан, Черн.металл</t>
  </si>
  <si>
    <t>МК.186.20.01</t>
  </si>
  <si>
    <t>4640219951289</t>
  </si>
  <si>
    <t>МК.186.01.01</t>
  </si>
  <si>
    <t>MK00018</t>
  </si>
  <si>
    <t>Комод Frame 2 ящика с полками ЛДСП дуб Вотан, Черн. металл. 754*770*282</t>
  </si>
  <si>
    <t>Стеллаж Bronx Plus ЛДСП Дуб Вотан, Черн.металл.</t>
  </si>
  <si>
    <t>4660041009309</t>
  </si>
  <si>
    <t>4640219956673</t>
  </si>
  <si>
    <t>4640219959957</t>
  </si>
  <si>
    <t>4640219959889</t>
  </si>
  <si>
    <t>4640219959827</t>
  </si>
  <si>
    <t>Стол рабочий Tokyo Lite с надстройкой ЛДСП Дуб Вотан, Черн. металл</t>
  </si>
  <si>
    <t>3713.01.25/01</t>
  </si>
  <si>
    <t>3713.06/01</t>
  </si>
  <si>
    <t>Шкаф Норд 2х дверный с ящиками Крафт белый 800*2057*474</t>
  </si>
  <si>
    <t>Шкаф Норд 2х дверный с ящиками Дуб Вотан/Цемент темный молет 800*2057*474</t>
  </si>
  <si>
    <t>4640219951395</t>
  </si>
  <si>
    <t>4640219957595</t>
  </si>
  <si>
    <t>4640219957632</t>
  </si>
  <si>
    <t>4620263150432</t>
  </si>
  <si>
    <t>4640219955850</t>
  </si>
  <si>
    <t>4640219955423</t>
  </si>
  <si>
    <t>4640219955508</t>
  </si>
  <si>
    <t>4640219955461</t>
  </si>
  <si>
    <t>4640219958561</t>
  </si>
  <si>
    <t>4640219958578</t>
  </si>
  <si>
    <t>4640219958554</t>
  </si>
  <si>
    <t>4640219958585</t>
  </si>
  <si>
    <t>4660041006339</t>
  </si>
  <si>
    <t>4640219956734</t>
  </si>
  <si>
    <t>4640219956727</t>
  </si>
  <si>
    <t>4640219953405</t>
  </si>
  <si>
    <t>4640219951746</t>
  </si>
  <si>
    <t>4640219951784</t>
  </si>
  <si>
    <t>4640219951067</t>
  </si>
  <si>
    <t>4640219958288</t>
  </si>
  <si>
    <t>4660041001891</t>
  </si>
  <si>
    <t>4660041007909</t>
  </si>
  <si>
    <t>MK1410201</t>
  </si>
  <si>
    <t>Стеллаж этажерка Tokyo с ящ. ЛДСП Белое тиснен., Черн.металл.</t>
  </si>
  <si>
    <t>МК.137.02.01</t>
  </si>
  <si>
    <t>МК.167.01.01.04</t>
  </si>
  <si>
    <t>МК.247.01.01</t>
  </si>
  <si>
    <t>МК.217.01.01</t>
  </si>
  <si>
    <t>МК.169.01.01</t>
  </si>
  <si>
    <t>МК.224.01.01.05</t>
  </si>
  <si>
    <t>МК.137.20.01</t>
  </si>
  <si>
    <t>MK139000111</t>
  </si>
  <si>
    <t>MK1580201</t>
  </si>
  <si>
    <t>MK1830101</t>
  </si>
  <si>
    <t>MK1830201</t>
  </si>
  <si>
    <t>MK1850101</t>
  </si>
  <si>
    <t>MK1852001</t>
  </si>
  <si>
    <t>MK1370201</t>
  </si>
  <si>
    <t>MK167010104</t>
  </si>
  <si>
    <t>MK2470101</t>
  </si>
  <si>
    <t>MK2170101</t>
  </si>
  <si>
    <t>MK1690101</t>
  </si>
  <si>
    <t>MK224010105</t>
  </si>
  <si>
    <t>MK1372001</t>
  </si>
  <si>
    <t>МК.106.02.01</t>
  </si>
  <si>
    <t>МК.226.01.01.51</t>
  </si>
  <si>
    <t>МК.198.01.01</t>
  </si>
  <si>
    <t>МК.102.02.01</t>
  </si>
  <si>
    <t>МК.111.02.01</t>
  </si>
  <si>
    <t>МК.125.02.01</t>
  </si>
  <si>
    <t>МК.110.02.01</t>
  </si>
  <si>
    <t>МК.00010.02.01</t>
  </si>
  <si>
    <t>МК.192.01.01</t>
  </si>
  <si>
    <t>МК.245.01.01</t>
  </si>
  <si>
    <t>МК.240.01.01</t>
  </si>
  <si>
    <t>МК.145.01.01</t>
  </si>
  <si>
    <t>МК.243.01.01</t>
  </si>
  <si>
    <t>МК.135.01.01</t>
  </si>
  <si>
    <t>МК.146.20.01</t>
  </si>
  <si>
    <t>МК.125.04.01</t>
  </si>
  <si>
    <t>МК.133.02.01</t>
  </si>
  <si>
    <t>МК.00040</t>
  </si>
  <si>
    <t>МК.159.02.01</t>
  </si>
  <si>
    <t>МК.248.01.01</t>
  </si>
  <si>
    <t>МК.00038</t>
  </si>
  <si>
    <t>МК.112.20.01</t>
  </si>
  <si>
    <t>МК.131.02.01</t>
  </si>
  <si>
    <t>МК.194.01.01</t>
  </si>
  <si>
    <t>MK1060201</t>
  </si>
  <si>
    <t>MK226010151</t>
  </si>
  <si>
    <t>MK1930101</t>
  </si>
  <si>
    <t>MK1980101</t>
  </si>
  <si>
    <t>MK1110201</t>
  </si>
  <si>
    <t>MK1250201</t>
  </si>
  <si>
    <t>MK1100201</t>
  </si>
  <si>
    <t>MK000100201</t>
  </si>
  <si>
    <t>MK1920101</t>
  </si>
  <si>
    <t>MK2450101</t>
  </si>
  <si>
    <t>MK2410101</t>
  </si>
  <si>
    <t>MK2400101</t>
  </si>
  <si>
    <t>MK1450101</t>
  </si>
  <si>
    <t>MK1900101</t>
  </si>
  <si>
    <t>MK2420101</t>
  </si>
  <si>
    <t>MK2430101</t>
  </si>
  <si>
    <t>MK1350101</t>
  </si>
  <si>
    <t>MK1462001</t>
  </si>
  <si>
    <t>MK1472001</t>
  </si>
  <si>
    <t>MK1910601</t>
  </si>
  <si>
    <t>MK1250401</t>
  </si>
  <si>
    <t>MK1330201</t>
  </si>
  <si>
    <t>MK00040</t>
  </si>
  <si>
    <t>MK1590201</t>
  </si>
  <si>
    <t>MK2480101</t>
  </si>
  <si>
    <t>MK1120201</t>
  </si>
  <si>
    <t>MK00038</t>
  </si>
  <si>
    <t>MK1330801</t>
  </si>
  <si>
    <t>MK1070101</t>
  </si>
  <si>
    <t>MK1122001</t>
  </si>
  <si>
    <t>MK1120401</t>
  </si>
  <si>
    <t>MK1310201</t>
  </si>
  <si>
    <t>MK2290101</t>
  </si>
  <si>
    <t>MK1940101</t>
  </si>
  <si>
    <t>4660041008050</t>
  </si>
  <si>
    <t>4660041007428</t>
  </si>
  <si>
    <t>4660041007831</t>
  </si>
  <si>
    <t>4640219950619</t>
  </si>
  <si>
    <t>4660041007848</t>
  </si>
  <si>
    <t>4640219951272</t>
  </si>
  <si>
    <t>4660041006919</t>
  </si>
  <si>
    <t>4660041008142</t>
  </si>
  <si>
    <t>4660041009354</t>
  </si>
  <si>
    <t>4660041008296</t>
  </si>
  <si>
    <t>4660041008302</t>
  </si>
  <si>
    <t>4640219950305</t>
  </si>
  <si>
    <t>4640219951241</t>
  </si>
  <si>
    <t>4660041006384</t>
  </si>
  <si>
    <t>4660041008739</t>
  </si>
  <si>
    <t>4660041008326</t>
  </si>
  <si>
    <t>4660041008098</t>
  </si>
  <si>
    <t>4660041006308</t>
  </si>
  <si>
    <t>4660041006421</t>
  </si>
  <si>
    <t>4660041006520</t>
  </si>
  <si>
    <t>4660041006407</t>
  </si>
  <si>
    <t>4660041006285</t>
  </si>
  <si>
    <t>4660041007749</t>
  </si>
  <si>
    <t>4660041009347</t>
  </si>
  <si>
    <t>4660041008647</t>
  </si>
  <si>
    <t>4660041008630</t>
  </si>
  <si>
    <t>4660041008272</t>
  </si>
  <si>
    <t>4660041008067</t>
  </si>
  <si>
    <t>4660041009170</t>
  </si>
  <si>
    <t>4660041009187</t>
  </si>
  <si>
    <t>4660041007480</t>
  </si>
  <si>
    <t>4640219951258</t>
  </si>
  <si>
    <t>4640219951265</t>
  </si>
  <si>
    <t>4640219956635</t>
  </si>
  <si>
    <t>4640219957373</t>
  </si>
  <si>
    <t>4660041006605</t>
  </si>
  <si>
    <t>4660041007886</t>
  </si>
  <si>
    <t>4660041008753</t>
  </si>
  <si>
    <t>4660041006445</t>
  </si>
  <si>
    <t>4660041007862</t>
  </si>
  <si>
    <t>4660041009835</t>
  </si>
  <si>
    <t>4660041007794</t>
  </si>
  <si>
    <t>4640219951234</t>
  </si>
  <si>
    <t>4640219957410</t>
  </si>
  <si>
    <t>4660041006582</t>
  </si>
  <si>
    <t>4660041008661</t>
  </si>
  <si>
    <t>4660041008081</t>
  </si>
  <si>
    <t>Стул Framе Ткань Vivaldi №7 Черн. металл 444х569(h)х544</t>
  </si>
  <si>
    <t>Шкаф комод Frame 4х дверный Белое тиснение 700х910(h)х300</t>
  </si>
  <si>
    <t>Шкаф комод Frame 2х дверный с ящиками ЛДСП Цемент светл.вельвет,Черн.металл 700х910(h)х300</t>
  </si>
  <si>
    <t>Вешалка Frame ЛДСП Белое тиснение, Черн. металл. 802х1750(h)х278</t>
  </si>
  <si>
    <t>Система хранения Frame №2 ЛДСП Дуб Вотан/Ткань Capri 22, Черн.металл. 902х1808(h)х408</t>
  </si>
  <si>
    <t>Вешалка Frame Lite ЛДСП Дуб Вотан, Черн. металл. 780х1750(h)х278</t>
  </si>
  <si>
    <t>Вешалка угловая Frame ЛДСП Дуб Вотан, Черн. металл. 490х1808(h)х490 </t>
  </si>
  <si>
    <t>Система хранения Frame Lite №2 ЛДСП Дуб Вотан/Ткань Capri №30, Черн. 752х1808(h)х408</t>
  </si>
  <si>
    <t>Вешалка Frame ЛДСП Цемент светл.вельвет,Черн.металл.802х1750(h)х278</t>
  </si>
  <si>
    <t>Стеллаж Tokyo Plus ЛДСП Белое тиснение, Черн. металл. 900х1758(h)х290</t>
  </si>
  <si>
    <t>Стеллаж Frame Lite комбинирован. ЛДСП Дуб Вотан, Черн. металл. 712х1530(h)х281</t>
  </si>
  <si>
    <t>Стеллаж этажерка Tokyo Lite ЛДСП Дуб Вотан, Черн. металл. 580х1508(h)х320</t>
  </si>
  <si>
    <t>Стеллаж Tokyo Lite 3 секции ЛДСП Дуб Вотан, Черн. металл. 330х1120(h)х278</t>
  </si>
  <si>
    <t>Стеллаж этажерка Tokyo Lite с ящ. ЛДСП Дуб Вотан, Черн. металл. 428х1750(h)х386</t>
  </si>
  <si>
    <t>Стеллаж тумба Trust Plus ЛДСП Цемент светл.вельвет,Черн.металл 1100х780(h)х300</t>
  </si>
  <si>
    <t>Стеллаж Trust ЛДСП Цемент светл.вельвет,Черн.металл 770х1750(h)х300</t>
  </si>
  <si>
    <t>Стеллаж Fiji 4х дверный ЛДСП Дуб Крафт Белый, Черн. металл.750х1200(h)х300</t>
  </si>
  <si>
    <t>Стеллаж Tokyo Plus ЛДСП Крафт Серый, Черн. металл.     900х1758(h)х290</t>
  </si>
  <si>
    <t>Стол компьютерный Frame lite ЛДСП Белое тиснение, Черн. металл. 600х760(h)х400</t>
  </si>
  <si>
    <t>Стол компьютерный Frame lite ЛДСП Ателье светлое, Черн. металл. 600х760(h)х400</t>
  </si>
  <si>
    <t>Стол письменный Frame New c ящ,с полкой ЛДСП Цемент светл.вельвет 800х760(h)х510</t>
  </si>
  <si>
    <t xml:space="preserve">Стол письменный Frame New с ящ., с полкой ЛДСП Крафт Серый, Черн. металл. 800х760(h)х510 </t>
  </si>
  <si>
    <t>Тумба под ТВ LOFT 2х ярусная ЛДСП Дуб Вотан/Антрацит, Черн. металл. 1386х584(h)[376</t>
  </si>
  <si>
    <t>Тумба ТВ Frame 1-о дверный ЛДСП Дуб Вотан. Черн. металл.</t>
  </si>
  <si>
    <t>Стол рабочий Frame с ящиком ЛДСП Дуб Вотан, Черн.металл.</t>
  </si>
  <si>
    <t>Стол письменный Tokyo ЛДСП Белое тиснен., Черн.металл</t>
  </si>
  <si>
    <t>Стол письменный Frame Lite ЛДСП Дуб Вотан, Черн. металл</t>
  </si>
  <si>
    <t>Стол стеллаж Tokyo ЛДСП Белое тиснение, Черн. металл.</t>
  </si>
  <si>
    <t>Стол письменный Frame ЛДСП Белое тиснен., Черн.металл.</t>
  </si>
  <si>
    <t>Стеллаж тумба Trust ЛДСП Дуб Вотан, Черн. металл</t>
  </si>
  <si>
    <t>Стеллаж горка Fiji ЛДСП Дуб Вотан. Черн. металл.</t>
  </si>
  <si>
    <t>Стеллаж Frame 2 ящика ЛДСП Белое тиснение, Черный металл</t>
  </si>
  <si>
    <t>Стеллаж этажерка Tokyo ЛДСП Белое тиснен., Черн.металл.</t>
  </si>
  <si>
    <t>Полка стеллаж Tokyo навесная, напольная ЛДСП Белое тиснен., Черн.металл.</t>
  </si>
  <si>
    <t>Обувница этажерка Frame lite ЛДСП Дуб Вотан. Черн. металл.</t>
  </si>
  <si>
    <t>Обувница Frame вертикальная 3 секции ЛДСП Дуб Вотан, Черн. металл</t>
  </si>
  <si>
    <t>Обувница Ultra ЛДСП Дуб Вотан/Спанбонд черн.</t>
  </si>
  <si>
    <t>Обувница этажерка Frame с ящ. ЛДСП Белое тиснен., Черн.металл.</t>
  </si>
  <si>
    <t>Система хранения Tokyo №1 ЛДСП Дуб Вотан, Черн.металл</t>
  </si>
  <si>
    <t>Шкаф комод Frame 2х дверный с ящиками ЛДСП Дуб Вотан, Черн.металл</t>
  </si>
  <si>
    <t>Шкаф комод Frame 4х двер. ЛДСП Дуб Вотан. Черн. метал</t>
  </si>
  <si>
    <t>Тумбы под ТВ Tokyo с дверками ЛДСП Белое тиснен., Черн. металл.</t>
  </si>
  <si>
    <t>Столик придиванный Frame ЛДСП Белое тиснение, Черн. металл.</t>
  </si>
  <si>
    <t>МК.103.20.01</t>
  </si>
  <si>
    <t>МК.216.01.01</t>
  </si>
  <si>
    <t>MK1032001</t>
  </si>
  <si>
    <t>MK2160101</t>
  </si>
  <si>
    <t>MK2162001</t>
  </si>
  <si>
    <t>4640219951227</t>
  </si>
  <si>
    <t>4660041008258</t>
  </si>
  <si>
    <t>4640219951302</t>
  </si>
  <si>
    <t>Тумба Frame c ящиком,с полкой ЛДСП Цемент светл.вельвет,Черн.металл 406х470(h)х304</t>
  </si>
  <si>
    <t>Шкаф в прихожую спальню ЛДСП Цемент светл.вельвет,Черн.металл 1290х2000(h)х374</t>
  </si>
  <si>
    <t>ПШ.142.02</t>
  </si>
  <si>
    <t>ПШ.142.04</t>
  </si>
  <si>
    <t>ПШ.271.14</t>
  </si>
  <si>
    <t>ПШ.271.16</t>
  </si>
  <si>
    <t>ПШ.271.17</t>
  </si>
  <si>
    <t>ПШ.271.18</t>
  </si>
  <si>
    <t>ПШ.271.19</t>
  </si>
  <si>
    <t>ПШ.281.53</t>
  </si>
  <si>
    <t>ПШ.142.05</t>
  </si>
  <si>
    <t>ПШ.280.56</t>
  </si>
  <si>
    <t>ПШ27114</t>
  </si>
  <si>
    <t>ПШ27116</t>
  </si>
  <si>
    <t>ПШ27117</t>
  </si>
  <si>
    <t>ПШ27118</t>
  </si>
  <si>
    <t>ПШ27119</t>
  </si>
  <si>
    <t>ПШ28153</t>
  </si>
  <si>
    <t>ПШ14205</t>
  </si>
  <si>
    <t>ПШ28056</t>
  </si>
  <si>
    <t>М000134</t>
  </si>
  <si>
    <t>03024.20/01</t>
  </si>
  <si>
    <t>03021.20/01</t>
  </si>
  <si>
    <t>03803.20/01</t>
  </si>
  <si>
    <t>03818.20/01</t>
  </si>
  <si>
    <t>03751.08/01</t>
  </si>
  <si>
    <t>03012.20/01</t>
  </si>
  <si>
    <t>03871.01.09/01</t>
  </si>
  <si>
    <t>03769.05/01</t>
  </si>
  <si>
    <t>03769.20/01</t>
  </si>
  <si>
    <t>02608.17/01</t>
  </si>
  <si>
    <t>02608.20/01</t>
  </si>
  <si>
    <t>03018.20/01</t>
  </si>
  <si>
    <t>03782.20/01</t>
  </si>
  <si>
    <t>03877.25Ч/01</t>
  </si>
  <si>
    <t>4660041007992</t>
  </si>
  <si>
    <t>4660041008005</t>
  </si>
  <si>
    <t>4660041009385</t>
  </si>
  <si>
    <t>4660041009408</t>
  </si>
  <si>
    <t>4660041009415</t>
  </si>
  <si>
    <t>4660041009422</t>
  </si>
  <si>
    <t>4660041009439</t>
  </si>
  <si>
    <t>4660041009699</t>
  </si>
  <si>
    <t>4660041009651</t>
  </si>
  <si>
    <t>4640219952156</t>
  </si>
  <si>
    <t>4660041007374</t>
  </si>
  <si>
    <t>4660041007701</t>
  </si>
  <si>
    <t>4660041008784</t>
  </si>
  <si>
    <t>4640219951814</t>
  </si>
  <si>
    <t>4640219951883</t>
  </si>
  <si>
    <t>4640219952316</t>
  </si>
  <si>
    <t>4640219953177</t>
  </si>
  <si>
    <t>4640219951739</t>
  </si>
  <si>
    <t>4640219952743</t>
  </si>
  <si>
    <t>4660041008821</t>
  </si>
  <si>
    <t>4660041007664</t>
  </si>
  <si>
    <t>4660041008432</t>
  </si>
  <si>
    <t>4660041007657</t>
  </si>
  <si>
    <t>4640219958271</t>
  </si>
  <si>
    <t>4640219958318</t>
  </si>
  <si>
    <t>4640219955898</t>
  </si>
  <si>
    <t>4640219958301</t>
  </si>
  <si>
    <t>4640219958325</t>
  </si>
  <si>
    <t>4640219955584</t>
  </si>
  <si>
    <t>4640219955607</t>
  </si>
  <si>
    <t>4660041008203</t>
  </si>
  <si>
    <t>4660041009446</t>
  </si>
  <si>
    <t>4660041009507</t>
  </si>
  <si>
    <t>4660041009873</t>
  </si>
  <si>
    <t>4640219951845</t>
  </si>
  <si>
    <t>4640219952620</t>
  </si>
  <si>
    <t>4640219953153</t>
  </si>
  <si>
    <t>4660041007954</t>
  </si>
  <si>
    <t>4640219956246</t>
  </si>
  <si>
    <t>4640219950565</t>
  </si>
  <si>
    <t>4660041008937</t>
  </si>
  <si>
    <t>4660041007640</t>
  </si>
  <si>
    <t>4640219954525</t>
  </si>
  <si>
    <t>4640219950138</t>
  </si>
  <si>
    <t>4640219950060</t>
  </si>
  <si>
    <t>4640219950077</t>
  </si>
  <si>
    <t>Органайзер ткань Capri №20 Стеллажа Zett 250х250(h)250</t>
  </si>
  <si>
    <t>Органайзер ткань Capri №32 Стеллажа Zett 250х250(h)250</t>
  </si>
  <si>
    <t>Органайзер ткань Capri №42 Стеллажа Zett 250х250(h)250</t>
  </si>
  <si>
    <t>Органайзер ткань Capri №43 Стеллажа Zett 250х250(h)250</t>
  </si>
  <si>
    <t>Органайзер ткань Capri №48 Стеллажа Zett 250х250(h)250</t>
  </si>
  <si>
    <t>Органайзер Спанбонд бежевый Стеллажа Quattro 280х280(h)х280</t>
  </si>
  <si>
    <t xml:space="preserve">Органайзер ткань Capri №30 Комод Capri 6 ящ. 360х190(h)х280 </t>
  </si>
  <si>
    <t xml:space="preserve">Органайзер ткань NEO 2 (Рогожка) Стеллажа Hardy 550х270(h)х210 </t>
  </si>
  <si>
    <t>Диван еврокнижка Рокфорд Vivaldi №25</t>
  </si>
  <si>
    <t>Комод City 5 ящиков Цемент светлый вельвет 400х1059(h)х354</t>
  </si>
  <si>
    <t>Комод City 3 ящика Цемент светлый вельвет 700х675(h)х354</t>
  </si>
  <si>
    <t>Шкаф-комод Ультра Push 2х дверный ЛДСП 18 Белая гладкая 602х701(h)х290</t>
  </si>
  <si>
    <t>Комод City Lite 2х дверный с ящиком Цемент светлый вельвет 700х734(h)х334</t>
  </si>
  <si>
    <t>Шкаф комод Николь универсальный Цемент светлый вельвет 1248х1021(h)х474</t>
  </si>
  <si>
    <t>Комод City New универсальный Ателье светлое 1402х1083(h)х394</t>
  </si>
  <si>
    <t>Комод City 4 ящика Цемент светлый вельвет 700х867х354</t>
  </si>
  <si>
    <t>Комод Boston 4 ящ. Белое тисн./Дуб вотан 380х1032(h)х404</t>
  </si>
  <si>
    <t>Шкаф комод для обуви Мальта 2х дверный Белое тиснение  500х780(h)х304</t>
  </si>
  <si>
    <t>Шкаф комод для обуви Мальта 2х дверный Дуб Крафт Белый 500х780(h)х304</t>
  </si>
  <si>
    <t>Обувница Сити с вырезами 4 секции подвесная Дуб Вотан/Серый Графит 962х802(h)х170</t>
  </si>
  <si>
    <t>Шкаф комод для обуви Мальта 2х дверный Дуб Крафт золотой 500х780(h)х304</t>
  </si>
  <si>
    <t>Шкаф комод для обуви Мальта 2х дверный Цемент светлый молет 500х780(h)х304</t>
  </si>
  <si>
    <t>Полка книжная Ультра Белая гладкая 1150х520(h)х200</t>
  </si>
  <si>
    <t>Полка книжная Ультра Цемент светлый вельвет 1150х520(h)х200</t>
  </si>
  <si>
    <t>Стеллаж Hardy Лайт 2 с дверками на ножках Белое тиснен. 602х1930(h)х260</t>
  </si>
  <si>
    <t>Стеллаж Hardy Лайт 2 на ножках Белое тиснен. 602х1930(h)х244</t>
  </si>
  <si>
    <t>Cтеллаж угловой в детскую для игрушек Дуб Вотан 580х814(h)х580</t>
  </si>
  <si>
    <t>Стеллаж Quattro 8 секций Цемент светлый вельвет 706х1396(h)х280</t>
  </si>
  <si>
    <t xml:space="preserve">Стеллаж Hardy Лайт New с дверками Цемент светлый вельвет 602х2006(h)х420    </t>
  </si>
  <si>
    <t>Стол универсальный Tokyо Цемент темный молет Чёрная Кромка 780х900(h)х504</t>
  </si>
  <si>
    <t>Стол рабочий Ultra комбинированный/Левое исполнение Дуб Вотан/Антрацит 1201х754(h)х450</t>
  </si>
  <si>
    <t>Стол обеденный Nicole раскладной ЛДСП Дуб Вотан/Белое тиснение 1002/280х754(h)х760</t>
  </si>
  <si>
    <t>Тумба Ultra Lite 3 ящика на колесах Белое теснение 400х576(h)х334</t>
  </si>
  <si>
    <t>Органайзер Спанбонд черный Стеллажа Hardy Лайт 2  550х270(h)х210</t>
  </si>
  <si>
    <t>Тумба под ТВ Neoletta универсальная 2ящ. Белое тиснен./Дуб Вотан</t>
  </si>
  <si>
    <t>Стол письменный Neoletta с ящиком Белое тисн./Дуб Вотан</t>
  </si>
  <si>
    <t>Шкаф стеллаж Neoletta 2х дверн. Низкий Белое тиснен./Дуб Вотан</t>
  </si>
  <si>
    <t>Обувница Neoletta 2 секции Белое тиснен./Дуб Вотан</t>
  </si>
  <si>
    <t>Обувница Ultra вертикальная универсальная 2 секции ЛДСП Дуб Вотан/Антрацит</t>
  </si>
  <si>
    <t>Обувница Neoletta 3 секции Белое тиснен./Дуб Вотан</t>
  </si>
  <si>
    <t>Комод Neoletta 6 ящиков Белое тиснен./Дуб Вотан</t>
  </si>
  <si>
    <t xml:space="preserve">Комод стеллаж Neoletta 3х дверн. Белое тиснен./Дуб Вотан </t>
  </si>
  <si>
    <t>Шкаф в прихожую спальню ЛДСП Дуб Вотан, Черн. металл.</t>
  </si>
  <si>
    <t>3024.20/01</t>
  </si>
  <si>
    <t>3021.20/01</t>
  </si>
  <si>
    <t>3803.20/01</t>
  </si>
  <si>
    <t>3818.20/01</t>
  </si>
  <si>
    <t>3012.20/01</t>
  </si>
  <si>
    <t>3751.08/01</t>
  </si>
  <si>
    <t>3769.06/01</t>
  </si>
  <si>
    <t>3871.01.09/01</t>
  </si>
  <si>
    <t>3769.05/01</t>
  </si>
  <si>
    <t>3769.20/01</t>
  </si>
  <si>
    <t>2608.17/01</t>
  </si>
  <si>
    <t>2608.20/01</t>
  </si>
  <si>
    <t>3018.20/01</t>
  </si>
  <si>
    <t>3782.20/01</t>
  </si>
  <si>
    <t>3877.25Ч/01</t>
  </si>
  <si>
    <t>ПШ35650</t>
  </si>
  <si>
    <t>ПШ35651</t>
  </si>
  <si>
    <t>ПШ35653</t>
  </si>
  <si>
    <t>ПШ35753</t>
  </si>
  <si>
    <t>ПШ35751</t>
  </si>
  <si>
    <t>ПШ35750</t>
  </si>
  <si>
    <t>ПШ27975</t>
  </si>
  <si>
    <t>ПШ27954</t>
  </si>
  <si>
    <t>ПШ27976</t>
  </si>
  <si>
    <t>ПШ27154</t>
  </si>
  <si>
    <t>MK2412501</t>
  </si>
  <si>
    <t>MK1340201</t>
  </si>
  <si>
    <t>4620263150524</t>
  </si>
  <si>
    <t>4620263150517</t>
  </si>
  <si>
    <t>4620263150531</t>
  </si>
  <si>
    <t>4620263150562</t>
  </si>
  <si>
    <t>4620263150548</t>
  </si>
  <si>
    <t>4620263150555</t>
  </si>
  <si>
    <t>4620263151316</t>
  </si>
  <si>
    <t>4640219952071</t>
  </si>
  <si>
    <t>4640219951982</t>
  </si>
  <si>
    <t>4640219956499</t>
  </si>
  <si>
    <t>4660041006629</t>
  </si>
  <si>
    <t>4640219959032</t>
  </si>
  <si>
    <t>4620263150821</t>
  </si>
  <si>
    <t>Стол рабочий Tokyo ЛДСП Белое тиснение, Черн. металл. 900х750(h)х450</t>
  </si>
  <si>
    <t>3807.20/01</t>
  </si>
  <si>
    <t>Шкаф 3х дверн. комбинированный City Plus Цемент светлый молет 1050х1996(h)х474</t>
  </si>
  <si>
    <t>3714.06/02</t>
  </si>
  <si>
    <t>Комод Рокки 3 ящика Белая гладкая/Дуб Крафт Золотой 878х858(h)х398</t>
  </si>
  <si>
    <t>4151.17.05/01</t>
  </si>
  <si>
    <t>3714.01.25/02</t>
  </si>
  <si>
    <t>Шкаф Норд 2х дверный с ящиками Дуб Вотан/Цемент темный молет</t>
  </si>
  <si>
    <t>Модульная система "Денвер" шкаф двухстворчатый с ящиками Графит серый</t>
  </si>
  <si>
    <t>4620263150739</t>
  </si>
  <si>
    <t>04151.17.05/01</t>
  </si>
  <si>
    <t>Комплект органайзеров 2шт для Стеллажа Hardy Лайт 2 Спанбонд черный 550х270(h)х210</t>
  </si>
  <si>
    <t>Комплект органайзеров 2шт для Стеллажа Hardy Лайт 2 Спанбонд серый 550х270(h)х210</t>
  </si>
  <si>
    <t>Комплект органайзеров 2шт для Стеллажа Hardy Лайт 2 Спанбонд бежевый 550х270(h)х210</t>
  </si>
  <si>
    <t>Комплект органайзеров 2шт для Стеллажа Quattro Спанбонд бежевый 280х280(h)х280</t>
  </si>
  <si>
    <t>Комплект органайзеров 2шт для Стеллажа Quattro Спанбонд черный 280х280(h)х280</t>
  </si>
  <si>
    <t>Комплект органайзеров 2шт для Стеллажа Quattro Спанбонд серый 280х280(h)х280</t>
  </si>
  <si>
    <t>Органайзер ткань мебельная оранжевая Стеллажа Zett 500х250(h)х210</t>
  </si>
  <si>
    <t>Органайзер ткань мебельная Tony 1 Стеллажа Zett 500х250(h)х210</t>
  </si>
  <si>
    <t>Органайзер ткань мебельная Tony 1 Стеллажа Zett 250х250(h)х250</t>
  </si>
  <si>
    <t>Стеллаж этажерка Tokyo Lite ЛДСП Цемент темный молет, Черн.металл. 580х1508(h)х320</t>
  </si>
  <si>
    <t>3537.20/02</t>
  </si>
  <si>
    <t>3537.09/02</t>
  </si>
  <si>
    <t>Прихожая Астерия Цемент Светлый Вельвет 1200х2045х354 (всегда + арт. 3536.20/01)</t>
  </si>
  <si>
    <t>Прихожая Астерия Серый графит (всегда + арт 3536.09/01)</t>
  </si>
  <si>
    <t>4640219955386</t>
  </si>
  <si>
    <t>4640219955454</t>
  </si>
  <si>
    <t>4640219950466</t>
  </si>
  <si>
    <t>4660041008111</t>
  </si>
  <si>
    <t>Шкаф 2х дверн. комбинированный City Белое тиснение</t>
  </si>
  <si>
    <t>4640219959322</t>
  </si>
  <si>
    <t>4660041009897</t>
  </si>
  <si>
    <t>4660041000917</t>
  </si>
  <si>
    <t>4660041002928</t>
  </si>
  <si>
    <t>4660041002935</t>
  </si>
  <si>
    <t>4660041000832</t>
  </si>
  <si>
    <t>Стол рабочий угловой Malta Plus Белое тиснен.</t>
  </si>
  <si>
    <t>4660041008036</t>
  </si>
  <si>
    <t>4660041007220</t>
  </si>
  <si>
    <t>4640219953979</t>
  </si>
  <si>
    <t>4660041008227</t>
  </si>
  <si>
    <t>Стеллаж угловой в детскую для игрушек Белое тиснен.</t>
  </si>
  <si>
    <t>4660041009620</t>
  </si>
  <si>
    <t>4660041009637</t>
  </si>
  <si>
    <t>4660041009644</t>
  </si>
  <si>
    <t>Стеллаж Zett с органайзером Белое тиснение/Ткань Capri №42 730х1757(h)х250</t>
  </si>
  <si>
    <t>Стеллаж Zett с органайзером Белое тиснение/Ткань Capri №43 730х1757(h)х250</t>
  </si>
  <si>
    <t>Стеллаж Zett с органайзером Белое тиснение/Ткань Capri №48 730х1757(h)х250</t>
  </si>
  <si>
    <t>04013.02.03/01</t>
  </si>
  <si>
    <t>4660041002027</t>
  </si>
  <si>
    <t>4660041002010</t>
  </si>
  <si>
    <t>4660041002003</t>
  </si>
  <si>
    <t>4660041001983</t>
  </si>
  <si>
    <t>L3210</t>
  </si>
  <si>
    <t>L3211</t>
  </si>
  <si>
    <t>LMK2340101</t>
  </si>
  <si>
    <t>MK167010121</t>
  </si>
  <si>
    <t>Шкаф 3 дверн. City Plus Дуб Крафт золотой (всегда + арт 3808.05/02)</t>
  </si>
  <si>
    <t>Шкаф 3 дверн. City Plus Дуб Крафт золотой</t>
  </si>
  <si>
    <t>3807.05/01</t>
  </si>
  <si>
    <t>3808.05/02</t>
  </si>
  <si>
    <t>4640219958974</t>
  </si>
  <si>
    <t>2038652533018</t>
  </si>
  <si>
    <t>Комод City 3 ящика ЛДСП 18 Белая гладкая 700х675х354</t>
  </si>
  <si>
    <t>4640219951678</t>
  </si>
  <si>
    <t>ПШ.271.15</t>
  </si>
  <si>
    <t>ПШ.142.13</t>
  </si>
  <si>
    <t>ПШ.271.58</t>
  </si>
  <si>
    <t>ПШ27115</t>
  </si>
  <si>
    <t>ПШ14213</t>
  </si>
  <si>
    <t>ПШ27158</t>
  </si>
  <si>
    <t>4660041001990</t>
  </si>
  <si>
    <t>4660041001945</t>
  </si>
  <si>
    <t>4660041001952</t>
  </si>
  <si>
    <t>4660041001969</t>
  </si>
  <si>
    <t>4660041001976</t>
  </si>
  <si>
    <t>4660041001938</t>
  </si>
  <si>
    <t>4660041009392</t>
  </si>
  <si>
    <t>4660041009828</t>
  </si>
  <si>
    <t>4640219951944</t>
  </si>
  <si>
    <t>4660041001167</t>
  </si>
  <si>
    <t>4660041000757</t>
  </si>
  <si>
    <t>4660041000771</t>
  </si>
  <si>
    <t>4660041000719</t>
  </si>
  <si>
    <t>4660041001020</t>
  </si>
  <si>
    <t>4660041000788</t>
  </si>
  <si>
    <t>4660041002300</t>
  </si>
  <si>
    <t>4660041002317</t>
  </si>
  <si>
    <t>4660041002478</t>
  </si>
  <si>
    <t>4660041002485</t>
  </si>
  <si>
    <t>4660041002492</t>
  </si>
  <si>
    <t>4660041002508</t>
  </si>
  <si>
    <t>4660041003635</t>
  </si>
  <si>
    <t>4660041000818</t>
  </si>
  <si>
    <t>4660041003482</t>
  </si>
  <si>
    <t>4660041002942</t>
  </si>
  <si>
    <t>ПШ.271.51</t>
  </si>
  <si>
    <t>Органайзер ткань Capri №25 Стеллажа Zett 250х250(h)250</t>
  </si>
  <si>
    <t xml:space="preserve">Органайзер ткань Capri №18 Комод Capri 6 ящ. 360х190(h)х280 </t>
  </si>
  <si>
    <t>Полка угловая навесная Бодега темн. 250х1388х250</t>
  </si>
  <si>
    <t>Стол письменный Рейн на 800 Бодега темн</t>
  </si>
  <si>
    <t>LMK2342501</t>
  </si>
  <si>
    <t>LMK2330101</t>
  </si>
  <si>
    <t>L4014.02.03/01</t>
  </si>
  <si>
    <t>L4151.17.05/01</t>
  </si>
  <si>
    <t>03750.01/01</t>
  </si>
  <si>
    <t>03750.09/01</t>
  </si>
  <si>
    <t>03750.03/01</t>
  </si>
  <si>
    <t>4640219955409</t>
  </si>
  <si>
    <t>03890.09/01</t>
  </si>
  <si>
    <t>MK1130101</t>
  </si>
  <si>
    <t>Стол письмен. Frame с ящ.. с полкой ЛДСП Дуб Вотан, Черн.металл.</t>
  </si>
  <si>
    <t>4660041007817</t>
  </si>
  <si>
    <t>Е3770</t>
  </si>
  <si>
    <t>Е3770.03/01</t>
  </si>
  <si>
    <t>Е3770.06/01</t>
  </si>
  <si>
    <t>Е3770.09/01</t>
  </si>
  <si>
    <t>Е3770.12/01</t>
  </si>
  <si>
    <t>Е3770.05Ч/01</t>
  </si>
  <si>
    <t>03751.03/01</t>
  </si>
  <si>
    <t>03175.01.07/01</t>
  </si>
  <si>
    <t>МК.00028</t>
  </si>
  <si>
    <t>МК.106.01.01</t>
  </si>
  <si>
    <t>МК.00047</t>
  </si>
  <si>
    <t>МК.130.01.01.01</t>
  </si>
  <si>
    <t>03767.05/01</t>
  </si>
  <si>
    <t>03767.06/01</t>
  </si>
  <si>
    <t>03767.17/01</t>
  </si>
  <si>
    <t>03767.20/01</t>
  </si>
  <si>
    <t>03357.20/01</t>
  </si>
  <si>
    <t>03789.17/01</t>
  </si>
  <si>
    <t>02608.01/01</t>
  </si>
  <si>
    <t>03061.08/01</t>
  </si>
  <si>
    <t>МК.110.01.01</t>
  </si>
  <si>
    <t>МК.00010</t>
  </si>
  <si>
    <t>МК.109.02.01</t>
  </si>
  <si>
    <t>МК.140.01.01</t>
  </si>
  <si>
    <t>МК.160.01.01</t>
  </si>
  <si>
    <t>МК.141.01.01</t>
  </si>
  <si>
    <t>МК.00002</t>
  </si>
  <si>
    <t>МК.204.01.01</t>
  </si>
  <si>
    <t>03810.05/01</t>
  </si>
  <si>
    <t>03810.06/01</t>
  </si>
  <si>
    <t>03810.09/01</t>
  </si>
  <si>
    <t>03810.20/01</t>
  </si>
  <si>
    <t>03709.05/01</t>
  </si>
  <si>
    <t>03708.05/01</t>
  </si>
  <si>
    <t>03898.05/01</t>
  </si>
  <si>
    <t>03898.09/01</t>
  </si>
  <si>
    <t>03898.17/01</t>
  </si>
  <si>
    <t>03385.12/01</t>
  </si>
  <si>
    <t>03756.05/01</t>
  </si>
  <si>
    <t>03756.06/01</t>
  </si>
  <si>
    <t>03756.09/01</t>
  </si>
  <si>
    <t>03756.20/01</t>
  </si>
  <si>
    <t>03711.05/01</t>
  </si>
  <si>
    <t>03774.05/01</t>
  </si>
  <si>
    <t>03774.09/01</t>
  </si>
  <si>
    <t>03897.05/01</t>
  </si>
  <si>
    <t>03897.09/01</t>
  </si>
  <si>
    <t>03897.17/01</t>
  </si>
  <si>
    <t>МК.265.01.01</t>
  </si>
  <si>
    <t>03793.17/01</t>
  </si>
  <si>
    <t>03770.03/01</t>
  </si>
  <si>
    <t>03770.12/01</t>
  </si>
  <si>
    <t>03804.17/01</t>
  </si>
  <si>
    <t>МК.197.01.01</t>
  </si>
  <si>
    <t>03757.05.09/01</t>
  </si>
  <si>
    <t>МК.263.01.01</t>
  </si>
  <si>
    <t>03749.06/01</t>
  </si>
  <si>
    <t>МК.134.01.01</t>
  </si>
  <si>
    <t>МК.00026</t>
  </si>
  <si>
    <t>МК.133.01.01</t>
  </si>
  <si>
    <t>МК.162.07.01</t>
  </si>
  <si>
    <t>МК.00036</t>
  </si>
  <si>
    <t>03761.01/01</t>
  </si>
  <si>
    <t>03871.17.08/01</t>
  </si>
  <si>
    <t>МК.112.06.02</t>
  </si>
  <si>
    <t>ПШ.280.51</t>
  </si>
  <si>
    <t>ПШ28061</t>
  </si>
  <si>
    <t>ПШ.281.02</t>
  </si>
  <si>
    <t>ПШ.356.50</t>
  </si>
  <si>
    <t>ПШ.356.51</t>
  </si>
  <si>
    <t>ПШ.356.53</t>
  </si>
  <si>
    <t>ПШ.357.53</t>
  </si>
  <si>
    <t>ПШ.357.51</t>
  </si>
  <si>
    <t>ПШ.357.50</t>
  </si>
  <si>
    <t>ПШ.279.75</t>
  </si>
  <si>
    <t>ПШ.279.54</t>
  </si>
  <si>
    <t>ПШ.271.54</t>
  </si>
  <si>
    <t>3963.17/01</t>
  </si>
  <si>
    <t>Полка навесная Шварцвальд Белая гладкая 1100х300(h)х220</t>
  </si>
  <si>
    <t>03963.17/01</t>
  </si>
  <si>
    <t>Комод City New универсальный Цемент темный молет 1402*1083*394</t>
  </si>
  <si>
    <t>Прихожая Астерия Белое гладкое 1200х2045х354 (всегда + арт. 3836)</t>
  </si>
  <si>
    <t>Прихожая Астерия Белое гладкое 1200х2045х354</t>
  </si>
  <si>
    <t>4620263151309</t>
  </si>
  <si>
    <t>ПШ27974</t>
  </si>
  <si>
    <t>ПШ28075</t>
  </si>
  <si>
    <t>ПШ.279.74</t>
  </si>
  <si>
    <t>ПШ.280.75</t>
  </si>
  <si>
    <t>4620263151347</t>
  </si>
  <si>
    <t>Органайзер Ткань мебельная светло-коричневая Стеллажа Quattro 280х280(h)х280</t>
  </si>
  <si>
    <t>Органайзер ткань NEO 8 (Рогожка) Стеллажа Zett 250х250(h)х250</t>
  </si>
  <si>
    <t>Органайзер ткань мебельная зеленая Стеллажа Zett 500х250(h)х210</t>
  </si>
  <si>
    <t>Органайзер ткань мебельная оранжевая Стеллажа Hardy Лайт 2 550х270(h)х210</t>
  </si>
  <si>
    <t>ПШ275</t>
  </si>
  <si>
    <t>ПШ.275</t>
  </si>
  <si>
    <t>Марля нестерильная 900х3000</t>
  </si>
  <si>
    <t>4660041008999</t>
  </si>
  <si>
    <t>4660041002515</t>
  </si>
  <si>
    <t>03769.06/01</t>
  </si>
  <si>
    <t>03807.20/01</t>
  </si>
  <si>
    <t>МК.105.01.01</t>
  </si>
  <si>
    <t>МК.112.02.01</t>
  </si>
  <si>
    <t>МК.134.02.01</t>
  </si>
  <si>
    <t>МК.158.02.01</t>
  </si>
  <si>
    <t>МК.185.01.01</t>
  </si>
  <si>
    <t>МК.191.01.01</t>
  </si>
  <si>
    <t>МК.191.06.01</t>
  </si>
  <si>
    <t>МК.191.25.01</t>
  </si>
  <si>
    <t>МК.201.01.01</t>
  </si>
  <si>
    <t>МК.201.20.01</t>
  </si>
  <si>
    <t>МК.215.01.01</t>
  </si>
  <si>
    <t>МК.218.01.01</t>
  </si>
  <si>
    <t>МК.222.01.01</t>
  </si>
  <si>
    <t>МК.241.01.01</t>
  </si>
  <si>
    <t>МК.242.01.01</t>
  </si>
  <si>
    <t>МК.105.02.01</t>
  </si>
  <si>
    <t>МК.242/18.21.01</t>
  </si>
  <si>
    <t>03751.05/01</t>
  </si>
  <si>
    <t>03751.09/01</t>
  </si>
  <si>
    <t>04152.17.05/01</t>
  </si>
  <si>
    <t>02953.20/01</t>
  </si>
  <si>
    <t>03536.09/01</t>
  </si>
  <si>
    <t>03536.20/01</t>
  </si>
  <si>
    <t>03537.20/02</t>
  </si>
  <si>
    <t>03537.09/02</t>
  </si>
  <si>
    <t>03934.17/01</t>
  </si>
  <si>
    <t>04155.17.05/01</t>
  </si>
  <si>
    <t>МК.00018</t>
  </si>
  <si>
    <t>МК.233.01.01</t>
  </si>
  <si>
    <t>МК.234.25.01</t>
  </si>
  <si>
    <t>МК.234.01.01</t>
  </si>
  <si>
    <t>МК.122.00.01.30</t>
  </si>
  <si>
    <t>04156.17.05/01</t>
  </si>
  <si>
    <t>03918.06/01</t>
  </si>
  <si>
    <t>03919.05/01</t>
  </si>
  <si>
    <t>03920.07/01</t>
  </si>
  <si>
    <t>МК.103.02.01</t>
  </si>
  <si>
    <t>03556.01.09/01</t>
  </si>
  <si>
    <t>03943.01/02</t>
  </si>
  <si>
    <t>03942.01.09/01</t>
  </si>
  <si>
    <t>03713.01.25/01</t>
  </si>
  <si>
    <t>03714.01.25/02</t>
  </si>
  <si>
    <t>03713.06/01</t>
  </si>
  <si>
    <t>03714.06/02</t>
  </si>
  <si>
    <t>03867.25/01</t>
  </si>
  <si>
    <t>03925.17/01</t>
  </si>
  <si>
    <t>МК.167.01.01.21</t>
  </si>
  <si>
    <t>МК.112.04.01</t>
  </si>
  <si>
    <t>МК.193.01.01</t>
  </si>
  <si>
    <t>МК.250.20.01</t>
  </si>
  <si>
    <t>ПШ.280.61</t>
  </si>
  <si>
    <t>4640219952583</t>
  </si>
  <si>
    <t>4640219953443</t>
  </si>
  <si>
    <t>4660041007633</t>
  </si>
  <si>
    <t>4640219958622</t>
  </si>
  <si>
    <t>4640219950084</t>
  </si>
  <si>
    <t>4660041008135</t>
  </si>
  <si>
    <t>Комод Frame 2 ящика с полками ЛДСП Цемент темный молет, Черн. металл. 754*774*282</t>
  </si>
  <si>
    <t>MK000182501</t>
  </si>
  <si>
    <t>2521897952400</t>
  </si>
  <si>
    <t>2521897952528</t>
  </si>
  <si>
    <t>2521897952530</t>
  </si>
  <si>
    <t>2521897952567</t>
  </si>
  <si>
    <t>2521897952568</t>
  </si>
  <si>
    <t>2521897952569</t>
  </si>
  <si>
    <t>2521897953028</t>
  </si>
  <si>
    <t>2521897953029</t>
  </si>
  <si>
    <t>2521897953030</t>
  </si>
  <si>
    <t>2521897953031</t>
  </si>
  <si>
    <t>2521897953057</t>
  </si>
  <si>
    <t>2521897952732</t>
  </si>
  <si>
    <t>2521897952762</t>
  </si>
  <si>
    <t>2521897952763</t>
  </si>
  <si>
    <t>2521897952764</t>
  </si>
  <si>
    <t>2521897952766</t>
  </si>
  <si>
    <t>2521897952765</t>
  </si>
  <si>
    <t>2521897952706</t>
  </si>
  <si>
    <t>2521897952707</t>
  </si>
  <si>
    <t>2521897952708</t>
  </si>
  <si>
    <t>2521897952715</t>
  </si>
  <si>
    <t>2521897952716</t>
  </si>
  <si>
    <t>2521897953163</t>
  </si>
  <si>
    <t>2521897952950</t>
  </si>
  <si>
    <t>2521897953105</t>
  </si>
  <si>
    <t>2521897953058</t>
  </si>
  <si>
    <t>2521897953059</t>
  </si>
  <si>
    <t>2521897953164</t>
  </si>
  <si>
    <t>2521897953177</t>
  </si>
  <si>
    <t>2520000004215</t>
  </si>
  <si>
    <t>2520897922342</t>
  </si>
  <si>
    <t>2520000002218</t>
  </si>
  <si>
    <t>2520000000558</t>
  </si>
  <si>
    <t>2520000000565</t>
  </si>
  <si>
    <t>2520000000572</t>
  </si>
  <si>
    <t>2521897952487</t>
  </si>
  <si>
    <t>2521897952943</t>
  </si>
  <si>
    <t>2521897953112</t>
  </si>
  <si>
    <t>2521897953113</t>
  </si>
  <si>
    <t>2521897953114</t>
  </si>
  <si>
    <t>2521897953011</t>
  </si>
  <si>
    <t>2521897953060</t>
  </si>
  <si>
    <t>2521897953061</t>
  </si>
  <si>
    <t>2521897953062</t>
  </si>
  <si>
    <t>2521897953003</t>
  </si>
  <si>
    <t>2521897953004</t>
  </si>
  <si>
    <t>2521897953005</t>
  </si>
  <si>
    <t>2521897953006</t>
  </si>
  <si>
    <t>2521897952999</t>
  </si>
  <si>
    <t>2521897952978</t>
  </si>
  <si>
    <t>2521897953190</t>
  </si>
  <si>
    <t>2521897953192</t>
  </si>
  <si>
    <t>2521897953193</t>
  </si>
  <si>
    <t>2521897953194</t>
  </si>
  <si>
    <t>2521897952982</t>
  </si>
  <si>
    <t>2521897953183</t>
  </si>
  <si>
    <t>2521897953185</t>
  </si>
  <si>
    <t>2521897953186</t>
  </si>
  <si>
    <t>2521897953187</t>
  </si>
  <si>
    <t>2521897953130</t>
  </si>
  <si>
    <t>2521897953131</t>
  </si>
  <si>
    <t>2521897953132</t>
  </si>
  <si>
    <t>2521897953092</t>
  </si>
  <si>
    <t>2521897953091</t>
  </si>
  <si>
    <t>2521897953090</t>
  </si>
  <si>
    <t>2521897953121</t>
  </si>
  <si>
    <t>2521897953122</t>
  </si>
  <si>
    <t>2521897953123</t>
  </si>
  <si>
    <t>2521897953329</t>
  </si>
  <si>
    <t>2521897953331</t>
  </si>
  <si>
    <t>2521897952565</t>
  </si>
  <si>
    <t>2521897952574</t>
  </si>
  <si>
    <t>2521897952735</t>
  </si>
  <si>
    <t>2521897952736</t>
  </si>
  <si>
    <t>2521897953427</t>
  </si>
  <si>
    <t>2521897953359</t>
  </si>
  <si>
    <t>2521897953360</t>
  </si>
  <si>
    <t>2521897953352</t>
  </si>
  <si>
    <t>2520897922361</t>
  </si>
  <si>
    <t>2520897922362</t>
  </si>
  <si>
    <t>2520897927254</t>
  </si>
  <si>
    <t>2520000008315</t>
  </si>
  <si>
    <t>2520000001215</t>
  </si>
  <si>
    <t>2520897922295</t>
  </si>
  <si>
    <t>2520897927299</t>
  </si>
  <si>
    <t>2520897927300</t>
  </si>
  <si>
    <t>2520897927301</t>
  </si>
  <si>
    <t>2521897952411</t>
  </si>
  <si>
    <t>2521897952412</t>
  </si>
  <si>
    <t>2521897952709</t>
  </si>
  <si>
    <t>2521897952710</t>
  </si>
  <si>
    <t>2521897952844</t>
  </si>
  <si>
    <t>2521897952845</t>
  </si>
  <si>
    <t>2521897952952</t>
  </si>
  <si>
    <t>2521897952953</t>
  </si>
  <si>
    <t>2521897952879</t>
  </si>
  <si>
    <t>2521897952880</t>
  </si>
  <si>
    <t>2521897953048</t>
  </si>
  <si>
    <t>2521897953049</t>
  </si>
  <si>
    <t>2521897953050</t>
  </si>
  <si>
    <t>2521897953051</t>
  </si>
  <si>
    <t>2521897953089</t>
  </si>
  <si>
    <t>2521897953052</t>
  </si>
  <si>
    <t>2521897953053</t>
  </si>
  <si>
    <t>2521897953101</t>
  </si>
  <si>
    <t>2521897953102</t>
  </si>
  <si>
    <t>2521897953104</t>
  </si>
  <si>
    <t>2521897953218</t>
  </si>
  <si>
    <t>2521897953253</t>
  </si>
  <si>
    <t>2521897953308</t>
  </si>
  <si>
    <t>2521897953309</t>
  </si>
  <si>
    <t>2521897953489</t>
  </si>
  <si>
    <t>2521897953522</t>
  </si>
  <si>
    <t>2521897953228</t>
  </si>
  <si>
    <t>2521897953230</t>
  </si>
  <si>
    <t>2521897953336</t>
  </si>
  <si>
    <t>2521897953233</t>
  </si>
  <si>
    <t>2521897953234</t>
  </si>
  <si>
    <t>2521897953229</t>
  </si>
  <si>
    <t>2521897953231</t>
  </si>
  <si>
    <t>2521897953342</t>
  </si>
  <si>
    <t>2521897953318</t>
  </si>
  <si>
    <t>2521897953357</t>
  </si>
  <si>
    <t>2521897953366</t>
  </si>
  <si>
    <t>2521897953368</t>
  </si>
  <si>
    <t>2521897953435</t>
  </si>
  <si>
    <t>2521897953330</t>
  </si>
  <si>
    <t>2521897953232</t>
  </si>
  <si>
    <t>2521897953459</t>
  </si>
  <si>
    <t>2521897953460</t>
  </si>
  <si>
    <t>2521897953478</t>
  </si>
  <si>
    <t>2521897953448</t>
  </si>
  <si>
    <t>2521897953495</t>
  </si>
  <si>
    <t>2521897953494</t>
  </si>
  <si>
    <t>2521897953514</t>
  </si>
  <si>
    <t>2521897952986</t>
  </si>
  <si>
    <t>2521897952987</t>
  </si>
  <si>
    <t>2521897952988</t>
  </si>
  <si>
    <t>2521897952989</t>
  </si>
  <si>
    <t>2521897952990</t>
  </si>
  <si>
    <t>2521897952991</t>
  </si>
  <si>
    <t>2521897953202</t>
  </si>
  <si>
    <t>2521897953203</t>
  </si>
  <si>
    <t>2521897953204</t>
  </si>
  <si>
    <t>2520000001515</t>
  </si>
  <si>
    <t>2520000001519</t>
  </si>
  <si>
    <t>2520000001525</t>
  </si>
  <si>
    <t>2521897953180</t>
  </si>
  <si>
    <t>2520000002091</t>
  </si>
  <si>
    <t>2520000001489</t>
  </si>
  <si>
    <t>2520000001463</t>
  </si>
  <si>
    <t>2520000001470</t>
  </si>
  <si>
    <t>2520000001432</t>
  </si>
  <si>
    <t>2520000002138</t>
  </si>
  <si>
    <t>2520000002145</t>
  </si>
  <si>
    <t>2520000002152</t>
  </si>
  <si>
    <t>2521897952522</t>
  </si>
  <si>
    <t>2521897952523</t>
  </si>
  <si>
    <t>2520000001401</t>
  </si>
  <si>
    <t>2520000001456</t>
  </si>
  <si>
    <t>2521897952518</t>
  </si>
  <si>
    <t>2521897952612</t>
  </si>
  <si>
    <t>2521897952636</t>
  </si>
  <si>
    <t>2521897952663</t>
  </si>
  <si>
    <t>2521897952755</t>
  </si>
  <si>
    <t>2521897952664</t>
  </si>
  <si>
    <t>2521897952911</t>
  </si>
  <si>
    <t>2521897952912</t>
  </si>
  <si>
    <t>2521897952913</t>
  </si>
  <si>
    <t>2521897953023</t>
  </si>
  <si>
    <t>2521897953024</t>
  </si>
  <si>
    <t>2521897953072</t>
  </si>
  <si>
    <t>2521897953073</t>
  </si>
  <si>
    <t>2521897953074</t>
  </si>
  <si>
    <t>2521897953063</t>
  </si>
  <si>
    <t>2521897953064</t>
  </si>
  <si>
    <t>2521897953065</t>
  </si>
  <si>
    <t>2521897953066</t>
  </si>
  <si>
    <t>2521897953067</t>
  </si>
  <si>
    <t>2521897953068</t>
  </si>
  <si>
    <t>2521897953069</t>
  </si>
  <si>
    <t>2521897953071</t>
  </si>
  <si>
    <t>2521897952910</t>
  </si>
  <si>
    <t>2521897953240</t>
  </si>
  <si>
    <t>2521897953241</t>
  </si>
  <si>
    <t>2521897953242</t>
  </si>
  <si>
    <t>2521897953243</t>
  </si>
  <si>
    <t>2521897953244</t>
  </si>
  <si>
    <t>2521897953221</t>
  </si>
  <si>
    <t>2521897953222</t>
  </si>
  <si>
    <t>2521897953252</t>
  </si>
  <si>
    <t>2521897953220</t>
  </si>
  <si>
    <t>2521897953349</t>
  </si>
  <si>
    <t>2521897953351</t>
  </si>
  <si>
    <t>2521897953350</t>
  </si>
  <si>
    <t>2521897953413</t>
  </si>
  <si>
    <t>2520000001517</t>
  </si>
  <si>
    <t>2521897953335</t>
  </si>
  <si>
    <t>2520000001524</t>
  </si>
  <si>
    <t>2520000001531</t>
  </si>
  <si>
    <t>2520000002169</t>
  </si>
  <si>
    <t>2520000002176</t>
  </si>
  <si>
    <t>2520000002183</t>
  </si>
  <si>
    <t>2520000001616</t>
  </si>
  <si>
    <t>2520000001630</t>
  </si>
  <si>
    <t>2520000001647</t>
  </si>
  <si>
    <t>2520897922317</t>
  </si>
  <si>
    <t>2521897952782</t>
  </si>
  <si>
    <t>2521897952783</t>
  </si>
  <si>
    <t>2521897952784</t>
  </si>
  <si>
    <t>2521897952791</t>
  </si>
  <si>
    <t>2521897952921</t>
  </si>
  <si>
    <t>2521897952922</t>
  </si>
  <si>
    <t>2521897952745</t>
  </si>
  <si>
    <t>2521897952643</t>
  </si>
  <si>
    <t>2521897952660</t>
  </si>
  <si>
    <t>2521897952843</t>
  </si>
  <si>
    <t>2521897952958</t>
  </si>
  <si>
    <t>2521897953519</t>
  </si>
  <si>
    <t>2520000002159</t>
  </si>
  <si>
    <t>2520897927259</t>
  </si>
  <si>
    <t>2521897952401</t>
  </si>
  <si>
    <t>2521897952390</t>
  </si>
  <si>
    <t>2521897953039</t>
  </si>
  <si>
    <t>2520000000251</t>
  </si>
  <si>
    <t>2520000000268</t>
  </si>
  <si>
    <t>2520000000275</t>
  </si>
  <si>
    <t>2520000000312</t>
  </si>
  <si>
    <t>2520000000329</t>
  </si>
  <si>
    <t>2520000000336</t>
  </si>
  <si>
    <t>2520000000367</t>
  </si>
  <si>
    <t>2520000000381</t>
  </si>
  <si>
    <t>2520000000404</t>
  </si>
  <si>
    <t>2521897952803</t>
  </si>
  <si>
    <t>2521897952804</t>
  </si>
  <si>
    <t>2520000002190</t>
  </si>
  <si>
    <t>2520000002206</t>
  </si>
  <si>
    <t>2520000002213</t>
  </si>
  <si>
    <t>2520897927260</t>
  </si>
  <si>
    <t>2521897952384</t>
  </si>
  <si>
    <t>2521897952385</t>
  </si>
  <si>
    <t>2521897952542</t>
  </si>
  <si>
    <t>2521897952593</t>
  </si>
  <si>
    <t>2521897952594</t>
  </si>
  <si>
    <t>2521897952595</t>
  </si>
  <si>
    <t>2521897952634</t>
  </si>
  <si>
    <t>2521897952802</t>
  </si>
  <si>
    <t>2521897952730</t>
  </si>
  <si>
    <t>2521897952685</t>
  </si>
  <si>
    <t>2521897952775</t>
  </si>
  <si>
    <t>2521897952687</t>
  </si>
  <si>
    <t>2521897952562</t>
  </si>
  <si>
    <t>2521897952600</t>
  </si>
  <si>
    <t>2521897952601</t>
  </si>
  <si>
    <t>2521897952575</t>
  </si>
  <si>
    <t>2521897952681</t>
  </si>
  <si>
    <t>2521897952684</t>
  </si>
  <si>
    <t>2521897952758</t>
  </si>
  <si>
    <t>2521897952759</t>
  </si>
  <si>
    <t>2521897953337</t>
  </si>
  <si>
    <t>2521897953338</t>
  </si>
  <si>
    <t>2521897953412</t>
  </si>
  <si>
    <t>2521897953419</t>
  </si>
  <si>
    <t>2521897952776</t>
  </si>
  <si>
    <t>2521897953358</t>
  </si>
  <si>
    <t>2521897953445</t>
  </si>
  <si>
    <t>2521897953422</t>
  </si>
  <si>
    <t>2521897953496</t>
  </si>
  <si>
    <t>2521897952785</t>
  </si>
  <si>
    <t>2521897952742</t>
  </si>
  <si>
    <t>2521897952713</t>
  </si>
  <si>
    <t>2521897952459</t>
  </si>
  <si>
    <t>2521897952699</t>
  </si>
  <si>
    <t>2520897922327</t>
  </si>
  <si>
    <t>2520897922328</t>
  </si>
  <si>
    <t>2521897952526</t>
  </si>
  <si>
    <t>2521897952525</t>
  </si>
  <si>
    <t>2521897952527</t>
  </si>
  <si>
    <t>2521897953032</t>
  </si>
  <si>
    <t>2521897953033</t>
  </si>
  <si>
    <t>2521897953038</t>
  </si>
  <si>
    <t>2521897953247</t>
  </si>
  <si>
    <t>2521897953248</t>
  </si>
  <si>
    <t>2521897953249</t>
  </si>
  <si>
    <t>2521897953250</t>
  </si>
  <si>
    <t>2521897953251</t>
  </si>
  <si>
    <t>2521897953295</t>
  </si>
  <si>
    <t>2521897953297</t>
  </si>
  <si>
    <t>2521897953296</t>
  </si>
  <si>
    <t>2521897953298</t>
  </si>
  <si>
    <t>2521897953325</t>
  </si>
  <si>
    <t>2521897953326</t>
  </si>
  <si>
    <t>2521897953327</t>
  </si>
  <si>
    <t>2521897953319</t>
  </si>
  <si>
    <t>2521897953320</t>
  </si>
  <si>
    <t>2521897953321</t>
  </si>
  <si>
    <t>2521897953333</t>
  </si>
  <si>
    <t>2521897953334</t>
  </si>
  <si>
    <t>2521897953332</t>
  </si>
  <si>
    <t>2521897953343</t>
  </si>
  <si>
    <t>2520000000282</t>
  </si>
  <si>
    <t>2520000000299</t>
  </si>
  <si>
    <t>2520000000305</t>
  </si>
  <si>
    <t>2521897952704</t>
  </si>
  <si>
    <t>2521897952705</t>
  </si>
  <si>
    <t>2520897922316</t>
  </si>
  <si>
    <t>2521897952997</t>
  </si>
  <si>
    <t>2521897952563</t>
  </si>
  <si>
    <t>2521897952689</t>
  </si>
  <si>
    <t>2521897952754</t>
  </si>
  <si>
    <t>2521897952620</t>
  </si>
  <si>
    <t>2521897952621</t>
  </si>
  <si>
    <t>2521897952622</t>
  </si>
  <si>
    <t>2521897952652</t>
  </si>
  <si>
    <t>2521897952653</t>
  </si>
  <si>
    <t>2521897952928</t>
  </si>
  <si>
    <t>2521897952929</t>
  </si>
  <si>
    <t>2521897952875</t>
  </si>
  <si>
    <t>2521897952874</t>
  </si>
  <si>
    <t>2521897952871</t>
  </si>
  <si>
    <t>2521897952872</t>
  </si>
  <si>
    <t>2521897952873</t>
  </si>
  <si>
    <t>2521897952975</t>
  </si>
  <si>
    <t>2521897953210</t>
  </si>
  <si>
    <t>2521897952932</t>
  </si>
  <si>
    <t>2521897952933</t>
  </si>
  <si>
    <t>2521897952934</t>
  </si>
  <si>
    <t>2521897953007</t>
  </si>
  <si>
    <t>2521897953008</t>
  </si>
  <si>
    <t>2521897953009</t>
  </si>
  <si>
    <t>2521897953212</t>
  </si>
  <si>
    <t>2520897922329</t>
  </si>
  <si>
    <t>2520897922330</t>
  </si>
  <si>
    <t>2520897922365</t>
  </si>
  <si>
    <t>2521897952887</t>
  </si>
  <si>
    <t>2521897952888</t>
  </si>
  <si>
    <t>2521897953070</t>
  </si>
  <si>
    <t>2521897952767</t>
  </si>
  <si>
    <t>2521897952769</t>
  </si>
  <si>
    <t>2521897952768</t>
  </si>
  <si>
    <t>2521897952948</t>
  </si>
  <si>
    <t>2521897952771</t>
  </si>
  <si>
    <t>2521897952770</t>
  </si>
  <si>
    <t>2521897952808</t>
  </si>
  <si>
    <t>2521897952807</t>
  </si>
  <si>
    <t>2521897952949</t>
  </si>
  <si>
    <t>2521897952837</t>
  </si>
  <si>
    <t>2521897952811</t>
  </si>
  <si>
    <t>2521897952809</t>
  </si>
  <si>
    <t>2521897952739</t>
  </si>
  <si>
    <t>2521897953303</t>
  </si>
  <si>
    <t>2521897953304</t>
  </si>
  <si>
    <t>2521897953305</t>
  </si>
  <si>
    <t>2521897952859</t>
  </si>
  <si>
    <t>2521897952520</t>
  </si>
  <si>
    <t>2521897952521</t>
  </si>
  <si>
    <t>2521897952524</t>
  </si>
  <si>
    <t>2521897952658</t>
  </si>
  <si>
    <t>2521897952659</t>
  </si>
  <si>
    <t>2521897953235</t>
  </si>
  <si>
    <t>2521897953236</t>
  </si>
  <si>
    <t>2521897953237</t>
  </si>
  <si>
    <t>2521897953238</t>
  </si>
  <si>
    <t>2521897953239</t>
  </si>
  <si>
    <t>2521897953214</t>
  </si>
  <si>
    <t>2521897953213</t>
  </si>
  <si>
    <t>2521897953224</t>
  </si>
  <si>
    <t>2521897953225</t>
  </si>
  <si>
    <t>2521897953226</t>
  </si>
  <si>
    <t>2521897953223</t>
  </si>
  <si>
    <t>2521897953312</t>
  </si>
  <si>
    <t>2521897953313</t>
  </si>
  <si>
    <t>2521897953311</t>
  </si>
  <si>
    <t>2521897953314</t>
  </si>
  <si>
    <t>2521897953322</t>
  </si>
  <si>
    <t>2521897953323</t>
  </si>
  <si>
    <t>2521897953324</t>
  </si>
  <si>
    <t>2521897953353</t>
  </si>
  <si>
    <t>2521897953354</t>
  </si>
  <si>
    <t>2521897953355</t>
  </si>
  <si>
    <t>2521897953344</t>
  </si>
  <si>
    <t>2521897953417</t>
  </si>
  <si>
    <t>2521897953479</t>
  </si>
  <si>
    <t>2521897953480</t>
  </si>
  <si>
    <t>2520000002220</t>
  </si>
  <si>
    <t>2520000005215</t>
  </si>
  <si>
    <t>2520000000800</t>
  </si>
  <si>
    <t>2521897953420</t>
  </si>
  <si>
    <t>2521897952564</t>
  </si>
  <si>
    <t>2521897952573</t>
  </si>
  <si>
    <t>2521897952637</t>
  </si>
  <si>
    <t>2521897952633</t>
  </si>
  <si>
    <t>2521897952674</t>
  </si>
  <si>
    <t>2521897952881</t>
  </si>
  <si>
    <t>2521897952882</t>
  </si>
  <si>
    <t>2521897953139</t>
  </si>
  <si>
    <t>2521897953140</t>
  </si>
  <si>
    <t>2521897953141</t>
  </si>
  <si>
    <t>2521897953433</t>
  </si>
  <si>
    <t>2521897953208</t>
  </si>
  <si>
    <t>2521897953434</t>
  </si>
  <si>
    <t>2521897953430</t>
  </si>
  <si>
    <t>2521897953209</t>
  </si>
  <si>
    <t>2521897953431</t>
  </si>
  <si>
    <t>2521897953432</t>
  </si>
  <si>
    <t>2521897953196</t>
  </si>
  <si>
    <t>2521897953197</t>
  </si>
  <si>
    <t>2521897953198</t>
  </si>
  <si>
    <t>2521897953499</t>
  </si>
  <si>
    <t>2521897953498</t>
  </si>
  <si>
    <t>2521897953497</t>
  </si>
  <si>
    <t>2520000001036</t>
  </si>
  <si>
    <t>2520897922341</t>
  </si>
  <si>
    <t>2520000001313</t>
  </si>
  <si>
    <t>2520000004415</t>
  </si>
  <si>
    <t>2520897922363</t>
  </si>
  <si>
    <t>2520897922364</t>
  </si>
  <si>
    <t>2520000002142</t>
  </si>
  <si>
    <t>2521897952375</t>
  </si>
  <si>
    <t>2520897922344</t>
  </si>
  <si>
    <t>2520897922326</t>
  </si>
  <si>
    <t>2520000002046</t>
  </si>
  <si>
    <t>2521897952422</t>
  </si>
  <si>
    <t>2521897952420</t>
  </si>
  <si>
    <t>2520897927256</t>
  </si>
  <si>
    <t>2521897952440</t>
  </si>
  <si>
    <t>2521897952447</t>
  </si>
  <si>
    <t>2521897952457</t>
  </si>
  <si>
    <t>2521897952458</t>
  </si>
  <si>
    <t>2521897952583</t>
  </si>
  <si>
    <t>2521897952584</t>
  </si>
  <si>
    <t>2521897952604</t>
  </si>
  <si>
    <t>2521897952672</t>
  </si>
  <si>
    <t>2521897953047</t>
  </si>
  <si>
    <t>2521897953175</t>
  </si>
  <si>
    <t>2521897953174</t>
  </si>
  <si>
    <t>2521897953245</t>
  </si>
  <si>
    <t>2521897953254</t>
  </si>
  <si>
    <t>2521897953306</t>
  </si>
  <si>
    <t>2521897953473</t>
  </si>
  <si>
    <t>2521897953475</t>
  </si>
  <si>
    <t>2521897953307</t>
  </si>
  <si>
    <t>2521897953255</t>
  </si>
  <si>
    <t>2520897922358</t>
  </si>
  <si>
    <t>2520000001523</t>
  </si>
  <si>
    <t>2520897922335</t>
  </si>
  <si>
    <t>2521897952748</t>
  </si>
  <si>
    <t>2521897953317</t>
  </si>
  <si>
    <t>2521897953246</t>
  </si>
  <si>
    <t>2520000002157</t>
  </si>
  <si>
    <t>2521897952570</t>
  </si>
  <si>
    <t>2521897952938</t>
  </si>
  <si>
    <t>2521897953273</t>
  </si>
  <si>
    <t>2521897952635</t>
  </si>
  <si>
    <t>2521897952734</t>
  </si>
  <si>
    <t>2521897953463</t>
  </si>
  <si>
    <t>2521897953464</t>
  </si>
  <si>
    <t>2521897953178</t>
  </si>
  <si>
    <t>2521897952906</t>
  </si>
  <si>
    <t>2521897953416</t>
  </si>
  <si>
    <t>2521897953026</t>
  </si>
  <si>
    <t>2521897953077</t>
  </si>
  <si>
    <t>2521897953076</t>
  </si>
  <si>
    <t>2521897953078</t>
  </si>
  <si>
    <t>2521897953268</t>
  </si>
  <si>
    <t>2521897953269</t>
  </si>
  <si>
    <t>2521897952533</t>
  </si>
  <si>
    <t>2521897952534</t>
  </si>
  <si>
    <t>2521897952535</t>
  </si>
  <si>
    <t>2521897952956</t>
  </si>
  <si>
    <t>2521897952957</t>
  </si>
  <si>
    <t>2521897952955</t>
  </si>
  <si>
    <t>2521897953302</t>
  </si>
  <si>
    <t>2521897953300</t>
  </si>
  <si>
    <t>2521897953411</t>
  </si>
  <si>
    <t>2521897953457</t>
  </si>
  <si>
    <t>2521897953474</t>
  </si>
  <si>
    <t>2521897953477</t>
  </si>
  <si>
    <t>2520000000954</t>
  </si>
  <si>
    <t>2520000000961</t>
  </si>
  <si>
    <t>2520000000978</t>
  </si>
  <si>
    <t>2520897922319</t>
  </si>
  <si>
    <t>2521897952972</t>
  </si>
  <si>
    <t>2521897952973</t>
  </si>
  <si>
    <t>2521897953315</t>
  </si>
  <si>
    <t>2521897953055</t>
  </si>
  <si>
    <t>2521897953056</t>
  </si>
  <si>
    <t>2520000001067</t>
  </si>
  <si>
    <t>2520000001074</t>
  </si>
  <si>
    <t>2520000001081</t>
  </si>
  <si>
    <t>2520897922318</t>
  </si>
  <si>
    <t>2520000002244</t>
  </si>
  <si>
    <t>2520000001166</t>
  </si>
  <si>
    <t>2520000001159</t>
  </si>
  <si>
    <t>2520897927296</t>
  </si>
  <si>
    <t>2520897927298</t>
  </si>
  <si>
    <t>2520897927297</t>
  </si>
  <si>
    <t>2521897952413</t>
  </si>
  <si>
    <t>2521897952508</t>
  </si>
  <si>
    <t>2521897952935</t>
  </si>
  <si>
    <t>2520897927308</t>
  </si>
  <si>
    <t>2521897952582</t>
  </si>
  <si>
    <t>2521897952789</t>
  </si>
  <si>
    <t>2521897953128</t>
  </si>
  <si>
    <t>2521897953181</t>
  </si>
  <si>
    <t>2521897952862</t>
  </si>
  <si>
    <t>2521897952863</t>
  </si>
  <si>
    <t>2521897952864</t>
  </si>
  <si>
    <t>2521897952740</t>
  </si>
  <si>
    <t>2521897952919</t>
  </si>
  <si>
    <t>2521897952838</t>
  </si>
  <si>
    <t>2521897952839</t>
  </si>
  <si>
    <t>2521897952840</t>
  </si>
  <si>
    <t>2521897952883</t>
  </si>
  <si>
    <t>2521897952884</t>
  </si>
  <si>
    <t>2521897952945</t>
  </si>
  <si>
    <t>2521897952920</t>
  </si>
  <si>
    <t>2521897953010</t>
  </si>
  <si>
    <t>2521897953160</t>
  </si>
  <si>
    <t>2521897953025</t>
  </si>
  <si>
    <t>2521897953054</t>
  </si>
  <si>
    <t>2521897953099</t>
  </si>
  <si>
    <t>2521897953100</t>
  </si>
  <si>
    <t>2521897953170</t>
  </si>
  <si>
    <t>2521897953341</t>
  </si>
  <si>
    <t>2521897952946</t>
  </si>
  <si>
    <t>2521897953211</t>
  </si>
  <si>
    <t>2521897953267</t>
  </si>
  <si>
    <t>2521897953082</t>
  </si>
  <si>
    <t>2521897953503</t>
  </si>
  <si>
    <t>2521897952897</t>
  </si>
  <si>
    <t>2521897952729</t>
  </si>
  <si>
    <t>2521897952488</t>
  </si>
  <si>
    <t>2521897952890</t>
  </si>
  <si>
    <t>2521897953152</t>
  </si>
  <si>
    <t>2521897953153</t>
  </si>
  <si>
    <t>2521897952889</t>
  </si>
  <si>
    <t>2521897952489</t>
  </si>
  <si>
    <t>2520000000848</t>
  </si>
  <si>
    <t>2520000000855</t>
  </si>
  <si>
    <t>2520000000862</t>
  </si>
  <si>
    <t>2520000000923</t>
  </si>
  <si>
    <t>2521897952894</t>
  </si>
  <si>
    <t>2521897952820</t>
  </si>
  <si>
    <t>2521897952821</t>
  </si>
  <si>
    <t>2521897952822</t>
  </si>
  <si>
    <t>2521897952823</t>
  </si>
  <si>
    <t>2521897952824</t>
  </si>
  <si>
    <t>2521897952944</t>
  </si>
  <si>
    <t>2521897953159</t>
  </si>
  <si>
    <t>2521897952825</t>
  </si>
  <si>
    <t>2521897952885</t>
  </si>
  <si>
    <t>2521897952886</t>
  </si>
  <si>
    <t>2521897952923</t>
  </si>
  <si>
    <t>2521897952924</t>
  </si>
  <si>
    <t>2521897952954</t>
  </si>
  <si>
    <t>2521897952925</t>
  </si>
  <si>
    <t>2521897953271</t>
  </si>
  <si>
    <t>2521897953145</t>
  </si>
  <si>
    <t>2521897953144</t>
  </si>
  <si>
    <t>2521897953147</t>
  </si>
  <si>
    <t>2521897953146</t>
  </si>
  <si>
    <t>2521897953148</t>
  </si>
  <si>
    <t>2520000000046</t>
  </si>
  <si>
    <t>2520000000053</t>
  </si>
  <si>
    <t>2520000000060</t>
  </si>
  <si>
    <t>2520000000077</t>
  </si>
  <si>
    <t>2520000000084</t>
  </si>
  <si>
    <t>2520000000091</t>
  </si>
  <si>
    <t>2520000000107</t>
  </si>
  <si>
    <t>2521897952531</t>
  </si>
  <si>
    <t>2521897952399</t>
  </si>
  <si>
    <t>2521897952529</t>
  </si>
  <si>
    <t>2521897952517</t>
  </si>
  <si>
    <t>2521897952515</t>
  </si>
  <si>
    <t>2521897952606</t>
  </si>
  <si>
    <t>2521897952614</t>
  </si>
  <si>
    <t>2521897952618</t>
  </si>
  <si>
    <t>2521897952670</t>
  </si>
  <si>
    <t>2521897953027</t>
  </si>
  <si>
    <t>2521897952780</t>
  </si>
  <si>
    <t>2521897952781</t>
  </si>
  <si>
    <t>2521897953172</t>
  </si>
  <si>
    <t>2521897953171</t>
  </si>
  <si>
    <t>2521897953293</t>
  </si>
  <si>
    <t>2521897953294</t>
  </si>
  <si>
    <t>2521897953481</t>
  </si>
  <si>
    <t>2520000000016</t>
  </si>
  <si>
    <t>2520000001510</t>
  </si>
  <si>
    <t>2520000001505</t>
  </si>
  <si>
    <t>2521897952576</t>
  </si>
  <si>
    <t>2521897952577</t>
  </si>
  <si>
    <t>2521897952578</t>
  </si>
  <si>
    <t>2521897953173</t>
  </si>
  <si>
    <t>2521897952591</t>
  </si>
  <si>
    <t>2521897953019</t>
  </si>
  <si>
    <t>2521897953020</t>
  </si>
  <si>
    <t>2521897953022</t>
  </si>
  <si>
    <t>2520897922321</t>
  </si>
  <si>
    <t>2520000000138</t>
  </si>
  <si>
    <t>2520000000145</t>
  </si>
  <si>
    <t>2520000000152</t>
  </si>
  <si>
    <t>2520000000169</t>
  </si>
  <si>
    <t>2520000000176</t>
  </si>
  <si>
    <t>2520000000183</t>
  </si>
  <si>
    <t>2520897922320</t>
  </si>
  <si>
    <t>2521897952711</t>
  </si>
  <si>
    <t>2521897952712</t>
  </si>
  <si>
    <t>2521897952971</t>
  </si>
  <si>
    <t>2521897952965</t>
  </si>
  <si>
    <t>2521897952966</t>
  </si>
  <si>
    <t>2521897952967</t>
  </si>
  <si>
    <t>2521897953021</t>
  </si>
  <si>
    <t>2521897953438</t>
  </si>
  <si>
    <t>2521897953439</t>
  </si>
  <si>
    <t>2521897953440</t>
  </si>
  <si>
    <t>2521897952607</t>
  </si>
  <si>
    <t>2521897952616</t>
  </si>
  <si>
    <t>2521897952610</t>
  </si>
  <si>
    <t>2521897952638</t>
  </si>
  <si>
    <t>2521897953421</t>
  </si>
  <si>
    <t>2521897953486</t>
  </si>
  <si>
    <t>2521897953467</t>
  </si>
  <si>
    <t>2521897953468</t>
  </si>
  <si>
    <t>2521897953470</t>
  </si>
  <si>
    <t>2521897953469</t>
  </si>
  <si>
    <t>2521897953504</t>
  </si>
  <si>
    <t>2521897953451</t>
  </si>
  <si>
    <t>2521897953452</t>
  </si>
  <si>
    <t>2520000002153</t>
  </si>
  <si>
    <t>2521897952382</t>
  </si>
  <si>
    <t>2521897952391</t>
  </si>
  <si>
    <t>2521897953129</t>
  </si>
  <si>
    <t>2521897952738</t>
  </si>
  <si>
    <t>2521897953120</t>
  </si>
  <si>
    <t>2521897953118</t>
  </si>
  <si>
    <t>2521897953119</t>
  </si>
  <si>
    <t>2521897953161</t>
  </si>
  <si>
    <t>2521897953162</t>
  </si>
  <si>
    <t>2521897952737</t>
  </si>
  <si>
    <t>2521897953270</t>
  </si>
  <si>
    <t>2521897953291</t>
  </si>
  <si>
    <t>2521897953292</t>
  </si>
  <si>
    <t>2521897953290</t>
  </si>
  <si>
    <t>2521897952741</t>
  </si>
  <si>
    <t>2521897953124</t>
  </si>
  <si>
    <t>2521897953125</t>
  </si>
  <si>
    <t>2521897953126</t>
  </si>
  <si>
    <t>2521897953127</t>
  </si>
  <si>
    <t>2521897953219</t>
  </si>
  <si>
    <t>2521897953345</t>
  </si>
  <si>
    <t>2521897953346</t>
  </si>
  <si>
    <t>2521897953299</t>
  </si>
  <si>
    <t>2521897953347</t>
  </si>
  <si>
    <t>2521897953348</t>
  </si>
  <si>
    <t>2521897952904</t>
  </si>
  <si>
    <t>2521897953340</t>
  </si>
  <si>
    <t>2521897953356</t>
  </si>
  <si>
    <t>2521897953414</t>
  </si>
  <si>
    <t>2521897953423</t>
  </si>
  <si>
    <t>2521897953415</t>
  </si>
  <si>
    <t>2521897953446</t>
  </si>
  <si>
    <t>2521897953447</t>
  </si>
  <si>
    <t>2521897953426</t>
  </si>
  <si>
    <t>2521897953500</t>
  </si>
  <si>
    <t>2521897952801</t>
  </si>
  <si>
    <t>2521897952800</t>
  </si>
  <si>
    <t>2521897952799</t>
  </si>
  <si>
    <t>2520000000435</t>
  </si>
  <si>
    <t>2520000002120</t>
  </si>
  <si>
    <t>2520897927306</t>
  </si>
  <si>
    <t>2520897927305</t>
  </si>
  <si>
    <t>2521897952586</t>
  </si>
  <si>
    <t>2521897952541</t>
  </si>
  <si>
    <t>2521897952626</t>
  </si>
  <si>
    <t>2521897952550</t>
  </si>
  <si>
    <t>2521897952545</t>
  </si>
  <si>
    <t>2521897952554</t>
  </si>
  <si>
    <t>2521897952555</t>
  </si>
  <si>
    <t>2521897952551</t>
  </si>
  <si>
    <t>2521897952552</t>
  </si>
  <si>
    <t>2521897952553</t>
  </si>
  <si>
    <t>2521897952630</t>
  </si>
  <si>
    <t>2521897952631</t>
  </si>
  <si>
    <t>2521897952752</t>
  </si>
  <si>
    <t>2520897922357</t>
  </si>
  <si>
    <t>2520897922359</t>
  </si>
  <si>
    <t>2520000001537</t>
  </si>
  <si>
    <t>2520897922366</t>
  </si>
  <si>
    <t>2520000002117</t>
  </si>
  <si>
    <t>2520897927263</t>
  </si>
  <si>
    <t>2520897927303</t>
  </si>
  <si>
    <t>2521897952831</t>
  </si>
  <si>
    <t>2521897952832</t>
  </si>
  <si>
    <t>2521897952833</t>
  </si>
  <si>
    <t>2521897952834</t>
  </si>
  <si>
    <t>2521897952835</t>
  </si>
  <si>
    <t>2520000000527</t>
  </si>
  <si>
    <t>2520000000140</t>
  </si>
  <si>
    <t>2521897952451</t>
  </si>
  <si>
    <t>2521897952495</t>
  </si>
  <si>
    <t>2521897952468</t>
  </si>
  <si>
    <t>2521897952597</t>
  </si>
  <si>
    <t>2521897952678</t>
  </si>
  <si>
    <t>2520897922368</t>
  </si>
  <si>
    <t>2520000002107</t>
  </si>
  <si>
    <t>2520000002114</t>
  </si>
  <si>
    <t>2520000002121</t>
  </si>
  <si>
    <t>2520000002154</t>
  </si>
  <si>
    <t>2520000001539</t>
  </si>
  <si>
    <t>2520897922367</t>
  </si>
  <si>
    <t>2520000000459</t>
  </si>
  <si>
    <t>2520000000466</t>
  </si>
  <si>
    <t>2520000000473</t>
  </si>
  <si>
    <t>2520000002053</t>
  </si>
  <si>
    <t>2520000000497</t>
  </si>
  <si>
    <t>2520897927304</t>
  </si>
  <si>
    <t>2521897952714</t>
  </si>
  <si>
    <t>2521897952756</t>
  </si>
  <si>
    <t>2521897952393</t>
  </si>
  <si>
    <t>2520000000541</t>
  </si>
  <si>
    <t>2520000000510</t>
  </si>
  <si>
    <t>2521897952445</t>
  </si>
  <si>
    <t>2521897952450</t>
  </si>
  <si>
    <t>2521897952598</t>
  </si>
  <si>
    <t>2521897952589</t>
  </si>
  <si>
    <t>2521897952592</t>
  </si>
  <si>
    <t>2521897952596</t>
  </si>
  <si>
    <t>2521897952642</t>
  </si>
  <si>
    <t>2521897952453</t>
  </si>
  <si>
    <t>2521897952494</t>
  </si>
  <si>
    <t>2521897952498</t>
  </si>
  <si>
    <t>2521897952496</t>
  </si>
  <si>
    <t>2521897952497</t>
  </si>
  <si>
    <t>2521897952479</t>
  </si>
  <si>
    <t>2521897952588</t>
  </si>
  <si>
    <t>2521897952599</t>
  </si>
  <si>
    <t>2521897952602</t>
  </si>
  <si>
    <t>2521897952605</t>
  </si>
  <si>
    <t>2521897952623</t>
  </si>
  <si>
    <t>2520000000480</t>
  </si>
  <si>
    <t>2520000000503</t>
  </si>
  <si>
    <t>2521897952877</t>
  </si>
  <si>
    <t>2520000006119</t>
  </si>
  <si>
    <t>2520000006121</t>
  </si>
  <si>
    <t>2520000006120</t>
  </si>
  <si>
    <t>2521897952892</t>
  </si>
  <si>
    <t>2521897952891</t>
  </si>
  <si>
    <t>2521897952893</t>
  </si>
  <si>
    <t>2520000000589</t>
  </si>
  <si>
    <t>2520000000602</t>
  </si>
  <si>
    <t>2521897952587</t>
  </si>
  <si>
    <t>2521897952627</t>
  </si>
  <si>
    <t>2521897952539</t>
  </si>
  <si>
    <t>2000897922247</t>
  </si>
  <si>
    <t>2000897922216</t>
  </si>
  <si>
    <t>2000897922223</t>
  </si>
  <si>
    <t>2000897922230</t>
  </si>
  <si>
    <t>2520897927270</t>
  </si>
  <si>
    <t>2520897927269</t>
  </si>
  <si>
    <t>2000897922209</t>
  </si>
  <si>
    <t>2520897927268</t>
  </si>
  <si>
    <t>2520897927267</t>
  </si>
  <si>
    <t>2520000006115</t>
  </si>
  <si>
    <t>2520000006117</t>
  </si>
  <si>
    <t>2520000006116</t>
  </si>
  <si>
    <t>2520000001340</t>
  </si>
  <si>
    <t>2520000001418</t>
  </si>
  <si>
    <t>2521897952580</t>
  </si>
  <si>
    <t>2520000001449</t>
  </si>
  <si>
    <t>2521897952490</t>
  </si>
  <si>
    <t>2521897952491</t>
  </si>
  <si>
    <t>2521897952519</t>
  </si>
  <si>
    <t>2520000001487</t>
  </si>
  <si>
    <t>2520000002162</t>
  </si>
  <si>
    <t>2520000001548</t>
  </si>
  <si>
    <t>2520897927293</t>
  </si>
  <si>
    <t>2521897952402</t>
  </si>
  <si>
    <t>2521897952480</t>
  </si>
  <si>
    <t>2520000001555</t>
  </si>
  <si>
    <t>2520000001562</t>
  </si>
  <si>
    <t>2520000002163</t>
  </si>
  <si>
    <t>2520897927265</t>
  </si>
  <si>
    <t>2520000001494</t>
  </si>
  <si>
    <t>2520000001579</t>
  </si>
  <si>
    <t>2520000001586</t>
  </si>
  <si>
    <t>2520000001593</t>
  </si>
  <si>
    <t>2520000001609</t>
  </si>
  <si>
    <t>2520000002160</t>
  </si>
  <si>
    <t>2520000002161</t>
  </si>
  <si>
    <t>2520000001685</t>
  </si>
  <si>
    <t>2520000001708</t>
  </si>
  <si>
    <t>2520000001692</t>
  </si>
  <si>
    <t>2520897922336</t>
  </si>
  <si>
    <t>2520897922337</t>
  </si>
  <si>
    <t>2520897922346</t>
  </si>
  <si>
    <t>2520897922347</t>
  </si>
  <si>
    <t>2520897922348</t>
  </si>
  <si>
    <t>2520897922349</t>
  </si>
  <si>
    <t>2520897922350</t>
  </si>
  <si>
    <t>2520897922355</t>
  </si>
  <si>
    <t>2520897922351</t>
  </si>
  <si>
    <t>2520897927262</t>
  </si>
  <si>
    <t>2520000000343</t>
  </si>
  <si>
    <t>2520000000350</t>
  </si>
  <si>
    <t>2520000002149</t>
  </si>
  <si>
    <t>2521897952396</t>
  </si>
  <si>
    <t>2521897952418</t>
  </si>
  <si>
    <t>2521897952475</t>
  </si>
  <si>
    <t>2521897952483</t>
  </si>
  <si>
    <t>2521897952656</t>
  </si>
  <si>
    <t>2521897952657</t>
  </si>
  <si>
    <t>2521897952655</t>
  </si>
  <si>
    <t>2521897952930</t>
  </si>
  <si>
    <t>2521897952931</t>
  </si>
  <si>
    <t>2521897952650</t>
  </si>
  <si>
    <t>2521897952651</t>
  </si>
  <si>
    <t>2521897952665</t>
  </si>
  <si>
    <t>2521897952649</t>
  </si>
  <si>
    <t>2521897952500</t>
  </si>
  <si>
    <t>2521897952501</t>
  </si>
  <si>
    <t>2521897952645</t>
  </si>
  <si>
    <t>2521897952644</t>
  </si>
  <si>
    <t>2521897952646</t>
  </si>
  <si>
    <t>2521897952654</t>
  </si>
  <si>
    <t>2521897952470</t>
  </si>
  <si>
    <t>2521897952474</t>
  </si>
  <si>
    <t>2521897952481</t>
  </si>
  <si>
    <t>2521897952473</t>
  </si>
  <si>
    <t>2521897952419</t>
  </si>
  <si>
    <t>2521897952421</t>
  </si>
  <si>
    <t>2521897952416</t>
  </si>
  <si>
    <t>2520897927295</t>
  </si>
  <si>
    <t>2520897927294</t>
  </si>
  <si>
    <t>2520897927282</t>
  </si>
  <si>
    <t>2520000001543</t>
  </si>
  <si>
    <t>2520000001541</t>
  </si>
  <si>
    <t>2521897952383</t>
  </si>
  <si>
    <t>2521897952386</t>
  </si>
  <si>
    <t>2520897927258</t>
  </si>
  <si>
    <t>2520000002144</t>
  </si>
  <si>
    <t>2520897922360</t>
  </si>
  <si>
    <t>2520000002151</t>
  </si>
  <si>
    <t>2520897922333</t>
  </si>
  <si>
    <t>2520000000244</t>
  </si>
  <si>
    <t>2520000001212</t>
  </si>
  <si>
    <t>2520897922339</t>
  </si>
  <si>
    <t>2520897922340</t>
  </si>
  <si>
    <t>2520897922331</t>
  </si>
  <si>
    <t>2520897922338</t>
  </si>
  <si>
    <t>2520897922369</t>
  </si>
  <si>
    <t>2520897922334</t>
  </si>
  <si>
    <t>2520897927255</t>
  </si>
  <si>
    <t>2520000000220</t>
  </si>
  <si>
    <t>2520000000213</t>
  </si>
  <si>
    <t>2520000000190</t>
  </si>
  <si>
    <t>2520897927278</t>
  </si>
  <si>
    <t>2520000002158</t>
  </si>
  <si>
    <t>2520897927277</t>
  </si>
  <si>
    <t>2520897927279</t>
  </si>
  <si>
    <t>2521897952452</t>
  </si>
  <si>
    <t>2521897952792</t>
  </si>
  <si>
    <t>2520000000770</t>
  </si>
  <si>
    <t>2520000000794</t>
  </si>
  <si>
    <t>2521897952444</t>
  </si>
  <si>
    <t>2521897952865</t>
  </si>
  <si>
    <t>2521897952867</t>
  </si>
  <si>
    <t>2521897952866</t>
  </si>
  <si>
    <t>2520000000718</t>
  </si>
  <si>
    <t>2520000000787</t>
  </si>
  <si>
    <t>2520000001415</t>
  </si>
  <si>
    <t>2520897922322</t>
  </si>
  <si>
    <t>2520000000749</t>
  </si>
  <si>
    <t>2520000000756</t>
  </si>
  <si>
    <t>2521897952403</t>
  </si>
  <si>
    <t>2521897952728</t>
  </si>
  <si>
    <t>2520897922323</t>
  </si>
  <si>
    <t>2520897922325</t>
  </si>
  <si>
    <t>2521897952942</t>
  </si>
  <si>
    <t>2521897952896</t>
  </si>
  <si>
    <t>2521897952898</t>
  </si>
  <si>
    <t>2521897952786</t>
  </si>
  <si>
    <t>2521897952788</t>
  </si>
  <si>
    <t>2521897952787</t>
  </si>
  <si>
    <t>2520000000992</t>
  </si>
  <si>
    <t>2520000001005</t>
  </si>
  <si>
    <t>2520000001012</t>
  </si>
  <si>
    <t>2520000001029</t>
  </si>
  <si>
    <t>2520000001180</t>
  </si>
  <si>
    <t>2520000001197</t>
  </si>
  <si>
    <t>2520000001203</t>
  </si>
  <si>
    <t>2520000001210</t>
  </si>
  <si>
    <t>2520000001227</t>
  </si>
  <si>
    <t>2520000002315</t>
  </si>
  <si>
    <t>2520000003515</t>
  </si>
  <si>
    <t>2520000001234</t>
  </si>
  <si>
    <t>2520000001241</t>
  </si>
  <si>
    <t>2520000001258</t>
  </si>
  <si>
    <t>2520000001265</t>
  </si>
  <si>
    <t>2520000001272</t>
  </si>
  <si>
    <t>2520000001289</t>
  </si>
  <si>
    <t>2520000001296</t>
  </si>
  <si>
    <t>2520000001043</t>
  </si>
  <si>
    <t>2520000001050</t>
  </si>
  <si>
    <t>2521897952666</t>
  </si>
  <si>
    <t>2520000001784</t>
  </si>
  <si>
    <t>2521897952486</t>
  </si>
  <si>
    <t>2521897952482</t>
  </si>
  <si>
    <t>2521897952476</t>
  </si>
  <si>
    <t>2521897952472</t>
  </si>
  <si>
    <t>2521897952406</t>
  </si>
  <si>
    <t>2521897952405</t>
  </si>
  <si>
    <t>2521897952407</t>
  </si>
  <si>
    <t>2520000002077</t>
  </si>
  <si>
    <t>2520000002084</t>
  </si>
  <si>
    <t>2520897927257</t>
  </si>
  <si>
    <t>2520897927266</t>
  </si>
  <si>
    <t>2520000001104</t>
  </si>
  <si>
    <t>2520000001128</t>
  </si>
  <si>
    <t>2520000001135</t>
  </si>
  <si>
    <t>2520000002015</t>
  </si>
  <si>
    <t>2520000002022</t>
  </si>
  <si>
    <t>2520897952374</t>
  </si>
  <si>
    <t>2521897952441</t>
  </si>
  <si>
    <t>2520897922324</t>
  </si>
  <si>
    <t>2520000001111</t>
  </si>
  <si>
    <t>2520000002039</t>
  </si>
  <si>
    <t>2520000001302</t>
  </si>
  <si>
    <t>2520000001319</t>
  </si>
  <si>
    <t>2521897952514</t>
  </si>
  <si>
    <t>2521897952609</t>
  </si>
  <si>
    <t>2521897952668</t>
  </si>
  <si>
    <t>2521897953256</t>
  </si>
  <si>
    <t>2521897952842</t>
  </si>
  <si>
    <t>2520000006132</t>
  </si>
  <si>
    <t>2520000006133</t>
  </si>
  <si>
    <t>2520000006131</t>
  </si>
  <si>
    <t>2520000006134</t>
  </si>
  <si>
    <t>2520000000824</t>
  </si>
  <si>
    <t>2520000000831</t>
  </si>
  <si>
    <t>2520000000879</t>
  </si>
  <si>
    <t>2520000000893</t>
  </si>
  <si>
    <t>2520000000909</t>
  </si>
  <si>
    <t>2520000002147</t>
  </si>
  <si>
    <t>2520000002148</t>
  </si>
  <si>
    <t>2520000000930</t>
  </si>
  <si>
    <t>2520000000947</t>
  </si>
  <si>
    <t>2521897952826</t>
  </si>
  <si>
    <t>2521897952827</t>
  </si>
  <si>
    <t>2521897952828</t>
  </si>
  <si>
    <t>2521897952895</t>
  </si>
  <si>
    <t>2520897922291</t>
  </si>
  <si>
    <t>2520897922292</t>
  </si>
  <si>
    <t>2520897922313</t>
  </si>
  <si>
    <t>2520897922314</t>
  </si>
  <si>
    <t>2520897922293</t>
  </si>
  <si>
    <t>2520897922294</t>
  </si>
  <si>
    <t>2520897922315</t>
  </si>
  <si>
    <t>2520897922296</t>
  </si>
  <si>
    <t>2520897922297</t>
  </si>
  <si>
    <t>2520897922298</t>
  </si>
  <si>
    <t>2520897922300</t>
  </si>
  <si>
    <t>2520897922301</t>
  </si>
  <si>
    <t>2520000002139</t>
  </si>
  <si>
    <t>2520000006129</t>
  </si>
  <si>
    <t>2520000006126</t>
  </si>
  <si>
    <t>2520000006127</t>
  </si>
  <si>
    <t>2520000006128</t>
  </si>
  <si>
    <t>2520000006125</t>
  </si>
  <si>
    <t>2520000006122</t>
  </si>
  <si>
    <t>2520000006124</t>
  </si>
  <si>
    <t>2521897952397</t>
  </si>
  <si>
    <t>2521897952398</t>
  </si>
  <si>
    <t>2521897952377</t>
  </si>
  <si>
    <t>2521897952423</t>
  </si>
  <si>
    <t>2521897952432</t>
  </si>
  <si>
    <t>2521897952433</t>
  </si>
  <si>
    <t>2521897952434</t>
  </si>
  <si>
    <t>2521897952431</t>
  </si>
  <si>
    <t>2521897952427</t>
  </si>
  <si>
    <t>2521897952428</t>
  </si>
  <si>
    <t>2521897952773</t>
  </si>
  <si>
    <t>2521897952772</t>
  </si>
  <si>
    <t>2521897952774</t>
  </si>
  <si>
    <t>2521897952720</t>
  </si>
  <si>
    <t>2521897952510</t>
  </si>
  <si>
    <t>2521897952511</t>
  </si>
  <si>
    <t>2521897952509</t>
  </si>
  <si>
    <t>2521897952429</t>
  </si>
  <si>
    <t>2521897952381</t>
  </si>
  <si>
    <t>2521897952506</t>
  </si>
  <si>
    <t>2521897952507</t>
  </si>
  <si>
    <t>2521897952718</t>
  </si>
  <si>
    <t>2521897952719</t>
  </si>
  <si>
    <t>2521897952721</t>
  </si>
  <si>
    <t>2521897952726</t>
  </si>
  <si>
    <t>2521897952722</t>
  </si>
  <si>
    <t>2521897952723</t>
  </si>
  <si>
    <t>2521897952724</t>
  </si>
  <si>
    <t>2521897952836</t>
  </si>
  <si>
    <t>2521897952812</t>
  </si>
  <si>
    <t>2521897952813</t>
  </si>
  <si>
    <t>2521897952814</t>
  </si>
  <si>
    <t>2521897952815</t>
  </si>
  <si>
    <t>2521897952816</t>
  </si>
  <si>
    <t>2521897952817</t>
  </si>
  <si>
    <t>2521897952818</t>
  </si>
  <si>
    <t>2521897952819</t>
  </si>
  <si>
    <t>2521897952907</t>
  </si>
  <si>
    <t>2521897952908</t>
  </si>
  <si>
    <t>2521897952909</t>
  </si>
  <si>
    <t>2521897952725</t>
  </si>
  <si>
    <t>2521897952727</t>
  </si>
  <si>
    <t>2520897927273</t>
  </si>
  <si>
    <t>2520897927272</t>
  </si>
  <si>
    <t>2520897927271</t>
  </si>
  <si>
    <t>2520897927275</t>
  </si>
  <si>
    <t>2521897952624</t>
  </si>
  <si>
    <t>2521897952625</t>
  </si>
  <si>
    <t>2520897922305</t>
  </si>
  <si>
    <t>2520897922307</t>
  </si>
  <si>
    <t>2520897922306</t>
  </si>
  <si>
    <t>2520897922309</t>
  </si>
  <si>
    <t>2520897922311</t>
  </si>
  <si>
    <t>2520897922310</t>
  </si>
  <si>
    <t>2520897922312</t>
  </si>
  <si>
    <t>2521897952502</t>
  </si>
  <si>
    <t>2521897952504</t>
  </si>
  <si>
    <t>2521897952571</t>
  </si>
  <si>
    <t>2520897927274</t>
  </si>
  <si>
    <t>2521897952503</t>
  </si>
  <si>
    <t>2521897952505</t>
  </si>
  <si>
    <t>2521897952572</t>
  </si>
  <si>
    <t>2520897927276</t>
  </si>
  <si>
    <t>2521897952485</t>
  </si>
  <si>
    <t>2521897952477</t>
  </si>
  <si>
    <t>2521897952478</t>
  </si>
  <si>
    <t>2521897952471</t>
  </si>
  <si>
    <t>2521897952448</t>
  </si>
  <si>
    <t>2521897952516</t>
  </si>
  <si>
    <t>2521897952905</t>
  </si>
  <si>
    <t>2521897952617</t>
  </si>
  <si>
    <t>2521897952469</t>
  </si>
  <si>
    <t>2520000000015</t>
  </si>
  <si>
    <t>2521897952455</t>
  </si>
  <si>
    <t>2520000002415</t>
  </si>
  <si>
    <t>2521897952590</t>
  </si>
  <si>
    <t>2521897952998</t>
  </si>
  <si>
    <t>2521897952408</t>
  </si>
  <si>
    <t>2521897952410</t>
  </si>
  <si>
    <t>2520000000039</t>
  </si>
  <si>
    <t>2521897952409</t>
  </si>
  <si>
    <t>2520000000121</t>
  </si>
  <si>
    <t>2520000002156</t>
  </si>
  <si>
    <t>2520000002143</t>
  </si>
  <si>
    <t>2520000002268</t>
  </si>
  <si>
    <t>2521897952493</t>
  </si>
  <si>
    <t>2520000002115</t>
  </si>
  <si>
    <t>2520897922343</t>
  </si>
  <si>
    <t>2520000002122</t>
  </si>
  <si>
    <t>2520897927261</t>
  </si>
  <si>
    <t>2521897952389</t>
  </si>
  <si>
    <t>2521897952499</t>
  </si>
  <si>
    <t>2521897952395</t>
  </si>
  <si>
    <t>2521897952463</t>
  </si>
  <si>
    <t>2520000000017</t>
  </si>
  <si>
    <t>2520000001535</t>
  </si>
  <si>
    <t>2520000001529</t>
  </si>
  <si>
    <t>2520000000139</t>
  </si>
  <si>
    <t>2521897952387</t>
  </si>
  <si>
    <t>2521897952790</t>
  </si>
  <si>
    <t>2521897952492</t>
  </si>
  <si>
    <t>2521897952532</t>
  </si>
  <si>
    <t>2521897953453</t>
  </si>
  <si>
    <t>2521897952536</t>
  </si>
  <si>
    <t>2520000002123</t>
  </si>
  <si>
    <t>2521897953493</t>
  </si>
  <si>
    <t>4640219956550</t>
  </si>
  <si>
    <t>MK2250101</t>
  </si>
  <si>
    <t>MK00041</t>
  </si>
  <si>
    <t>MK1050201</t>
  </si>
  <si>
    <t>MK228010151</t>
  </si>
  <si>
    <t>МК.00018.25.01</t>
  </si>
  <si>
    <t>2521897953501</t>
  </si>
  <si>
    <t>2521897953511</t>
  </si>
  <si>
    <t>2521897953517</t>
  </si>
  <si>
    <t>2520000000657</t>
  </si>
  <si>
    <t>2521897953205</t>
  </si>
  <si>
    <t>2520000000411</t>
  </si>
  <si>
    <t>2520000000428</t>
  </si>
  <si>
    <t>2521897952679</t>
  </si>
  <si>
    <t>2520000001173</t>
  </si>
  <si>
    <t>Банкетка Рокки с ящиком Белая гладкая/Дуб крафт золотой/Кожзам белый 750*450*398</t>
  </si>
  <si>
    <t>4157.17.05/01</t>
  </si>
  <si>
    <t>04157.17.05/01</t>
  </si>
  <si>
    <t>2521897953538</t>
  </si>
  <si>
    <t>2521897952761</t>
  </si>
  <si>
    <t>2521897953428</t>
  </si>
  <si>
    <t>2521897953507</t>
  </si>
  <si>
    <t>3807.06/01</t>
  </si>
  <si>
    <t>Шкаф 3 дверн. City Plus Дуб Крафт белый (всегда + арт 3808.06/02)</t>
  </si>
  <si>
    <t>L4153.17.05/01</t>
  </si>
  <si>
    <t>L3872</t>
  </si>
  <si>
    <t>L4155.17.05/01</t>
  </si>
  <si>
    <t>L4156.17.05/01</t>
  </si>
  <si>
    <t>3808.06/02</t>
  </si>
  <si>
    <t>Шкаф 3 дверн. City Plus Дуб Крафт белый</t>
  </si>
  <si>
    <t>MK345170901</t>
  </si>
  <si>
    <t>Шкаф пенал Шварцвальд комбинированный ЛДСП Белая гладкая/Серый Графит, Черн. металл. 400х2004(h)х470</t>
  </si>
  <si>
    <t>МК.345.17.09.01</t>
  </si>
  <si>
    <t>4620263151729</t>
  </si>
  <si>
    <t>3761.09/01</t>
  </si>
  <si>
    <t>03761.09/01</t>
  </si>
  <si>
    <t>4640219958127</t>
  </si>
  <si>
    <t>4660041007589</t>
  </si>
  <si>
    <t>MK1442501</t>
  </si>
  <si>
    <t>4640219957472</t>
  </si>
  <si>
    <t>4640219959933</t>
  </si>
  <si>
    <t>4620263150678</t>
  </si>
  <si>
    <t>4640219959018</t>
  </si>
  <si>
    <t>03576</t>
  </si>
  <si>
    <t>Стеллаж Quattro 8 секций Дуб Крафт золотой</t>
  </si>
  <si>
    <t>Обувница Ultra 2 секции с ящиком Серый Графит 520х946(h)х274</t>
  </si>
  <si>
    <t>Стеллаж Frame комбинирован. ЛДСП Цемент темный молет, Черн. металл.712х1550(h)х278</t>
  </si>
  <si>
    <t>Органайзер Спанбонд черный Стеллажа Zett 250х250(h)х250</t>
  </si>
  <si>
    <t>Стеллаж тумба с дверкой Breeze  Дуб Крафт золотой/Белая гладкая 330*756*292</t>
  </si>
  <si>
    <t>Стеллаж Breeze 2х дверный с полками Дуб Крафт золотой/Белая гладкая 623*1380*292</t>
  </si>
  <si>
    <t>2521897953540</t>
  </si>
  <si>
    <t>2521897953539</t>
  </si>
  <si>
    <t>Тумба под ТВ Breeze 2х дверн. Дуб Крафт золотой/Белая гладкая 1020*444*338</t>
  </si>
  <si>
    <t>2521897953541</t>
  </si>
  <si>
    <t>Шкаф комод Breeze 2х дверный  Дуб Крафт золотой/Белая гладкая 642*756*292</t>
  </si>
  <si>
    <t>2521897953542</t>
  </si>
  <si>
    <t>2521897953509</t>
  </si>
  <si>
    <t>Шкаф Рокки 2х дверный с ящиками  Белая гладкая/Дуб крафт золотой</t>
  </si>
  <si>
    <t>4158.17.05/01</t>
  </si>
  <si>
    <t>4159.17.05/02</t>
  </si>
  <si>
    <t>2521897953548</t>
  </si>
  <si>
    <t>2521897953520</t>
  </si>
  <si>
    <t>04158.17.05/01</t>
  </si>
  <si>
    <t>04159.17.05/02</t>
  </si>
  <si>
    <t>4620263151330</t>
  </si>
  <si>
    <t>ПШ28074</t>
  </si>
  <si>
    <t>ПШ.280.74</t>
  </si>
  <si>
    <t>Органайзер ткань мебельная зеленая Стеллажа Hardy Лайт 2 550х270(h)х210</t>
  </si>
  <si>
    <t>Шкаф 2-х дверный комбинированный City серый графит 802х1800х454</t>
  </si>
  <si>
    <t>4640219950121</t>
  </si>
  <si>
    <t>L4013.02.03/01</t>
  </si>
  <si>
    <t>L4157.17.05/01</t>
  </si>
  <si>
    <t>L4158.17.05/01</t>
  </si>
  <si>
    <t>L5477</t>
  </si>
  <si>
    <t>L5481</t>
  </si>
  <si>
    <t>L4050</t>
  </si>
  <si>
    <t>L4054</t>
  </si>
  <si>
    <t>L4051</t>
  </si>
  <si>
    <t>L4052</t>
  </si>
  <si>
    <t>LMK345170901</t>
  </si>
  <si>
    <t>L3963.17/01</t>
  </si>
  <si>
    <t>L777</t>
  </si>
  <si>
    <t>3713.09/01</t>
  </si>
  <si>
    <t>3714.09/02</t>
  </si>
  <si>
    <t>Шкаф Норд 2х дверный с ящиками Серый графит 800*2057*474 (всегда+арт. 3714.06/02)</t>
  </si>
  <si>
    <t>Шкаф Норд 2х дверный с ящиками Серый графит 800*2057*474</t>
  </si>
  <si>
    <t>5502.17/01К1</t>
  </si>
  <si>
    <t>Каркас Универсальный К.1 шкафа 2х дверного Белая гладкая 800х2032(h)х480</t>
  </si>
  <si>
    <t>ФУРНИТУРА</t>
  </si>
  <si>
    <t>7701.Р.1</t>
  </si>
  <si>
    <t>7702.Р.1</t>
  </si>
  <si>
    <t>8802.О.1</t>
  </si>
  <si>
    <t>8801.О.1</t>
  </si>
  <si>
    <t>Ручка - кнопка К30 черная матовая 1 шт. (в компл. саморезы)</t>
  </si>
  <si>
    <t>Ручка - кнопка К30 черная матовая 2 шт. (в компл. саморезы)</t>
  </si>
  <si>
    <t>Опора под саморез h-25 6 шт. (в компл. саморезы)</t>
  </si>
  <si>
    <t>Опора под саморез h-25 4 шт. (в компл. саморезы)</t>
  </si>
  <si>
    <t>2521897953364</t>
  </si>
  <si>
    <t>3536.17/01</t>
  </si>
  <si>
    <t>3537.17/02</t>
  </si>
  <si>
    <t>Прихожая Астерия Белая гладкая 1200х2045х356</t>
  </si>
  <si>
    <t>2521897953559</t>
  </si>
  <si>
    <t>2521897953492</t>
  </si>
  <si>
    <t>2521897953553</t>
  </si>
  <si>
    <t>03713.09/01</t>
  </si>
  <si>
    <t>Комод City New 6 ящиков Дуб Крафт золотой 1402х827(h)х394</t>
  </si>
  <si>
    <t>3750.05/01</t>
  </si>
  <si>
    <t>3808.09/02</t>
  </si>
  <si>
    <t>3807.09/01</t>
  </si>
  <si>
    <t>Шкаф 3х дверн. комбинир. City Plus Серый Графит</t>
  </si>
  <si>
    <t>Шкаф 3х дверн. комбинир. City Plus Серый Графит (всегда + арт 3808.09/02</t>
  </si>
  <si>
    <t>4458.05.17/01</t>
  </si>
  <si>
    <t>Прихожая Модуль 2 Дуб крафт золотой/Белая гладкая/Кожзам белый 800*1894*320</t>
  </si>
  <si>
    <t>MK1612501</t>
  </si>
  <si>
    <t>Система хранения Frame №1 ЛДСП Цемент темный молет, Черн. металл.1140х1808(h)х404</t>
  </si>
  <si>
    <t>Комод Neo Quattro с дверками Белая гладкая 1160*792*398</t>
  </si>
  <si>
    <t>03595</t>
  </si>
  <si>
    <t>4640219955539</t>
  </si>
  <si>
    <t>03750.05/01</t>
  </si>
  <si>
    <t>4640219956536</t>
  </si>
  <si>
    <t>2521897953546</t>
  </si>
  <si>
    <t>L3889</t>
  </si>
  <si>
    <t>L4458.05.17/01</t>
  </si>
  <si>
    <t>L3761.09/01</t>
  </si>
  <si>
    <t>L3713.09/01</t>
  </si>
  <si>
    <t>Шкаф комбинир. Шварцвальд ЛДСП Белая гладкая/Серый графит</t>
  </si>
  <si>
    <t>MK346170901</t>
  </si>
  <si>
    <t>3751.17/01</t>
  </si>
  <si>
    <t>Комод City New универсальный Белая гладкая 1402*1083*394</t>
  </si>
  <si>
    <t>2521897953563</t>
  </si>
  <si>
    <t>2521897953545</t>
  </si>
  <si>
    <t>2521897953562</t>
  </si>
  <si>
    <t>MK344170901</t>
  </si>
  <si>
    <t>Комод Шварцвальд 4 ящика ЛДСП Белая гладкая/Серый графит, черн.металл</t>
  </si>
  <si>
    <t>2521897953568</t>
  </si>
  <si>
    <t>2521897953570</t>
  </si>
  <si>
    <t>КРОВАТИ</t>
  </si>
  <si>
    <t>MK3431701</t>
  </si>
  <si>
    <t>Кровать Шварцвальд спм 900 ЛДСП Белая гладкая, черн.металл</t>
  </si>
  <si>
    <t>2521897953569</t>
  </si>
  <si>
    <t>2521897953567</t>
  </si>
  <si>
    <t>Стол письменный Шварцвальд комбинир. ЛДСП Белая гладкая/Серый графит черн.металл</t>
  </si>
  <si>
    <t>Стол письменный Шварцвальд ЛДСП Белая гладкая, черн.металл</t>
  </si>
  <si>
    <t>2521897953566</t>
  </si>
  <si>
    <t>2521897953564</t>
  </si>
  <si>
    <t>3962.17.09/01</t>
  </si>
  <si>
    <t>Тумба мобильная Шварцвальд 3 ящика Белая гладкая/Серый графит</t>
  </si>
  <si>
    <t>2521897953385</t>
  </si>
  <si>
    <t>2521897953565</t>
  </si>
  <si>
    <t>2521897953560</t>
  </si>
  <si>
    <t>4640219951791</t>
  </si>
  <si>
    <t>4640219958110</t>
  </si>
  <si>
    <t>Обувница Ultra 2 секции с ящиком Дуб крафт белый 520*946*274</t>
  </si>
  <si>
    <t>3761.06/01</t>
  </si>
  <si>
    <t>03761.06/01</t>
  </si>
  <si>
    <t>3893.09/01</t>
  </si>
  <si>
    <t>Система хранения Компакт 2 секции Серый графит 390*800*240</t>
  </si>
  <si>
    <t>MK348170901</t>
  </si>
  <si>
    <t>MK3471701</t>
  </si>
  <si>
    <t>5520897927668</t>
  </si>
  <si>
    <t>5520897927669</t>
  </si>
  <si>
    <t>5520897927670</t>
  </si>
  <si>
    <t>5520897927671</t>
  </si>
  <si>
    <t>5520897927672</t>
  </si>
  <si>
    <t>5520897927674</t>
  </si>
  <si>
    <t>5520897927675</t>
  </si>
  <si>
    <t>5520897927676</t>
  </si>
  <si>
    <t>5520897927677</t>
  </si>
  <si>
    <t>5520897927678</t>
  </si>
  <si>
    <t>5520897927679</t>
  </si>
  <si>
    <t>5520897927680</t>
  </si>
  <si>
    <t>5520897927681</t>
  </si>
  <si>
    <t>5520897927682</t>
  </si>
  <si>
    <t>5520897927664</t>
  </si>
  <si>
    <t>5520897927673</t>
  </si>
  <si>
    <t>5520897927683</t>
  </si>
  <si>
    <t>5520897927684</t>
  </si>
  <si>
    <t>5520897927685</t>
  </si>
  <si>
    <t>5520897927686</t>
  </si>
  <si>
    <t>5520897927688</t>
  </si>
  <si>
    <t>LMK00018</t>
  </si>
  <si>
    <t>LMK1030201</t>
  </si>
  <si>
    <t>LMK1100201</t>
  </si>
  <si>
    <t>4620263151712</t>
  </si>
  <si>
    <t>4620263151699</t>
  </si>
  <si>
    <t>03962.17.09/01</t>
  </si>
  <si>
    <t>4620263151675</t>
  </si>
  <si>
    <t>3961.07.01/01</t>
  </si>
  <si>
    <t>Стеллаж трансформер с дверками Антрацит/Дуб Вотан 762*1342/1646/250*746</t>
  </si>
  <si>
    <t>3808.20/02</t>
  </si>
  <si>
    <t>Шкаф 3 дверн. City Plus Цемент светлый молет (всегда + арт 3808.20/02)</t>
  </si>
  <si>
    <t>2521897953547</t>
  </si>
  <si>
    <t>03961.07.01/01</t>
  </si>
  <si>
    <t>2521897953571</t>
  </si>
  <si>
    <t>03893.17/01</t>
  </si>
  <si>
    <t>03893.09/01</t>
  </si>
  <si>
    <t>4640219957694</t>
  </si>
  <si>
    <t>4640219957687</t>
  </si>
  <si>
    <t>03751.11/01</t>
  </si>
  <si>
    <t>03751.03.17/01</t>
  </si>
  <si>
    <t>4640219959070</t>
  </si>
  <si>
    <t>03864</t>
  </si>
  <si>
    <t>4640219956932</t>
  </si>
  <si>
    <t>4640219959667</t>
  </si>
  <si>
    <t>04154.17.05/01</t>
  </si>
  <si>
    <t>04014.02.03/01</t>
  </si>
  <si>
    <t>04153.17.05/01</t>
  </si>
  <si>
    <t>03748.03/01</t>
  </si>
  <si>
    <t>03748.06/01</t>
  </si>
  <si>
    <t>03749.03/01</t>
  </si>
  <si>
    <t>03807.05/01</t>
  </si>
  <si>
    <t>03808.05/02</t>
  </si>
  <si>
    <t>03807.06/01</t>
  </si>
  <si>
    <t>6601.17/01</t>
  </si>
  <si>
    <t>5501.17/01К1</t>
  </si>
  <si>
    <t>Фасад Сорренто ФС Белая гладкая</t>
  </si>
  <si>
    <t>Каркас Универсальный К.1 шкафа 1 дверного Белая гладкая 400х2032(h)х480</t>
  </si>
  <si>
    <t>L3536.17/01</t>
  </si>
  <si>
    <t>LMK346170901</t>
  </si>
  <si>
    <t>LMK3471701</t>
  </si>
  <si>
    <t>LMK348170901</t>
  </si>
  <si>
    <t>LMK344170901</t>
  </si>
  <si>
    <t>L3962.17.09/01</t>
  </si>
  <si>
    <t>L3750.05/01</t>
  </si>
  <si>
    <t>L3751.17/01</t>
  </si>
  <si>
    <t>L3713</t>
  </si>
  <si>
    <t>L30018</t>
  </si>
  <si>
    <t>L3893.09/01</t>
  </si>
  <si>
    <t>L3961.07.01/01</t>
  </si>
  <si>
    <t>L6001</t>
  </si>
  <si>
    <t>LMK2410101</t>
  </si>
  <si>
    <t>MK2630901</t>
  </si>
  <si>
    <t>Тумба прикроватная Fiji с дверкой ЛДСП Серый Графит, Черн.металл 426х615(h)х448</t>
  </si>
  <si>
    <t>Стеллаж Frame угловой ЛДСП Дуб Вотан, Черн. металл.</t>
  </si>
  <si>
    <t>135520.12/01</t>
  </si>
  <si>
    <t>Стол письменный УЛЬТРА (1,058х0,75х0,45) Черный</t>
  </si>
  <si>
    <t>3807.17/01</t>
  </si>
  <si>
    <t>3808.17/02</t>
  </si>
  <si>
    <t>Шкаф 3 дверн. комбинир. City Plus Белая гладкая (всегда + арт 3808.17/02)</t>
  </si>
  <si>
    <t>Шкаф 3 дверн. комбинир. City Plus Белая гладкая 1050*1996*474</t>
  </si>
  <si>
    <t>LМ00015</t>
  </si>
  <si>
    <t>L412327</t>
  </si>
  <si>
    <t>L412328</t>
  </si>
  <si>
    <t>L10002</t>
  </si>
  <si>
    <t>L2566</t>
  </si>
  <si>
    <t>L2540</t>
  </si>
  <si>
    <t>L4303418</t>
  </si>
  <si>
    <t>L580352</t>
  </si>
  <si>
    <t>L580337</t>
  </si>
  <si>
    <t>L580353</t>
  </si>
  <si>
    <t>L915200</t>
  </si>
  <si>
    <t>L580354</t>
  </si>
  <si>
    <t>L580355</t>
  </si>
  <si>
    <t>L580357</t>
  </si>
  <si>
    <t>L915201</t>
  </si>
  <si>
    <t>L3053</t>
  </si>
  <si>
    <t>L2543</t>
  </si>
  <si>
    <t>L3174</t>
  </si>
  <si>
    <t>L9014</t>
  </si>
  <si>
    <t>L3091</t>
  </si>
  <si>
    <t>L3048</t>
  </si>
  <si>
    <t>L3110</t>
  </si>
  <si>
    <t>L59599</t>
  </si>
  <si>
    <t>L3188</t>
  </si>
  <si>
    <t>L12473</t>
  </si>
  <si>
    <t>L775</t>
  </si>
  <si>
    <t>L412320</t>
  </si>
  <si>
    <t>L412322</t>
  </si>
  <si>
    <t>L412323</t>
  </si>
  <si>
    <t>L412324</t>
  </si>
  <si>
    <t>L412325</t>
  </si>
  <si>
    <t>L412326</t>
  </si>
  <si>
    <t>L412331</t>
  </si>
  <si>
    <t>L412332</t>
  </si>
  <si>
    <t>L59593</t>
  </si>
  <si>
    <t>2521897953583</t>
  </si>
  <si>
    <t>2521897953523</t>
  </si>
  <si>
    <t>2521897953588</t>
  </si>
  <si>
    <t>5551.17/01С</t>
  </si>
  <si>
    <t>Шкаф Сорренто 1 дверный Белая гладкая 400х2057(h)х480</t>
  </si>
  <si>
    <t>3895.03/01</t>
  </si>
  <si>
    <t>3895.09/01</t>
  </si>
  <si>
    <t>Система хранения Компакт 3 секции Дуб сонома 390х1190(h)х240</t>
  </si>
  <si>
    <t>Система хранения Компакт 3 секции Серый Графит 390х1190(h)х240</t>
  </si>
  <si>
    <t>03895.17/01</t>
  </si>
  <si>
    <t>03895.03/01</t>
  </si>
  <si>
    <t>03895.09/01</t>
  </si>
  <si>
    <t>03807.09/01</t>
  </si>
  <si>
    <t>03807.17/01</t>
  </si>
  <si>
    <t>2521897953591</t>
  </si>
  <si>
    <t>2521897953592</t>
  </si>
  <si>
    <t>4640219957830</t>
  </si>
  <si>
    <t>4640219957823</t>
  </si>
  <si>
    <t>2521897953586</t>
  </si>
  <si>
    <t>4640219958912</t>
  </si>
  <si>
    <t>4640219958950</t>
  </si>
  <si>
    <t>5520897927689</t>
  </si>
  <si>
    <t>L12017</t>
  </si>
  <si>
    <t>L12602</t>
  </si>
  <si>
    <t>L12605</t>
  </si>
  <si>
    <t>L12607</t>
  </si>
  <si>
    <t>LМ00014</t>
  </si>
  <si>
    <t>LМ00016</t>
  </si>
  <si>
    <t>LМ000101</t>
  </si>
  <si>
    <t>LМ000120</t>
  </si>
  <si>
    <t>L4303376</t>
  </si>
  <si>
    <t>L4303384</t>
  </si>
  <si>
    <t>L2553</t>
  </si>
  <si>
    <t>LМ0421</t>
  </si>
  <si>
    <t>L50217945</t>
  </si>
  <si>
    <t>5004.05/01</t>
  </si>
  <si>
    <t>Полка навесная Кантон дуб крафт золотой</t>
  </si>
  <si>
    <t>05004.05/01</t>
  </si>
  <si>
    <t>L2923</t>
  </si>
  <si>
    <t>L3895.03/01</t>
  </si>
  <si>
    <t>2521897953310</t>
  </si>
  <si>
    <t>2521897952733</t>
  </si>
  <si>
    <t>2521897953578</t>
  </si>
  <si>
    <t>Комод Сорренто 4 ящика Белая гладкая 800*853*480</t>
  </si>
  <si>
    <t>4506.17/01</t>
  </si>
  <si>
    <t>04506.17/01</t>
  </si>
  <si>
    <t>2521897953581</t>
  </si>
  <si>
    <t>МК.263.09.01</t>
  </si>
  <si>
    <t>МК.241.25.01</t>
  </si>
  <si>
    <t>МК.183.01.01</t>
  </si>
  <si>
    <t>МК.183.02.01</t>
  </si>
  <si>
    <t>МК.185.20.01</t>
  </si>
  <si>
    <t>МК.190.01.01</t>
  </si>
  <si>
    <t>МК.147.20.01</t>
  </si>
  <si>
    <t>МК.133.08.01</t>
  </si>
  <si>
    <t>МК.107.01.01</t>
  </si>
  <si>
    <t>МК.229.01.01</t>
  </si>
  <si>
    <t>МК.216.20.01</t>
  </si>
  <si>
    <t>МК.141.02.01</t>
  </si>
  <si>
    <t>МК.113.01.01</t>
  </si>
  <si>
    <t>L3895.09/01</t>
  </si>
  <si>
    <t>МК.125.06.01</t>
  </si>
  <si>
    <t>MK1250601</t>
  </si>
  <si>
    <t>Стеллаж Tokyo Plus ЛДСП Дуб Крафт белый, Черн. металл. 900х1758(h)х290</t>
  </si>
  <si>
    <t>4640219957380</t>
  </si>
  <si>
    <t>2039611752525</t>
  </si>
  <si>
    <t>4640219957465</t>
  </si>
  <si>
    <t>MK1440601</t>
  </si>
  <si>
    <t>МК.144.06.01</t>
  </si>
  <si>
    <t>03556</t>
  </si>
  <si>
    <t>Стеллаж Frame комбинирован. ЛДСП Дуб Крафт Белый, Черн. металл. 712х1550(h)х278</t>
  </si>
  <si>
    <t>MK2570101</t>
  </si>
  <si>
    <t>Шкаф комод City lite ЛДСП Дуб Вотан, Черн. металл. 1032х957(h)х354</t>
  </si>
  <si>
    <t>3774.17/01</t>
  </si>
  <si>
    <t>03774.17/01</t>
  </si>
  <si>
    <t>Стеллаж Quattro New 4 секций (квадрат) Белая гладкая 642*644*288</t>
  </si>
  <si>
    <t>Хабибуллина</t>
  </si>
  <si>
    <t>4640219950220</t>
  </si>
  <si>
    <t>2521897953575</t>
  </si>
  <si>
    <t>03761.17/01</t>
  </si>
  <si>
    <t>2521897953595</t>
  </si>
  <si>
    <t>2521897953533</t>
  </si>
  <si>
    <t>3968.17/01</t>
  </si>
  <si>
    <t>Стойка барная Сити Белая гладкая 1100х1064(h)х440</t>
  </si>
  <si>
    <t>3537.01/02</t>
  </si>
  <si>
    <t>Прихожая Астерия Дуб Вотан 1200х2045х356</t>
  </si>
  <si>
    <t>L4506.17/01</t>
  </si>
  <si>
    <t>L3761.06/01</t>
  </si>
  <si>
    <t>LMK2570101</t>
  </si>
  <si>
    <t>LMK1450101</t>
  </si>
  <si>
    <t>LMK2220101</t>
  </si>
  <si>
    <t>LMK1250601</t>
  </si>
  <si>
    <t>LMK1860101</t>
  </si>
  <si>
    <t>L5004.05/01</t>
  </si>
  <si>
    <t>3968.05Ч/01</t>
  </si>
  <si>
    <t>Стойка барная Сити Дуб Крафт золотой 1100х1064(h)х440</t>
  </si>
  <si>
    <t>LMK1862001</t>
  </si>
  <si>
    <t>LMK1930101</t>
  </si>
  <si>
    <t>LMK000182501</t>
  </si>
  <si>
    <t>4640219956369</t>
  </si>
  <si>
    <t>МК.347.17.01</t>
  </si>
  <si>
    <t>03548</t>
  </si>
  <si>
    <t>03549</t>
  </si>
  <si>
    <t>02404</t>
  </si>
  <si>
    <t>03451</t>
  </si>
  <si>
    <t>03644</t>
  </si>
  <si>
    <t>03787</t>
  </si>
  <si>
    <t>03608</t>
  </si>
  <si>
    <t>03455</t>
  </si>
  <si>
    <t>03773</t>
  </si>
  <si>
    <t>03769</t>
  </si>
  <si>
    <t>03392</t>
  </si>
  <si>
    <t>03239</t>
  </si>
  <si>
    <t>03457</t>
  </si>
  <si>
    <t>03603</t>
  </si>
  <si>
    <t>03733</t>
  </si>
  <si>
    <t>03453</t>
  </si>
  <si>
    <t>03298</t>
  </si>
  <si>
    <t>03768</t>
  </si>
  <si>
    <t>03868</t>
  </si>
  <si>
    <t>03869</t>
  </si>
  <si>
    <t>03395</t>
  </si>
  <si>
    <t>03879</t>
  </si>
  <si>
    <t>03880</t>
  </si>
  <si>
    <t>03876</t>
  </si>
  <si>
    <t>03874</t>
  </si>
  <si>
    <t>03877</t>
  </si>
  <si>
    <t>03875</t>
  </si>
  <si>
    <t>03707</t>
  </si>
  <si>
    <t>03782</t>
  </si>
  <si>
    <t>03883</t>
  </si>
  <si>
    <t>03884</t>
  </si>
  <si>
    <t>03650</t>
  </si>
  <si>
    <t>03736</t>
  </si>
  <si>
    <t>03743</t>
  </si>
  <si>
    <t>03313</t>
  </si>
  <si>
    <t>03284</t>
  </si>
  <si>
    <t>03574</t>
  </si>
  <si>
    <t>03581</t>
  </si>
  <si>
    <t>03885</t>
  </si>
  <si>
    <t>03454</t>
  </si>
  <si>
    <t>03731</t>
  </si>
  <si>
    <t>03744</t>
  </si>
  <si>
    <t>03834</t>
  </si>
  <si>
    <t>03248</t>
  </si>
  <si>
    <t>03253</t>
  </si>
  <si>
    <t>03789</t>
  </si>
  <si>
    <t>03553</t>
  </si>
  <si>
    <t>03685</t>
  </si>
  <si>
    <t>03732</t>
  </si>
  <si>
    <t>03761</t>
  </si>
  <si>
    <t>03788</t>
  </si>
  <si>
    <t>03393</t>
  </si>
  <si>
    <t>03567</t>
  </si>
  <si>
    <t>03402</t>
  </si>
  <si>
    <t>03562</t>
  </si>
  <si>
    <t>03583</t>
  </si>
  <si>
    <t>03602</t>
  </si>
  <si>
    <t>03604</t>
  </si>
  <si>
    <t>03594</t>
  </si>
  <si>
    <t>03616</t>
  </si>
  <si>
    <t>03547</t>
  </si>
  <si>
    <t>03730</t>
  </si>
  <si>
    <t>03734</t>
  </si>
  <si>
    <t>03318</t>
  </si>
  <si>
    <t>03560</t>
  </si>
  <si>
    <t>03839</t>
  </si>
  <si>
    <t>03300</t>
  </si>
  <si>
    <t>03578</t>
  </si>
  <si>
    <t>02471</t>
  </si>
  <si>
    <t>03546</t>
  </si>
  <si>
    <t>03545</t>
  </si>
  <si>
    <t>03400</t>
  </si>
  <si>
    <t>03286</t>
  </si>
  <si>
    <t>04011</t>
  </si>
  <si>
    <t>03763</t>
  </si>
  <si>
    <t>03957.17/01</t>
  </si>
  <si>
    <t>03958.17/01</t>
  </si>
  <si>
    <t>03750</t>
  </si>
  <si>
    <t>03582</t>
  </si>
  <si>
    <t>03617</t>
  </si>
  <si>
    <t>03618</t>
  </si>
  <si>
    <t>03619</t>
  </si>
  <si>
    <t>03544</t>
  </si>
  <si>
    <t>03620</t>
  </si>
  <si>
    <t>03621</t>
  </si>
  <si>
    <t>03622</t>
  </si>
  <si>
    <t>03623</t>
  </si>
  <si>
    <t>03624</t>
  </si>
  <si>
    <t>03625</t>
  </si>
  <si>
    <t>03626</t>
  </si>
  <si>
    <t>03767</t>
  </si>
  <si>
    <t>03792</t>
  </si>
  <si>
    <t>03572</t>
  </si>
  <si>
    <t>03573</t>
  </si>
  <si>
    <t>03728</t>
  </si>
  <si>
    <t>03728.05/01</t>
  </si>
  <si>
    <t>03728.06/01</t>
  </si>
  <si>
    <t>03728.20/01</t>
  </si>
  <si>
    <t>03709</t>
  </si>
  <si>
    <t>03709.20/01</t>
  </si>
  <si>
    <t>03378</t>
  </si>
  <si>
    <t>03577</t>
  </si>
  <si>
    <t>03700</t>
  </si>
  <si>
    <t>03681</t>
  </si>
  <si>
    <t>03681.20/01</t>
  </si>
  <si>
    <t>03708</t>
  </si>
  <si>
    <t>03810</t>
  </si>
  <si>
    <t>МК.300.01.01</t>
  </si>
  <si>
    <t>МК.299.01.01</t>
  </si>
  <si>
    <t>МК.00003</t>
  </si>
  <si>
    <t>МК.00032</t>
  </si>
  <si>
    <t>03770.06/01</t>
  </si>
  <si>
    <t>03770.09/01</t>
  </si>
  <si>
    <t>03605</t>
  </si>
  <si>
    <t>03921.17/01</t>
  </si>
  <si>
    <t>03770.05/01</t>
  </si>
  <si>
    <t>03770.05Ч/01</t>
  </si>
  <si>
    <t>03409</t>
  </si>
  <si>
    <t>03397</t>
  </si>
  <si>
    <t>03579</t>
  </si>
  <si>
    <t>03687</t>
  </si>
  <si>
    <t>03688</t>
  </si>
  <si>
    <t>03580</t>
  </si>
  <si>
    <t>03555</t>
  </si>
  <si>
    <t>03568</t>
  </si>
  <si>
    <t>03724</t>
  </si>
  <si>
    <t>03299</t>
  </si>
  <si>
    <t>03550</t>
  </si>
  <si>
    <t>03551</t>
  </si>
  <si>
    <t>03694</t>
  </si>
  <si>
    <t>03838</t>
  </si>
  <si>
    <t>03740</t>
  </si>
  <si>
    <t>03741</t>
  </si>
  <si>
    <t>03739</t>
  </si>
  <si>
    <t>03867</t>
  </si>
  <si>
    <t>03737</t>
  </si>
  <si>
    <t>03735</t>
  </si>
  <si>
    <t>03738</t>
  </si>
  <si>
    <t>03837</t>
  </si>
  <si>
    <t>03835</t>
  </si>
  <si>
    <t>03711.09/01</t>
  </si>
  <si>
    <t>03711.17/01</t>
  </si>
  <si>
    <t>03704.17/01</t>
  </si>
  <si>
    <t>03872</t>
  </si>
  <si>
    <t>03751</t>
  </si>
  <si>
    <t>3608.05/01</t>
  </si>
  <si>
    <t>Стол обеденный Nicole раскладной ЛДСП Дуб Крафт золотой</t>
  </si>
  <si>
    <t>Стол обеденный Nicole раскладной ЛДСП Черный</t>
  </si>
  <si>
    <t>Стол обеденный Nicole раскладной ЛДСП Дуб Крафт золотой/черный</t>
  </si>
  <si>
    <t>3608.12/01</t>
  </si>
  <si>
    <t>3608.05.12/01</t>
  </si>
  <si>
    <t>LMK2630901</t>
  </si>
  <si>
    <t>MK242182101</t>
  </si>
  <si>
    <t>Каркас Универсальный К.1 шкафа 2х дверного Серый графит 800х2032(h)х480</t>
  </si>
  <si>
    <t>5502.09/01К1</t>
  </si>
  <si>
    <t>3537.05.09/02</t>
  </si>
  <si>
    <t>Прихожая Астерия Дуб крафт золотой/Серый графит 1200х2045х356 (всегда + арт. 3537.05.09/02)</t>
  </si>
  <si>
    <t>Прихожая Астерия Дуб крафт золотой/Серый графит 1200х2045х356</t>
  </si>
  <si>
    <t>3708.17/01</t>
  </si>
  <si>
    <t>Стеллаж Quattro New 4 секций с дверками Белая гладкая 642х644(h)х292</t>
  </si>
  <si>
    <t>03708.09/01</t>
  </si>
  <si>
    <t>03708.17/01</t>
  </si>
  <si>
    <t>2521897953601</t>
  </si>
  <si>
    <t>МК.168.01.01</t>
  </si>
  <si>
    <t>МК.139000111</t>
  </si>
  <si>
    <t>МК.144.25.01</t>
  </si>
  <si>
    <t>Фасад Сентьеро ФСт Дуб Крафт Золотой/Фотопечать 2шт. 396х1992(h)х16</t>
  </si>
  <si>
    <t>6611.05Ф/01</t>
  </si>
  <si>
    <t>MK262010151</t>
  </si>
  <si>
    <t>Тумба прикроватная Tokyo комбинированная ЛДСП Дуб Вотан/Спанбонд черный, черн.металл 400*584*385</t>
  </si>
  <si>
    <t>LMK3431701</t>
  </si>
  <si>
    <t>МК.343.17.01</t>
  </si>
  <si>
    <t>4640219956055</t>
  </si>
  <si>
    <t>МК.262.01.01.51</t>
  </si>
  <si>
    <t>4620263153358</t>
  </si>
  <si>
    <t>4620263153754</t>
  </si>
  <si>
    <t>4620263153785</t>
  </si>
  <si>
    <t>4620263153761</t>
  </si>
  <si>
    <t>3608.17/01</t>
  </si>
  <si>
    <t>3608.06/01</t>
  </si>
  <si>
    <t>4620263153778</t>
  </si>
  <si>
    <t>4620263153730</t>
  </si>
  <si>
    <t>Стол обеденный Nicole раскладной ЛДСП Дуб Крафт белый</t>
  </si>
  <si>
    <t>Стол обеденный Nicole раскладной ЛДСП Белая гладкая</t>
  </si>
  <si>
    <t>2521897953543</t>
  </si>
  <si>
    <t>l3968.17/01</t>
  </si>
  <si>
    <t>2521897953487</t>
  </si>
  <si>
    <t>4660041008104</t>
  </si>
  <si>
    <t>L3750.01/01</t>
  </si>
  <si>
    <t>L3536.01/01</t>
  </si>
  <si>
    <t>L3968.17/01</t>
  </si>
  <si>
    <t>LMK262010151</t>
  </si>
  <si>
    <t>6604.17/01</t>
  </si>
  <si>
    <t>Фасад Сорренто ФС Белая гладкая (2 шт)</t>
  </si>
  <si>
    <t>4620263153396</t>
  </si>
  <si>
    <t>L3968.05Ч/01</t>
  </si>
  <si>
    <t>Стол письменный Frame New с ящ., с полкой ЛДСП Белое тиснение. черн.металл 800х760(h)х510</t>
  </si>
  <si>
    <t>3947.17/01</t>
  </si>
  <si>
    <t>Комод стол Брюгге Белая гладкая 1208*788*448/1154</t>
  </si>
  <si>
    <t>3968.25Ч/01</t>
  </si>
  <si>
    <t>Стойка барная Сити Цемент темный молет 1100х1064(h)х440</t>
  </si>
  <si>
    <t>5000.05.09/01</t>
  </si>
  <si>
    <t>Комод Кантон 4 ящика Дуб Крафт Золотой/Серый Графит 800х853(h)х474</t>
  </si>
  <si>
    <t>MK3081701</t>
  </si>
  <si>
    <t>Стол книжка Лайт ЛДСП Белая гладкая, черн.металл 1550/190*750*750</t>
  </si>
  <si>
    <t>4620263153815</t>
  </si>
  <si>
    <t>ПШ.271.71</t>
  </si>
  <si>
    <t>ПШ.279.72</t>
  </si>
  <si>
    <t>ПШ.280.72</t>
  </si>
  <si>
    <t>ПШ27171</t>
  </si>
  <si>
    <t>ПШ27972</t>
  </si>
  <si>
    <t>ПШ28072</t>
  </si>
  <si>
    <t>4620263153822</t>
  </si>
  <si>
    <t>4620263153839</t>
  </si>
  <si>
    <t>Органайзер ткань мебельная Tony 10 Стеллажа Zett  250х250(h)х249</t>
  </si>
  <si>
    <t>Органайзер ткань мебельная Tony 14 Стеллажа Zett 500х250(h)х210</t>
  </si>
  <si>
    <t>Органайзер ткань мебельная Tony 14 Стеллажа Hardy Лайт 2 550х270(h)х210</t>
  </si>
  <si>
    <t>5006.05.09/01</t>
  </si>
  <si>
    <t>Стол письменный Кантон комбинированный Дуб Крафт Золотой/Серый Графит 1100х754(h)х670</t>
  </si>
  <si>
    <t>MK3080601</t>
  </si>
  <si>
    <t>MK3080901</t>
  </si>
  <si>
    <t>Стол книжка Лайт ЛДСП Дуб Крафт Белый, черн.металл 1550/190*750*750</t>
  </si>
  <si>
    <t>Стол книжка Лайт ЛДСП Серый Графит, Черн. металл. 1550/190х750(h)х750</t>
  </si>
  <si>
    <t>4620263153129</t>
  </si>
  <si>
    <t>4620263152887</t>
  </si>
  <si>
    <t>4620263153082</t>
  </si>
  <si>
    <t>2521897953215</t>
  </si>
  <si>
    <t>4640219953894</t>
  </si>
  <si>
    <t>2521897953598</t>
  </si>
  <si>
    <t>4620263153402</t>
  </si>
  <si>
    <t>4640219959209</t>
  </si>
  <si>
    <t>4640219959247</t>
  </si>
  <si>
    <t>4640219959223</t>
  </si>
  <si>
    <t>L3947.17/01</t>
  </si>
  <si>
    <t>L3708.17/01</t>
  </si>
  <si>
    <t>L3968.25Ч/01</t>
  </si>
  <si>
    <t>L5000.05.09/01</t>
  </si>
  <si>
    <t>L5006.05.09/01</t>
  </si>
  <si>
    <t>13003.17/01</t>
  </si>
  <si>
    <t>13004.17/01</t>
  </si>
  <si>
    <t>Антресоль Монте 2х дверная Белая гладкая 800х350(h)х470</t>
  </si>
  <si>
    <t>Антресоль Монте 3х дверная Белая гладкая 1200х350(h)х470</t>
  </si>
  <si>
    <t>MK1252501</t>
  </si>
  <si>
    <t>Стеллаж Tokyo Plus ЛДСП Цемент темный молет, Черн. металл. 900х1758(h)х290</t>
  </si>
  <si>
    <t>MK3080501</t>
  </si>
  <si>
    <t>Стол книжка Лайт ЛДСП Дуб Крафт золотой, Черн. металл. 1550/190х750(h)х750</t>
  </si>
  <si>
    <t>Тумба прикроватная Fiji с дверкой ЛДСП Дуб Крафт Белый, Черн.металл 426х615(h)х448</t>
  </si>
  <si>
    <t>MK2630601</t>
  </si>
  <si>
    <t>L3774.17/01</t>
  </si>
  <si>
    <t>LMK1612501</t>
  </si>
  <si>
    <t>МК.125.25.01</t>
  </si>
  <si>
    <t>L3536.01/01L3537.01/02</t>
  </si>
  <si>
    <t>L3536.05.09/01L3537.05.09/02</t>
  </si>
  <si>
    <t>L3608</t>
  </si>
  <si>
    <t>L3608.05/01</t>
  </si>
  <si>
    <t>L3608.12/01</t>
  </si>
  <si>
    <t>L3608.05.12/01</t>
  </si>
  <si>
    <t>4640219959230</t>
  </si>
  <si>
    <t>4620263150258</t>
  </si>
  <si>
    <t>4640219957397</t>
  </si>
  <si>
    <t>2521897953550</t>
  </si>
  <si>
    <t>MK251010151</t>
  </si>
  <si>
    <t>Тумба корзина для белья Tokyo комбинированная ЛДСП Дуб Вотан/Спанбонд черный,черн.металл 710*724*290</t>
  </si>
  <si>
    <t>2521897953544</t>
  </si>
  <si>
    <t>LMK1370201</t>
  </si>
  <si>
    <t>LMK1710101</t>
  </si>
  <si>
    <t>10002.17/01К3</t>
  </si>
  <si>
    <t>10003.17/01К3</t>
  </si>
  <si>
    <t>11001.17/01</t>
  </si>
  <si>
    <t>Каркас Универсальный К.3 шкафа 2х дверного Белая гладкая 800х2032(h)х454</t>
  </si>
  <si>
    <t>Каркас Универсальный К.3 шкафа 3х дверного Белая гладкая 1200х2032(h)х454</t>
  </si>
  <si>
    <t>Фасад Монте ФМ Белая гладкая 1шт. 396х2030(h)х16</t>
  </si>
  <si>
    <t>Столик консольный Валенсия Бетон СТМ011 900*750*420</t>
  </si>
  <si>
    <t>5003.05.09/01</t>
  </si>
  <si>
    <t>Тумба мобильная Кантон 3 ящика Дуб Крафт Золотой/Серый Графит 400х690(h)х386</t>
  </si>
  <si>
    <t>MK189010151</t>
  </si>
  <si>
    <t>Тумба прикроватная Capri 2 ящ. ЛДСП Дуб Вотан/Спанбонд черный, Черн. Металл 412х536(h)х292</t>
  </si>
  <si>
    <t>2521897953600</t>
  </si>
  <si>
    <t>Стол компьютерный рабочий Orion Графит 110х75х60</t>
  </si>
  <si>
    <t>3968.04/01</t>
  </si>
  <si>
    <t>Стойка барная Сити Крафт Серый 1100х1064(h)х440</t>
  </si>
  <si>
    <t>4620263153334</t>
  </si>
  <si>
    <t>4620263153105</t>
  </si>
  <si>
    <t>5002.05.09/01</t>
  </si>
  <si>
    <t>Шкаф Пенал Кантон Дуб Крафт Золотой/Серый Графит 400х2057*474</t>
  </si>
  <si>
    <t>3945.17/01</t>
  </si>
  <si>
    <t>Обувница Нео Белая гладкая/Кожзам белый 562*489*334</t>
  </si>
  <si>
    <t>2521897953458</t>
  </si>
  <si>
    <t>4620263153365</t>
  </si>
  <si>
    <t>LMK251010151</t>
  </si>
  <si>
    <t>L5551.17/01С</t>
  </si>
  <si>
    <t>LMK2630601</t>
  </si>
  <si>
    <t>L5002.05.09/01</t>
  </si>
  <si>
    <t>L3945.17/01</t>
  </si>
  <si>
    <t>L5003.05.09/01</t>
  </si>
  <si>
    <t>11002.17/01</t>
  </si>
  <si>
    <t>Фасад Монте ФМ Белая гладкая 2шт. 396х2030(h)х16</t>
  </si>
  <si>
    <t>L3968.04/01</t>
  </si>
  <si>
    <t>L3713L3714</t>
  </si>
  <si>
    <t>4640219950206</t>
  </si>
  <si>
    <t>Комод Универсальный детский 3 ящика с выдвижной полкой Белое тиснение 750х644(h)х334</t>
  </si>
  <si>
    <t>4000.02.03/01</t>
  </si>
  <si>
    <t>Комод Лион 4 ящика Белое тиснение/Дуб сонома 750х828(h)х398</t>
  </si>
  <si>
    <t>4620263154492</t>
  </si>
  <si>
    <t>4620263152382</t>
  </si>
  <si>
    <t>L3835</t>
  </si>
  <si>
    <t>L13003.17/01</t>
  </si>
  <si>
    <t>L3855</t>
  </si>
  <si>
    <t>L4000.02.03/01</t>
  </si>
  <si>
    <t>Стол письменный компьютерный с полками Гамма Дуб Крафт золотой 179*53*75,5</t>
  </si>
  <si>
    <t>Стол письменный компьютерный с полками Гамма Дуб Крафт белый 179*53*75,5</t>
  </si>
  <si>
    <t>10001.17/01К3</t>
  </si>
  <si>
    <t>Каркас Универсальный К.3 шкафа 1 дверного Белая гладкая 400х2032(h)х454</t>
  </si>
  <si>
    <t>4620263152580</t>
  </si>
  <si>
    <t>4620263154508</t>
  </si>
  <si>
    <t>Мисесина</t>
  </si>
  <si>
    <t>L3717L3718L3719</t>
  </si>
  <si>
    <t>3751.06/01</t>
  </si>
  <si>
    <t>Комод City New универсальный Дуб Крафт Белый 1402х1083(h)х394</t>
  </si>
  <si>
    <t>4640219950626</t>
  </si>
  <si>
    <t>МК.183.25.01</t>
  </si>
  <si>
    <t>МК.185.25.01</t>
  </si>
  <si>
    <t>МК.183.06.01</t>
  </si>
  <si>
    <t>MK1832501</t>
  </si>
  <si>
    <t>MK1830601</t>
  </si>
  <si>
    <t>MK1852501</t>
  </si>
  <si>
    <t>4640219956505</t>
  </si>
  <si>
    <t>4640219956512</t>
  </si>
  <si>
    <t>Шкаф комод Frame 4х дверный ЛДСП Цемент темный молет, Черн. металл. 700х910(h)х300</t>
  </si>
  <si>
    <t>Шкаф комод Frame 2х дверный с ящиками ЛДСП Цемент темный молет, Черн. металл. 700х910(h)х300</t>
  </si>
  <si>
    <t>Шкаф комод Frame 4х дверный ЛДСП Дуб Крафт Белый, Черн. металл. 700х910(h)х300</t>
  </si>
  <si>
    <t>L3608.06/01</t>
  </si>
  <si>
    <t>L3608.17/01</t>
  </si>
  <si>
    <t>L3708.01/01</t>
  </si>
  <si>
    <t>L3708.06/01</t>
  </si>
  <si>
    <t>L3713.06/01</t>
  </si>
  <si>
    <t>L3751.06/01</t>
  </si>
  <si>
    <t>L3807.06/01L3808.06/02</t>
  </si>
  <si>
    <t>L3807.17/01L3808.17/02</t>
  </si>
  <si>
    <t>L3835L3836</t>
  </si>
  <si>
    <t>L3536.09/01L3537.09/02</t>
  </si>
  <si>
    <t>13002.17/01</t>
  </si>
  <si>
    <t>Тумба Монте 2 ящика Белая гладкая 400х457(h)х392</t>
  </si>
  <si>
    <t xml:space="preserve"> Комод Универсальный 4 ящика с выдвижной полкой  Дуб Вотан 886х890(h)х454</t>
  </si>
  <si>
    <t>4010.02.03/01</t>
  </si>
  <si>
    <t>Комод Лион 3 ящика Белое тиснение/Дуб сонома 750х636(h)х398</t>
  </si>
  <si>
    <t>Стеллаж Fiji ЛДСП дуб вотан Черн. металл</t>
  </si>
  <si>
    <t>4620263150364</t>
  </si>
  <si>
    <t>4640219951777</t>
  </si>
  <si>
    <t>4620263152313</t>
  </si>
  <si>
    <t>4620263153808</t>
  </si>
  <si>
    <t>46602041006064</t>
  </si>
  <si>
    <t>4620263154515</t>
  </si>
  <si>
    <t>MK142010105</t>
  </si>
  <si>
    <t>МК.142.01.01.05</t>
  </si>
  <si>
    <t>12001.Р.3</t>
  </si>
  <si>
    <t>Ручка СА-6 L1000 (960) Черная металл. 1шт.</t>
  </si>
  <si>
    <t>Комод Capri 6 ящиков ЛДСП Дуб Вотан/Ткань Capri 30, Черн. металл. 800х736(h)х292</t>
  </si>
  <si>
    <t>L3536.20/01L3537.20/02</t>
  </si>
  <si>
    <t>13001.17/01</t>
  </si>
  <si>
    <t>Комод Монте 4 ящика Белая гладкая 800х853(h)х480</t>
  </si>
  <si>
    <t>5851.17/01.М</t>
  </si>
  <si>
    <t>Шкаф Монте 1 дверный Белая гладкая 400х2032(h)х454</t>
  </si>
  <si>
    <t>Стеллаж этажерка Tokyo Lite с дверк. ЛДСП Дуб Вотан, Черн.металл. 710х1750(h)х386</t>
  </si>
  <si>
    <t>L4001.02.03/01</t>
  </si>
  <si>
    <t>4001.02.03/01</t>
  </si>
  <si>
    <t>Комод Лион Рондо 4 ящика Белое тиснение/Дуб сонома 750х828(h)х398</t>
  </si>
  <si>
    <t>4620263152603</t>
  </si>
  <si>
    <t>5853.17/01.М</t>
  </si>
  <si>
    <t>05852.17/01.М</t>
  </si>
  <si>
    <t>Шкаф Монте 3х дверный Белая гладкая 1200х2032(h)х454</t>
  </si>
  <si>
    <t>Шкаф Монте 2х дверный Белая гладкая 800х2032(h)х454</t>
  </si>
  <si>
    <t>4620263154720</t>
  </si>
  <si>
    <t>4620263154782</t>
  </si>
  <si>
    <t>4620263154768</t>
  </si>
  <si>
    <t>L13004.17/01</t>
  </si>
  <si>
    <t>LMK189010151</t>
  </si>
  <si>
    <t>L4010.02.03/01</t>
  </si>
  <si>
    <t>L13002.17/01</t>
  </si>
  <si>
    <t>L3840</t>
  </si>
  <si>
    <t>L5851.17/01.М</t>
  </si>
  <si>
    <t>L5853.17/01.М</t>
  </si>
  <si>
    <t>L05852.17/01.М</t>
  </si>
  <si>
    <t>L3536.05.09/01</t>
  </si>
  <si>
    <t>МК.161.25.01</t>
  </si>
  <si>
    <t>МК.344.17.09.01</t>
  </si>
  <si>
    <t>МК.346.17.09.01</t>
  </si>
  <si>
    <t>МК.251.01.01.51</t>
  </si>
  <si>
    <t>МК.263.06.01</t>
  </si>
  <si>
    <t>МК.189.01.01.51</t>
  </si>
  <si>
    <t>4620263153792</t>
  </si>
  <si>
    <t>05502.09/01.К.1</t>
  </si>
  <si>
    <t>03808.17/02</t>
  </si>
  <si>
    <t>05002.05.09/01</t>
  </si>
  <si>
    <t>03751.06/01</t>
  </si>
  <si>
    <t>03945.17/01</t>
  </si>
  <si>
    <t>03947.17/01</t>
  </si>
  <si>
    <t>03968.04/01</t>
  </si>
  <si>
    <t>03968.25Ч/01</t>
  </si>
  <si>
    <t>05000.05.09/01</t>
  </si>
  <si>
    <t>05003.05.09/01</t>
  </si>
  <si>
    <t>05006.05.09/01</t>
  </si>
  <si>
    <t>Комод, тумба под ТВ Бостон Белое тиснение 750х740(h)х334</t>
  </si>
  <si>
    <t>2521897953176</t>
  </si>
  <si>
    <t>5001.05.09/01</t>
  </si>
  <si>
    <t>4620263153099</t>
  </si>
  <si>
    <t>Шкаф комбинированный Кантон Дуб Крафт Золотой/Серый Графит 800х2057(h)х474</t>
  </si>
  <si>
    <t>L3807.05/01L3808.05/02</t>
  </si>
  <si>
    <t>LMK1070101</t>
  </si>
  <si>
    <t>LMK2420101</t>
  </si>
  <si>
    <t>Стеллаж этажерка Tokyo с дверк. ЛДСП Белое тиснение, Черн. металл. 710х1750(h)х386</t>
  </si>
  <si>
    <t>MK1400201</t>
  </si>
  <si>
    <t>LMK1120201</t>
  </si>
  <si>
    <t>L13001.17/01</t>
  </si>
  <si>
    <t>L3536.09/01</t>
  </si>
  <si>
    <t>L3807.05/01</t>
  </si>
  <si>
    <t>L3807.06/01</t>
  </si>
  <si>
    <t>L3807.17/01</t>
  </si>
  <si>
    <t>L5001.05.09/01</t>
  </si>
  <si>
    <t>L9496</t>
  </si>
  <si>
    <t>L3536.20/01</t>
  </si>
  <si>
    <t>4660041006704</t>
  </si>
  <si>
    <t>4008.02.03/01</t>
  </si>
  <si>
    <t>Тумба прикроватная Лион 2 ящика Белое тиснение/Дуб сонома 480х444(h)х398</t>
  </si>
  <si>
    <t>4620263153945</t>
  </si>
  <si>
    <t>L3808.05/02</t>
  </si>
  <si>
    <t>2521897953603</t>
  </si>
  <si>
    <t>2521897953604</t>
  </si>
  <si>
    <t>2521897952902</t>
  </si>
  <si>
    <t>LMK1400201</t>
  </si>
  <si>
    <t>L4008.02.03/01</t>
  </si>
  <si>
    <t>L26205</t>
  </si>
  <si>
    <t>L26206</t>
  </si>
  <si>
    <t>МК.140.02.01</t>
  </si>
  <si>
    <t>4660041008401</t>
  </si>
  <si>
    <t>3537.06/02</t>
  </si>
  <si>
    <t>Прихожая Астерия Дуб Крафт Белый</t>
  </si>
  <si>
    <t>5952.09.05Ф/01</t>
  </si>
  <si>
    <t>Шкаф Сентьеро 2х дверный Серый Графит/Дуб Крафт Золотой/Фотопечать 800х2057(h)х480</t>
  </si>
  <si>
    <t>5552.17/01С</t>
  </si>
  <si>
    <t>Шкаф Сорренто 2х дверный Белая гладкая 800х2057(h)х480</t>
  </si>
  <si>
    <t>4620263154157</t>
  </si>
  <si>
    <t>2521897953589</t>
  </si>
  <si>
    <t>04011.02.03/01</t>
  </si>
  <si>
    <t>03751.17/01</t>
  </si>
  <si>
    <t>04001.02.03/01</t>
  </si>
  <si>
    <t>мк.257.01.01</t>
  </si>
  <si>
    <t>04000.02.03/01</t>
  </si>
  <si>
    <t>03357.09/01</t>
  </si>
  <si>
    <t>МК.348.17.09.01</t>
  </si>
  <si>
    <t>03933.21/01</t>
  </si>
  <si>
    <t>03608.05/01</t>
  </si>
  <si>
    <t>03608.06/01</t>
  </si>
  <si>
    <t>03608.17/01</t>
  </si>
  <si>
    <t>03608.12/01</t>
  </si>
  <si>
    <t>03608.05.12/01</t>
  </si>
  <si>
    <t>03968.17/01</t>
  </si>
  <si>
    <t>03968.05Ч/01</t>
  </si>
  <si>
    <t>МК.308.17.01</t>
  </si>
  <si>
    <t>МК.308.06.01</t>
  </si>
  <si>
    <t>МК.308.09.01</t>
  </si>
  <si>
    <t>МК.308.05.01</t>
  </si>
  <si>
    <t>04008.02.03/01</t>
  </si>
  <si>
    <t>03894.17/01</t>
  </si>
  <si>
    <t>03808.20/02</t>
  </si>
  <si>
    <t>03808.06/02</t>
  </si>
  <si>
    <t>03808.09/02</t>
  </si>
  <si>
    <t>10002.17/01.К.3</t>
  </si>
  <si>
    <t>10003.17/01.К.3</t>
  </si>
  <si>
    <t>11001.17/01.ФМ</t>
  </si>
  <si>
    <t>11002.17/01.ФМ</t>
  </si>
  <si>
    <t>06604.17/01.ФС</t>
  </si>
  <si>
    <t>05502.17/01.К.1</t>
  </si>
  <si>
    <t>05501.17/01.К.1</t>
  </si>
  <si>
    <t>10001.17/01.К.3</t>
  </si>
  <si>
    <t>05001.05.09/01</t>
  </si>
  <si>
    <t>06601.17/01.ФС</t>
  </si>
  <si>
    <t>04458.05.17/01</t>
  </si>
  <si>
    <t>07701.Р.1</t>
  </si>
  <si>
    <t>07702.Р.1</t>
  </si>
  <si>
    <t>08801.О.1</t>
  </si>
  <si>
    <t>08802.О.1</t>
  </si>
  <si>
    <t>03176.01.07/01</t>
  </si>
  <si>
    <t>135531.17Д/01</t>
  </si>
  <si>
    <t>L3713.06/01+L3714.06/02</t>
  </si>
  <si>
    <t>Стеллаж Quattro 8 секций Дуб крафт белый</t>
  </si>
  <si>
    <t>2521897953580</t>
  </si>
  <si>
    <t>2521897953579</t>
  </si>
  <si>
    <t>2521897953574</t>
  </si>
  <si>
    <t>2521897953573</t>
  </si>
  <si>
    <t>2521897953596</t>
  </si>
  <si>
    <t>2521897953584</t>
  </si>
  <si>
    <t>Комод Ультра 4 ящика с ручками Белая гладкая 800х829(h)х398</t>
  </si>
  <si>
    <t>5072.17Ч/01</t>
  </si>
  <si>
    <t>4620263154201</t>
  </si>
  <si>
    <t>LMK2470101</t>
  </si>
  <si>
    <t>L5952.09.05Ф/01</t>
  </si>
  <si>
    <t>L5552.17/01С</t>
  </si>
  <si>
    <t>L3925.06/01</t>
  </si>
  <si>
    <t>4640219951449</t>
  </si>
  <si>
    <t>Стеллаж Quatrro 4 секции Крафт белый 362х1396х280</t>
  </si>
  <si>
    <t>3536.01/01к</t>
  </si>
  <si>
    <t>3536.05.09/01к</t>
  </si>
  <si>
    <t>3536.09/01к</t>
  </si>
  <si>
    <t>3536.20/01к</t>
  </si>
  <si>
    <t>3713.06/01к</t>
  </si>
  <si>
    <t>3713.09/01к</t>
  </si>
  <si>
    <t>3713к</t>
  </si>
  <si>
    <t>3715к</t>
  </si>
  <si>
    <t>3717к</t>
  </si>
  <si>
    <t>3807.05/01к</t>
  </si>
  <si>
    <t>3807.06/01к</t>
  </si>
  <si>
    <t>3807.09/01к</t>
  </si>
  <si>
    <t>3807.17/01к</t>
  </si>
  <si>
    <t>3835к</t>
  </si>
  <si>
    <t>3942.01.09/01к</t>
  </si>
  <si>
    <t>4640219951425</t>
  </si>
  <si>
    <t>03570</t>
  </si>
  <si>
    <t>LMK1252501</t>
  </si>
  <si>
    <t>LMK1920101</t>
  </si>
  <si>
    <t>L3709.06/01</t>
  </si>
  <si>
    <t>LMK2502001</t>
  </si>
  <si>
    <t>LMK2412501</t>
  </si>
  <si>
    <t>3536.06/01к</t>
  </si>
  <si>
    <t>MK3630101</t>
  </si>
  <si>
    <t>Стол-трансформер Непал ЛДСП Дуб Вотан, Черн. металл. 920х480(h)х450</t>
  </si>
  <si>
    <t>4620263153709</t>
  </si>
  <si>
    <t>L3807.17/01к</t>
  </si>
  <si>
    <t>LMK1852001</t>
  </si>
  <si>
    <t>Обувница Ultra 2 секции с ящиком Белое тиснение 520*946*274</t>
  </si>
  <si>
    <t>2521897953605</t>
  </si>
  <si>
    <t>L5072.17Ч/01</t>
  </si>
  <si>
    <t>LMK3630101</t>
  </si>
  <si>
    <t>L3715к</t>
  </si>
  <si>
    <t>L3717к</t>
  </si>
  <si>
    <t>L3713.06/01к</t>
  </si>
  <si>
    <t>L3713.09/01к</t>
  </si>
  <si>
    <t>L3713к</t>
  </si>
  <si>
    <t>L3942.01.09/01к</t>
  </si>
  <si>
    <t>L3835к</t>
  </si>
  <si>
    <t>L3536.01/01к</t>
  </si>
  <si>
    <t>L3536.05.09/01к</t>
  </si>
  <si>
    <t>L3536.09/01к</t>
  </si>
  <si>
    <t>L3536.20/01к</t>
  </si>
  <si>
    <t>L3536/3537к</t>
  </si>
  <si>
    <t>L3807.05/01к</t>
  </si>
  <si>
    <t>L3807.06/01к</t>
  </si>
  <si>
    <t>L3871.17/01</t>
  </si>
  <si>
    <t>L3871.01.09/01</t>
  </si>
  <si>
    <t>L3871.17.08/01</t>
  </si>
  <si>
    <t>L3871.05/01</t>
  </si>
  <si>
    <t>L3925.20/01</t>
  </si>
  <si>
    <t>L3925.05/01</t>
  </si>
  <si>
    <t>L3925.09/01</t>
  </si>
  <si>
    <t>LMK3081701</t>
  </si>
  <si>
    <t>LMK3080601</t>
  </si>
  <si>
    <t>LMK3080901</t>
  </si>
  <si>
    <t>LMK3080501</t>
  </si>
  <si>
    <t>Комод тумба Frame ЛДСП Белое тиснение, Черн. металл. 1140х604(h)х403</t>
  </si>
  <si>
    <t>03684</t>
  </si>
  <si>
    <t>Комод Мальта 4 ящика Белое тиснение 750х720(h)х398</t>
  </si>
  <si>
    <t>20014.17/01</t>
  </si>
  <si>
    <t>Комод Савона 5 ящиков Белая гладкая 500х1020(h)х324</t>
  </si>
  <si>
    <t>LMK1830101</t>
  </si>
  <si>
    <t>ОРГАНАЙЗЕРЫ</t>
  </si>
  <si>
    <t>Органайзер для хранения, Малиновый, 25х25х25, Zett, 1 шт.</t>
  </si>
  <si>
    <t>Органайзер для хранения, Бордовый, 55х27х21, Hardy</t>
  </si>
  <si>
    <t>Органайзер для хранения, Бежевый, 28х28х28, Quattro</t>
  </si>
  <si>
    <t>Органайзер для хранения, Чёрный, 25х25х25, Zett, 2 шт.</t>
  </si>
  <si>
    <t>4620263155154</t>
  </si>
  <si>
    <t>2521897952671</t>
  </si>
  <si>
    <t>L20014.17/01</t>
  </si>
  <si>
    <t>L3769.20/01</t>
  </si>
  <si>
    <t>LMK1032001</t>
  </si>
  <si>
    <t>LMK2170101</t>
  </si>
  <si>
    <t>3926.17/01</t>
  </si>
  <si>
    <t>Стол обеденный Компакт Белая гладкая 900х730(h)х530</t>
  </si>
  <si>
    <t>4620263155253</t>
  </si>
  <si>
    <t>L3926.17/01</t>
  </si>
  <si>
    <t>Обувница Сити с вырезами 4 секции подвесная Дуб крафт белый 962х802(h)х170</t>
  </si>
  <si>
    <t>3871.06/01</t>
  </si>
  <si>
    <t>2696.09/01</t>
  </si>
  <si>
    <t>Тумба под ТВ Лофт универсальная Серый графит 1000х332х264</t>
  </si>
  <si>
    <t>L7775</t>
  </si>
  <si>
    <t>4640219955867</t>
  </si>
  <si>
    <t>03871.06/01</t>
  </si>
  <si>
    <t>4640219953009</t>
  </si>
  <si>
    <t>4640219953030</t>
  </si>
  <si>
    <t>4640219953023</t>
  </si>
  <si>
    <t>2521897953582</t>
  </si>
  <si>
    <t>Стеллаж Zett Ультра Графит 730х1757х250</t>
  </si>
  <si>
    <t>2521897953216</t>
  </si>
  <si>
    <t>2521897952900</t>
  </si>
  <si>
    <t>2521897952760</t>
  </si>
  <si>
    <t>19005.17/01</t>
  </si>
  <si>
    <t>Тумба под ТВ Шале Белая гладкая 1800х355(h)х254</t>
  </si>
  <si>
    <t>МК.363.01.01</t>
  </si>
  <si>
    <t>04010.02.03/01</t>
  </si>
  <si>
    <t>03926.17/01</t>
  </si>
  <si>
    <t>05072.17Ч/01</t>
  </si>
  <si>
    <t>03714.09/02</t>
  </si>
  <si>
    <t>02696.09/01 (03722)</t>
  </si>
  <si>
    <t>3713.01.25/01к</t>
  </si>
  <si>
    <t>19000.17/01</t>
  </si>
  <si>
    <t>19001.17/02</t>
  </si>
  <si>
    <t>19002.00/03</t>
  </si>
  <si>
    <t>19004.17/01</t>
  </si>
  <si>
    <t>Парящая кровать Шале База сп/м 1600х2000 Белая гладкая</t>
  </si>
  <si>
    <t>Парящая кровать Шале сп/м 1600х2000 Белая гладкая</t>
  </si>
  <si>
    <t>Каркас, настил, опоры/Парящая кровать Шале сп/м 1600х2000 МДФ 12 мм Необлицованный</t>
  </si>
  <si>
    <t>Изголовье/Парящая кровать Шале Макс сп/м 1600х2000 Белая гладкая</t>
  </si>
  <si>
    <t>3.19000.17</t>
  </si>
  <si>
    <t>3.19004.17</t>
  </si>
  <si>
    <t>3.19003.17</t>
  </si>
  <si>
    <t>Парящая кровать Шале База сп/м 1600х2000 Белая гладкая/МДФ 12 мм Необлицованный 1642х366(h)х2040</t>
  </si>
  <si>
    <t>Парящая кровать Шале Макс сп/м 1600х2000 Белая гладкая/МДФ 12 мм Необлицованный 1742х754(h)х2040</t>
  </si>
  <si>
    <t>Парящая кровать Шале Стандарт сп/м 1600х2000 Белая гладкая/МДФ 12 мм Необлицованный 1642х754(h)х2040</t>
  </si>
  <si>
    <t>4620263155017</t>
  </si>
  <si>
    <t>4620263155031</t>
  </si>
  <si>
    <t>4620263155260</t>
  </si>
  <si>
    <t>L19005.17/01</t>
  </si>
  <si>
    <t>LMK2430101</t>
  </si>
  <si>
    <t>LMK2250101</t>
  </si>
  <si>
    <t>LMK1900101</t>
  </si>
  <si>
    <t>LMK2180101</t>
  </si>
  <si>
    <t>LMK1940101</t>
  </si>
  <si>
    <t>LMK1910101</t>
  </si>
  <si>
    <t>LMK1690101</t>
  </si>
  <si>
    <t>LMK1470201</t>
  </si>
  <si>
    <t>LMK2010101</t>
  </si>
  <si>
    <t>LMK1590201</t>
  </si>
  <si>
    <t>LMK2012001</t>
  </si>
  <si>
    <t>LMK2290101</t>
  </si>
  <si>
    <t>LMK1850101</t>
  </si>
  <si>
    <t>L3.19004.17</t>
  </si>
  <si>
    <t>L3.19000.17</t>
  </si>
  <si>
    <t>L3713.01.25/01к</t>
  </si>
  <si>
    <t>4302.07.05.24/01</t>
  </si>
  <si>
    <t>Обувница Кёльме 3 секции Антрацит/Дуб Крафт золотой/Глиняный серый 600х1210(h)х244</t>
  </si>
  <si>
    <t>4620263153877</t>
  </si>
  <si>
    <t>5005.05/01</t>
  </si>
  <si>
    <t>4620263153846</t>
  </si>
  <si>
    <t>Стол письменный Кантон Дуб Крафт Золотой 1100х750(h)х500</t>
  </si>
  <si>
    <t>4620263151989</t>
  </si>
  <si>
    <t>5052.17Ч/01</t>
  </si>
  <si>
    <t>Тумба под ТВ Ультра с полкой и ящиками Белая гладкая 1000х445(h)х398</t>
  </si>
  <si>
    <t>4620263151965</t>
  </si>
  <si>
    <t>5050.17Ч/01</t>
  </si>
  <si>
    <t>Тумба прикроватная Ультра с ящиком Белая гладкая 400х445(h)х398</t>
  </si>
  <si>
    <t>3895.20/01</t>
  </si>
  <si>
    <t>3895.25/01</t>
  </si>
  <si>
    <t>3895.05/01</t>
  </si>
  <si>
    <t>3895.06/01</t>
  </si>
  <si>
    <t>3895.01/01</t>
  </si>
  <si>
    <t>03895.20/01</t>
  </si>
  <si>
    <t>03895.25/01</t>
  </si>
  <si>
    <t>Система хранения Компакт 3 секции Цемент темный молет 390х1190(h)х240</t>
  </si>
  <si>
    <t>Система хранения Компакт 3 секции Дуб Крафт золотой 390х1190(h)х240</t>
  </si>
  <si>
    <t>03895.05/01</t>
  </si>
  <si>
    <t>Система хранения Компакт 3 секции Дуб Крафт Белый 390х1190(h)х240</t>
  </si>
  <si>
    <t>Система хранения Компакт 3 секции Дуб Вотан 390х1190(h)х240</t>
  </si>
  <si>
    <t>03895.06/01</t>
  </si>
  <si>
    <t>03895.01/01</t>
  </si>
  <si>
    <t>5054.17Ч/01</t>
  </si>
  <si>
    <t>Стол Ультра 1100 с двумя ящиками Белая гладкая 1100х754(h)х550</t>
  </si>
  <si>
    <t>4620263152009</t>
  </si>
  <si>
    <t>05005.05/01</t>
  </si>
  <si>
    <t>05054.17Ч/01</t>
  </si>
  <si>
    <t>4300.07.05.24/01</t>
  </si>
  <si>
    <t>4620263153853</t>
  </si>
  <si>
    <t>4620263154027</t>
  </si>
  <si>
    <t>4303.07.05.24/01</t>
  </si>
  <si>
    <t>Стеллаж Кёльме Антрацит/Дуб Крафт золотой/Глиняный серый 700х1530(h)х254</t>
  </si>
  <si>
    <t>4620263153860</t>
  </si>
  <si>
    <t>4301.07.05.24/01</t>
  </si>
  <si>
    <t>Стол Кёльме 3 ящика Антрацит/Дуб Крафт золотой/Глиняный серый 1127х812(h)х454</t>
  </si>
  <si>
    <t>4620263154089</t>
  </si>
  <si>
    <t>3973.17/01</t>
  </si>
  <si>
    <t>Комод Кёльме 3 ящика Антрацит/Дуб Крафт золотой/Глиняный серый 700х812(h)х334</t>
  </si>
  <si>
    <t>Комод трансформер Бельтэ Белая гладкая/Кожзам Белый 714х930(h)х448</t>
  </si>
  <si>
    <t>4168.17.05/01</t>
  </si>
  <si>
    <t>4620263154133</t>
  </si>
  <si>
    <t>Комплект прихожей Рокки Белая гладкая/Дуб Крафт Золотой 1000х1900(h)х398</t>
  </si>
  <si>
    <t>5068.17Ч/01</t>
  </si>
  <si>
    <t>4620263154270</t>
  </si>
  <si>
    <t>Тумба Ультра 2 ящика с нишей Белая гладкая 400х591(h)х398</t>
  </si>
  <si>
    <t>5071.17Ч/01</t>
  </si>
  <si>
    <t>4620263154188</t>
  </si>
  <si>
    <t>Тумба ТВ Ультра комбинированная Белая гладкая 1200х445(h)х398</t>
  </si>
  <si>
    <t>5069.17Ч/01</t>
  </si>
  <si>
    <t>4620263154294</t>
  </si>
  <si>
    <t>Тумба Ультра подвесная с ящиком Белая гладкая 500х208(h)х334</t>
  </si>
  <si>
    <t>4620263155390</t>
  </si>
  <si>
    <t>5552.09.31/01</t>
  </si>
  <si>
    <t>Шкаф Танто 2х дверный Серый Графит/Тегола 800х2057(h)х480</t>
  </si>
  <si>
    <t>4620263154683</t>
  </si>
  <si>
    <t>13001.09/01</t>
  </si>
  <si>
    <t>Комод Монте 4 ящика Серый Графит 800х853(h)х480</t>
  </si>
  <si>
    <t>3971.17.01/01</t>
  </si>
  <si>
    <t>4620263153693</t>
  </si>
  <si>
    <t>Стол-трансформер Непал Лайт Белая гладкая/Дуб Вотан 920х470(h)х450</t>
  </si>
  <si>
    <t>Шкаф Танто 3х дверный Серый Графит/Тегола 1200х2057(h)х474</t>
  </si>
  <si>
    <t>5553.09.31/01</t>
  </si>
  <si>
    <t>4620263155406</t>
  </si>
  <si>
    <t>4620263155192</t>
  </si>
  <si>
    <t>9901.09.31/01</t>
  </si>
  <si>
    <t>Комод Танто 4 ящика Серый Графит/Тегола 800х853(h)х480</t>
  </si>
  <si>
    <t>13003.09/01</t>
  </si>
  <si>
    <t>13004.09/01</t>
  </si>
  <si>
    <t>4620263154744</t>
  </si>
  <si>
    <t>4620263154751</t>
  </si>
  <si>
    <t>Антресоль Монте 2х дверная Серый Графит 800х350(h)х470</t>
  </si>
  <si>
    <t>Антресоль Монте 3х дверная Серый Графит 1200х350(h)х470</t>
  </si>
  <si>
    <t>13002.09/01</t>
  </si>
  <si>
    <t>4620263154690</t>
  </si>
  <si>
    <t xml:space="preserve"> Тумба Монте 2 ящика Серый Графит 400х457(h)х392</t>
  </si>
  <si>
    <t>Тумба Танто 2 ящика Серый Графит/Тегола 400х457(h)х392</t>
  </si>
  <si>
    <t>9902.09.31/01</t>
  </si>
  <si>
    <t>4620263155222</t>
  </si>
  <si>
    <t>L5005.05/01</t>
  </si>
  <si>
    <t>L5050.17Ч/01</t>
  </si>
  <si>
    <t>L4302.07.05.24/01</t>
  </si>
  <si>
    <t>L5052.17Ч/01</t>
  </si>
  <si>
    <t>L3875</t>
  </si>
  <si>
    <t>L4303.07.05.24/01</t>
  </si>
  <si>
    <t>L5054.17Ч/01</t>
  </si>
  <si>
    <t>L4301.07.05.24/01</t>
  </si>
  <si>
    <t>L4300.07.05.24/01</t>
  </si>
  <si>
    <t>L3973.17/01</t>
  </si>
  <si>
    <t>L4168.17.05/01</t>
  </si>
  <si>
    <t>L5068.17Ч/01</t>
  </si>
  <si>
    <t>L5069.17Ч/01</t>
  </si>
  <si>
    <t>L5552.09.31/01</t>
  </si>
  <si>
    <t>L5553.09.31/01</t>
  </si>
  <si>
    <t xml:space="preserve"> </t>
  </si>
  <si>
    <t>L3971.17.01/01</t>
  </si>
  <si>
    <t>L9901.09.31/01</t>
  </si>
  <si>
    <t>L13001.09/01</t>
  </si>
  <si>
    <t>L13002.09/01</t>
  </si>
  <si>
    <t>L13003.09/01</t>
  </si>
  <si>
    <t>L13004.09/01</t>
  </si>
  <si>
    <t>L9902.09.31/01</t>
  </si>
  <si>
    <t>4009.02.03/01</t>
  </si>
  <si>
    <t>4620263153327</t>
  </si>
  <si>
    <t>Тумба под ТВ Лион 2 ящика универсальная Белое тиснение/Дуб сонома 1464х292(h)х292</t>
  </si>
  <si>
    <t>4620263154928</t>
  </si>
  <si>
    <t>5200.17Ч/01</t>
  </si>
  <si>
    <t>Тумба прикроватная Инсбрук с ящиком Белая гладкая 400х585(h)х398</t>
  </si>
  <si>
    <t>4620263155055</t>
  </si>
  <si>
    <t>4620263155062</t>
  </si>
  <si>
    <t>5201.17Ч/01</t>
  </si>
  <si>
    <t>5202.17Ч/01</t>
  </si>
  <si>
    <t>Комод Инсбрук 4 ящика с ручками Белая гладкая 800х969(h)х398</t>
  </si>
  <si>
    <t>Комод Инсбрук комбинированный 3 ящика с дверками Белая гладкая 1200х777(h)х398</t>
  </si>
  <si>
    <t>L5200.17Ч/01</t>
  </si>
  <si>
    <t>L5201.17Ч/01</t>
  </si>
  <si>
    <t>5203.17Ч/01</t>
  </si>
  <si>
    <t>Тумба ТВ Инсбрук комбинированная Белая гладкая 1200х585(h)х398</t>
  </si>
  <si>
    <t>4620263155123</t>
  </si>
  <si>
    <t>16601.17Ч/01И</t>
  </si>
  <si>
    <t>5851.09/01М</t>
  </si>
  <si>
    <t>5853.09/01М</t>
  </si>
  <si>
    <t>5852.09/01М</t>
  </si>
  <si>
    <t>Шкаф Инсбрук 1-о дверный Белая гладкая 400х1997(h)х460</t>
  </si>
  <si>
    <t>Шкаф Монте 1 дверный Серый Графит 400х2057(h)х470</t>
  </si>
  <si>
    <t>Шкаф Монте 3х дверный Серый Графит 1200х2057(h)х470</t>
  </si>
  <si>
    <t>Шкаф Монте 2х дверный Серый Графит 800х2057(h)х470</t>
  </si>
  <si>
    <t>4620263155420</t>
  </si>
  <si>
    <t>4620263155314</t>
  </si>
  <si>
    <t>4620263155413</t>
  </si>
  <si>
    <t>4620263155383</t>
  </si>
  <si>
    <t>4620263155451</t>
  </si>
  <si>
    <t>4620263155468</t>
  </si>
  <si>
    <t>4620263155437</t>
  </si>
  <si>
    <t>4620263155444</t>
  </si>
  <si>
    <t>16604.17Ч/01И</t>
  </si>
  <si>
    <t>16605.17Ч/01И</t>
  </si>
  <si>
    <t>16602.17Ч/01И</t>
  </si>
  <si>
    <t>16603.17Ч/01И</t>
  </si>
  <si>
    <t>Шкаф Инсбрук 3х дверный с полками Белая гладкая 1200х1997(h)х460</t>
  </si>
  <si>
    <t>Шкаф Инсбрук 3х дверный с ящиками Белая гладкая 1200х1997(h)х460</t>
  </si>
  <si>
    <t>Шкаф Инсбрук 2х дверный с полками Белая гладкая 800х1997(h)х460</t>
  </si>
  <si>
    <t>Шкаф Инсбрук 2х дверный с ящиками Белая гладкая 800х1997(h)х460</t>
  </si>
  <si>
    <t>4620263151736</t>
  </si>
  <si>
    <t>5063.17Ч/01</t>
  </si>
  <si>
    <t>Шкаф Ультра 2х дверный Белая гладкая 800х1857(h)х460</t>
  </si>
  <si>
    <t>Столик придиванный Fiji ЛДСП Дуб Крафт Белый, Черн. Металл 470х640(h)х300</t>
  </si>
  <si>
    <t>MK2650601</t>
  </si>
  <si>
    <t>4620263150715</t>
  </si>
  <si>
    <t>2496.20/01</t>
  </si>
  <si>
    <t>Стол компьютерный с 2 ящиками Ультра Цемент светлый вельвет 900х750(h)х450</t>
  </si>
  <si>
    <t>L4009.02.03/01</t>
  </si>
  <si>
    <t>L16601.17Ч/01И</t>
  </si>
  <si>
    <t>L16604.17Ч/01И</t>
  </si>
  <si>
    <t>L16605.17Ч/01И</t>
  </si>
  <si>
    <t>L16602.17Ч/01И</t>
  </si>
  <si>
    <t>L16603.17Ч/01И</t>
  </si>
  <si>
    <t>L5851.09/01М</t>
  </si>
  <si>
    <t>L5853.09/01М</t>
  </si>
  <si>
    <t>L5852.09/01М</t>
  </si>
  <si>
    <t>L5202.17Ч/01</t>
  </si>
  <si>
    <t>L5203.17Ч/01</t>
  </si>
  <si>
    <t>L5063.17Ч/01</t>
  </si>
  <si>
    <t>LMK1910601</t>
  </si>
  <si>
    <t>L3807.09/01к</t>
  </si>
  <si>
    <t>4640219952798</t>
  </si>
  <si>
    <t>L2496.20/01</t>
  </si>
  <si>
    <t>LMK1680101</t>
  </si>
  <si>
    <t>2521897952841</t>
  </si>
  <si>
    <t>3713.09/01кк</t>
  </si>
  <si>
    <t>4620263150579</t>
  </si>
  <si>
    <t>46602041006065</t>
  </si>
  <si>
    <t>LMK1310201</t>
  </si>
  <si>
    <t>L26011</t>
  </si>
  <si>
    <t>4620263155024</t>
  </si>
  <si>
    <t>3.19003.09</t>
  </si>
  <si>
    <t>4620263155079</t>
  </si>
  <si>
    <t>Парящая кровать Шале Стандарт сп/м 1600х2000 Серый Графит/МДФ 12 мм Необлицованный 1642х754(h)х2040</t>
  </si>
  <si>
    <t>2521897953535</t>
  </si>
  <si>
    <t>2521897953536</t>
  </si>
  <si>
    <t>2521897953537</t>
  </si>
  <si>
    <t>Органайзер ткань мебельная Tony 1 стеллажа Hardy 550*270*210</t>
  </si>
  <si>
    <t>Органайзер ткань мебельная бордовая стеллажа Quattro 280*280*280</t>
  </si>
  <si>
    <t>Органайзер ткань мебельная коричнево - бордовая стеллажа Zett 500*250*210</t>
  </si>
  <si>
    <t>3.19000.09</t>
  </si>
  <si>
    <t>3.19004.09</t>
  </si>
  <si>
    <t>Парящая кровать Шале База сп/м 1600х2000 Серый Графит/МДФ 12 мм Необлицованный 1642х366(h)х2040</t>
  </si>
  <si>
    <t>Парящая кровать Шале Макс сп/м 1600х2000 Серый Графит/МДФ 12 мм Необлицованный 1742х754(h)х2040</t>
  </si>
  <si>
    <t>4620263155048</t>
  </si>
  <si>
    <t>4620263155086</t>
  </si>
  <si>
    <t>3926.32/01</t>
  </si>
  <si>
    <t>Стол обеденный Компакт Кашемир 900х730(h)х530</t>
  </si>
  <si>
    <t>4620263155673</t>
  </si>
  <si>
    <t>4640219952170</t>
  </si>
  <si>
    <t>4640219957359</t>
  </si>
  <si>
    <t>4620263151323</t>
  </si>
  <si>
    <t>ПШ.281.67</t>
  </si>
  <si>
    <t>ПШ.279.76</t>
  </si>
  <si>
    <t>4620263155536</t>
  </si>
  <si>
    <t>3926.09/01</t>
  </si>
  <si>
    <t>Стол обеденный Компакт Серый графит 900х730(h)х530</t>
  </si>
  <si>
    <t>Шкаф 2в1 Пакс Крафт Табачный/Белая гладкая</t>
  </si>
  <si>
    <t>2521897953606</t>
  </si>
  <si>
    <t>L3536.06/01к</t>
  </si>
  <si>
    <t>L3926.09/01</t>
  </si>
  <si>
    <t>L14113</t>
  </si>
  <si>
    <t>L3.19000.09</t>
  </si>
  <si>
    <t>L3.19004.09</t>
  </si>
  <si>
    <t>L3926.32/01</t>
  </si>
  <si>
    <t>6617.09.31/01</t>
  </si>
  <si>
    <t>6618.09.31/01</t>
  </si>
  <si>
    <t>Фасад Танто ФТ 2шт. Серый Графит/Тегола 500х1992(h)х16/292х1992(h)х16</t>
  </si>
  <si>
    <t>Фасад Танто ФТ 3шт. Серый Графит/Тегола 396х1992(h)х16</t>
  </si>
  <si>
    <t>ПРИХОЖАЯ</t>
  </si>
  <si>
    <t>03926.32/01</t>
  </si>
  <si>
    <t>03926.09/01</t>
  </si>
  <si>
    <t>2521897953607</t>
  </si>
  <si>
    <t>Стеллаж 6 секций Лайт Графит 1058*708*250</t>
  </si>
  <si>
    <t>20037.17/01</t>
  </si>
  <si>
    <t>Комод Савона Лайт 5 ящиков Белая гладкая 500х1020(h)х324</t>
  </si>
  <si>
    <t>4620263155284</t>
  </si>
  <si>
    <t>L20037.17/01</t>
  </si>
  <si>
    <t>L94173</t>
  </si>
  <si>
    <t>20040.17/01</t>
  </si>
  <si>
    <t>Комод Биркен Лайт с 3 ящ. и дверкой / Белая гладкая 500х1020(h)х324</t>
  </si>
  <si>
    <t>19005.09/01</t>
  </si>
  <si>
    <t>19005.32/01</t>
  </si>
  <si>
    <t>19005.09.31/01</t>
  </si>
  <si>
    <t>Тумба под ТВ Шале Серый графит 1800х355(h)х254</t>
  </si>
  <si>
    <t>Тумба под ТВ Шале Кашемир 1800х355(h)х254</t>
  </si>
  <si>
    <t>Тумба под ТВ Шале Серый графит/Тегола 1800х355(h)х254</t>
  </si>
  <si>
    <t>4620263155512</t>
  </si>
  <si>
    <t>4620263155956</t>
  </si>
  <si>
    <t>4620263155529</t>
  </si>
  <si>
    <t>4620263155789</t>
  </si>
  <si>
    <t>4620263156588</t>
  </si>
  <si>
    <t>3.19004.05</t>
  </si>
  <si>
    <t>Парящая кровать Шале Макс сп/м 1600х2000 Дуб Крафт Золотой/ДСП16 мм Необлицованный 1742х754(h)х2040</t>
  </si>
  <si>
    <t>19004.05/01</t>
  </si>
  <si>
    <t>19001.05/02</t>
  </si>
  <si>
    <t>Парящая кровать Шале Макс сп/м 1600х2000 Дуб Краф золотой 1742х754(h)х2040</t>
  </si>
  <si>
    <t>Изножье, Царги,фурнитура/Парящая кровать Шале сп/м 1600х2000 Дуб Крафт золотой</t>
  </si>
  <si>
    <t>4660041008944</t>
  </si>
  <si>
    <t>4640219954815</t>
  </si>
  <si>
    <t>Стеллаж Zett 5 секций Белое тиснение 730х1446(h)х220</t>
  </si>
  <si>
    <t>19001.09/02</t>
  </si>
  <si>
    <t>19004.09/01</t>
  </si>
  <si>
    <t>Парящая кровать Шале сп/м 1600х2000 Серый Графит</t>
  </si>
  <si>
    <t>Изголовье/Парящая кровать Шале Макс сп/м 1600х2000 Серый Графит</t>
  </si>
  <si>
    <t>L19005.32/01</t>
  </si>
  <si>
    <t>L19005.09.31/01</t>
  </si>
  <si>
    <t>L19005.09/01</t>
  </si>
  <si>
    <t>L20040.17/01</t>
  </si>
  <si>
    <t>L3.19004.05</t>
  </si>
  <si>
    <t>Комод Веста Lite Крафт белый 782х599х294</t>
  </si>
  <si>
    <t>Комод Веста Lite Черный 782х599х294</t>
  </si>
  <si>
    <t>Комод Веста Lite Бетон 782х599х294</t>
  </si>
  <si>
    <t>2521897952985</t>
  </si>
  <si>
    <t>2521897953184</t>
  </si>
  <si>
    <t>2521897952983</t>
  </si>
  <si>
    <t>4620263156151</t>
  </si>
  <si>
    <t>20035.17/01</t>
  </si>
  <si>
    <t>Стеллаж Компакт 5 секций Белая гладкая ш849/в1757/г250</t>
  </si>
  <si>
    <t>2521897953328</t>
  </si>
  <si>
    <t>Стеллаж трансформер Белое тиснение</t>
  </si>
  <si>
    <t>L4117</t>
  </si>
  <si>
    <t>L41142</t>
  </si>
  <si>
    <t>L4115</t>
  </si>
  <si>
    <t>L20035.17/01</t>
  </si>
  <si>
    <t>LMK2650601</t>
  </si>
  <si>
    <t>19005.06/01</t>
  </si>
  <si>
    <t>19005.05./01</t>
  </si>
  <si>
    <t>Тумба под ТВ Шале Дуб Крафт белый 1800х355(h)х254</t>
  </si>
  <si>
    <t>Тумба под ТВ Шале Дуб Крафт Золотой 1800х355(h)х254</t>
  </si>
  <si>
    <t>4620263155918</t>
  </si>
  <si>
    <t>4620263156113</t>
  </si>
  <si>
    <t>20150.09/01</t>
  </si>
  <si>
    <t>4620263156724</t>
  </si>
  <si>
    <t>Стеллаж Quattro Lite 8 секций Серый графит  710х1404(h)х251</t>
  </si>
  <si>
    <t>L19005.06/01</t>
  </si>
  <si>
    <t>L19005.05./01</t>
  </si>
  <si>
    <t>ПШ.280.54</t>
  </si>
  <si>
    <t>4620263155925</t>
  </si>
  <si>
    <t>19005.16.17/01</t>
  </si>
  <si>
    <t>Тумба под ТВ Шале Дуб Крафт Табачный/Белая гладкая 1800х355(h)х254</t>
  </si>
  <si>
    <t>20054.17/01</t>
  </si>
  <si>
    <t>20055.17/01</t>
  </si>
  <si>
    <t>20052.17/01</t>
  </si>
  <si>
    <t>20053.17/01</t>
  </si>
  <si>
    <t>4620263156939</t>
  </si>
  <si>
    <t>4620263156182</t>
  </si>
  <si>
    <t>4620263156175</t>
  </si>
  <si>
    <t>4620263156922</t>
  </si>
  <si>
    <t>Lego Letta 3 Белая гладкая 700х900(h)х470</t>
  </si>
  <si>
    <t>Lego Letta 2 Белая гладкая 700х900(h)х454</t>
  </si>
  <si>
    <t>Lego Letta 4 Белая гладкая 700х452(h)х470</t>
  </si>
  <si>
    <t>4620263156205</t>
  </si>
  <si>
    <t>20058.17/01</t>
  </si>
  <si>
    <t>Lego Letta 7 Белая гладкая 700х676(h)х470</t>
  </si>
  <si>
    <t>4620263156373</t>
  </si>
  <si>
    <t>20044.17/01</t>
  </si>
  <si>
    <t>Стол стеллаж Ultra Lite с дверкой Белая гладкая 1086х1382(h)х400</t>
  </si>
  <si>
    <t>MK1120202</t>
  </si>
  <si>
    <t>Стол письменный Frame New с ящ., с полкой ЛДСП Белое тиснен., Белый. металл. 800х760(h)х510</t>
  </si>
  <si>
    <t>4640219952842</t>
  </si>
  <si>
    <t>4640219952859</t>
  </si>
  <si>
    <t>2044469363533</t>
  </si>
  <si>
    <t>4620263157028</t>
  </si>
  <si>
    <t>4620263155932</t>
  </si>
  <si>
    <t>Тумба под ТВ Шале Цемент светлый 1800х355(h)х254</t>
  </si>
  <si>
    <t>20056.17/01</t>
  </si>
  <si>
    <t>4620263156199</t>
  </si>
  <si>
    <t>Lego Letta 5 Белая гладкая 700х676(h)х470</t>
  </si>
  <si>
    <t>L20054.17/01</t>
  </si>
  <si>
    <t>L20055.17/01</t>
  </si>
  <si>
    <t>L20052.17/01</t>
  </si>
  <si>
    <t>L20053.17/01</t>
  </si>
  <si>
    <t>L20058.17/01</t>
  </si>
  <si>
    <t>L20056.17/01</t>
  </si>
  <si>
    <t>L20044.17/01</t>
  </si>
  <si>
    <t>20048.17/01</t>
  </si>
  <si>
    <t>Тумба под ТВ Zett 2 ящика Белая гладкая 1340х341(h)х286</t>
  </si>
  <si>
    <t>4620263156380</t>
  </si>
  <si>
    <t>20057.17/01</t>
  </si>
  <si>
    <t>20059.17/01</t>
  </si>
  <si>
    <t>20060.17/01</t>
  </si>
  <si>
    <t>20061.17/01</t>
  </si>
  <si>
    <t>20062.17/01</t>
  </si>
  <si>
    <t>20063.17/01</t>
  </si>
  <si>
    <t>20064.17/01</t>
  </si>
  <si>
    <t>20065.17/01</t>
  </si>
  <si>
    <t>Lego Letta 6 Белая гладкая 700х452(h)х470</t>
  </si>
  <si>
    <t>Lego Letta 8 Белая гладкая 700х900(h)х470</t>
  </si>
  <si>
    <t>Lego Letta 9 Белая гладкая 668х450</t>
  </si>
  <si>
    <t>Lego Letta 10 Белая гладкая 668х450</t>
  </si>
  <si>
    <t>Lego Letta 11 Белая гладкая 358х900(h)х454</t>
  </si>
  <si>
    <t>Lego Letta 12 Белая гладкая 450х900(h)х220</t>
  </si>
  <si>
    <t>Lego Letta 13 Белая гладкая 700х452(h)х454</t>
  </si>
  <si>
    <t>Lego Letta 14 Белая гладкая 700х896(h)х16</t>
  </si>
  <si>
    <t>4620263156946</t>
  </si>
  <si>
    <t>4620263156212</t>
  </si>
  <si>
    <t>4620263156229</t>
  </si>
  <si>
    <t>4620263156236</t>
  </si>
  <si>
    <t>4620263156953</t>
  </si>
  <si>
    <t>4620263156960</t>
  </si>
  <si>
    <t>4620263156977</t>
  </si>
  <si>
    <t>4620263156984</t>
  </si>
  <si>
    <t>3894.20/01</t>
  </si>
  <si>
    <t>4620263156519</t>
  </si>
  <si>
    <t>4620263156441</t>
  </si>
  <si>
    <t>Система хранения Компакт 3 секции Цемент светлый молет 370х1135(h)х240</t>
  </si>
  <si>
    <t>Система хранения Компакт 4 секции Цемент светлый молет 740х765(h)х240</t>
  </si>
  <si>
    <t>19005.20/01</t>
  </si>
  <si>
    <t>L19005.16.17/01</t>
  </si>
  <si>
    <t>L20048.17/01</t>
  </si>
  <si>
    <t>L19005.20/01</t>
  </si>
  <si>
    <t>L20057.17/01</t>
  </si>
  <si>
    <t>L20059.17/01</t>
  </si>
  <si>
    <t>L20060.17/01</t>
  </si>
  <si>
    <t>L20061.17/01</t>
  </si>
  <si>
    <t>L20062.17/01</t>
  </si>
  <si>
    <t>L20063.17/01</t>
  </si>
  <si>
    <t>L20064.17/01</t>
  </si>
  <si>
    <t>L20065.17/01</t>
  </si>
  <si>
    <t>20150.02/01</t>
  </si>
  <si>
    <t>20150.03/01</t>
  </si>
  <si>
    <t>20150.05/01</t>
  </si>
  <si>
    <t>20150.06/01</t>
  </si>
  <si>
    <t>20150.11/01</t>
  </si>
  <si>
    <t>20150.20/01</t>
  </si>
  <si>
    <t>4620263156670</t>
  </si>
  <si>
    <t>4620263156717</t>
  </si>
  <si>
    <t>4620263156809</t>
  </si>
  <si>
    <t>4620263156816</t>
  </si>
  <si>
    <t>4620263156823</t>
  </si>
  <si>
    <t>4620263156830</t>
  </si>
  <si>
    <t>Стеллаж Quattro Lite 8 секций Белое тиснение 710х1404(h)х250</t>
  </si>
  <si>
    <t>Стеллаж Quattro Lite 8 секций Венге 710х1404(h)х250</t>
  </si>
  <si>
    <t>Стеллаж Quattro Lite 8 секций Дуб Крафт Белый 710х1404(h)х250</t>
  </si>
  <si>
    <t>Стеллаж Quattro Lite 8 секций Дуб сонома 710х1404(h)х250</t>
  </si>
  <si>
    <t>2521897953301</t>
  </si>
  <si>
    <t>Стол рабочий Jazz Венге NEW 1046*1075*490</t>
  </si>
  <si>
    <t>Тумбы под ТВ</t>
  </si>
  <si>
    <t>Стеллаж Quattro Lite 8 секций Дуб Крафт золотой 710х1404(h)х250</t>
  </si>
  <si>
    <t>Стеллаж Quattro Lite 8 секций Цемент светлый  710х1404(h)х250</t>
  </si>
  <si>
    <t>3893.20/01</t>
  </si>
  <si>
    <t>4620263156359</t>
  </si>
  <si>
    <t>Система хранения Компакт 2 секции Цемент светлый молет 370х765(h)х240</t>
  </si>
  <si>
    <t>4620263153037</t>
  </si>
  <si>
    <t>Комод Веста Lite Цемент светлый молет 599х782(h)х298</t>
  </si>
  <si>
    <t>Платонова</t>
  </si>
  <si>
    <t>3871.09/01</t>
  </si>
  <si>
    <t>Обувница Сити с вырезами 4 секции подвесная Серый Графит 962х802(h)х170</t>
  </si>
  <si>
    <t>4640219955843</t>
  </si>
  <si>
    <t>4168.17/01</t>
  </si>
  <si>
    <t>4620263157233</t>
  </si>
  <si>
    <t>Комплект прихожей Рокки Белая гладкая 1000х1900(h)х358</t>
  </si>
  <si>
    <t>L3893.20/01</t>
  </si>
  <si>
    <t>L3894.20/01</t>
  </si>
  <si>
    <t>L3895.20/01</t>
  </si>
  <si>
    <t xml:space="preserve"> Шкаф ШК 5 (1600) Белый текстурный</t>
  </si>
  <si>
    <t xml:space="preserve"> Шкаф ШК 5 (1200) Графит серый</t>
  </si>
  <si>
    <t>6017к</t>
  </si>
  <si>
    <t>6015к</t>
  </si>
  <si>
    <t>L41149</t>
  </si>
  <si>
    <t>LMK1120202</t>
  </si>
  <si>
    <t>L20150.02/01</t>
  </si>
  <si>
    <t>L20150.03/01</t>
  </si>
  <si>
    <t>L3871.09/01</t>
  </si>
  <si>
    <t>LMK1600201</t>
  </si>
  <si>
    <t>L3769.06/01</t>
  </si>
  <si>
    <t>LПШ28167</t>
  </si>
  <si>
    <t>LMK000100201</t>
  </si>
  <si>
    <t>LПШ27976</t>
  </si>
  <si>
    <t>L3769</t>
  </si>
  <si>
    <t>L3769.05/01</t>
  </si>
  <si>
    <t>L3871.06/01</t>
  </si>
  <si>
    <t>L20150.09/01</t>
  </si>
  <si>
    <t>19005.25/01</t>
  </si>
  <si>
    <t>Тумба под ТВ Шале Цемент темный молет 1800х355(h)х254</t>
  </si>
  <si>
    <t>2000848434013</t>
  </si>
  <si>
    <t>2000848434012</t>
  </si>
  <si>
    <t>4620263157011</t>
  </si>
  <si>
    <t>4620263157035</t>
  </si>
  <si>
    <t>2045030525725</t>
  </si>
  <si>
    <t>20152.02/01</t>
  </si>
  <si>
    <t>20153.02/01</t>
  </si>
  <si>
    <t>20154.09Ф/01</t>
  </si>
  <si>
    <t>Тумба под ТВ Лофт Нео Белое Тиснение 1598х584(h)х400</t>
  </si>
  <si>
    <t>Тумба под ТВ Loft Хьюге Белое Тиснение 1090х477(h)350</t>
  </si>
  <si>
    <t>Тумба под ТВ Меллис Серый Графит/Фотопечать 1800х313(h)250</t>
  </si>
  <si>
    <t>L6015к</t>
  </si>
  <si>
    <t>L6017к</t>
  </si>
  <si>
    <t>L20152.02/01</t>
  </si>
  <si>
    <t>L20153.02/01</t>
  </si>
  <si>
    <t>L20154.09Ф/01</t>
  </si>
  <si>
    <t>20044.06/01</t>
  </si>
  <si>
    <t>20044.05/01</t>
  </si>
  <si>
    <t>20044.09/01</t>
  </si>
  <si>
    <t>Стол стеллаж Ultra Lite с дверкой Дуб Крафт белый 1086х1382(h)х400</t>
  </si>
  <si>
    <t>Стол стеллаж Ultra Lite с дверкой Дуб Крафт Золотой 1086х1382(h)х400</t>
  </si>
  <si>
    <t>Стол стеллаж Ultra Lite с дверкой Серый Графит 1086х1382(h)х400</t>
  </si>
  <si>
    <t>4620263157103</t>
  </si>
  <si>
    <t>4620263157097</t>
  </si>
  <si>
    <t>4620263157165</t>
  </si>
  <si>
    <t>20048.06/01</t>
  </si>
  <si>
    <t>20048.05/01</t>
  </si>
  <si>
    <t>20048.09/01</t>
  </si>
  <si>
    <t>4620263157172</t>
  </si>
  <si>
    <t>4620263157189</t>
  </si>
  <si>
    <t>4620263157196</t>
  </si>
  <si>
    <t>Тумба под ТВ Zett 2 ящика Дуб Крафт белый 1340х341(h)х286</t>
  </si>
  <si>
    <t>Тумба под ТВ Zett 2 ящика Дуб Крафт Золотой 1340х341(h)х286</t>
  </si>
  <si>
    <t>Тумба под ТВ Zett 2 ящика Серый Графит 1340х341(h)х286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</si>
</sst>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8" x14ac:knownFonts="1">
    <font>
      <sz val="12"/>
      <name val="Verdana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b/>
      <sz val="10"/>
      <name val="Verdana"/>
      <family val="2"/>
      <charset val="204"/>
    </font>
    <font>
      <b/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sz val="10"/>
      <name val="Verdana"/>
      <family val="2"/>
      <charset val="204"/>
    </font>
    <font>
      <sz val="8"/>
      <name val="Arial"/>
      <family val="2"/>
    </font>
    <font>
      <sz val="10"/>
      <color indexed="8"/>
      <name val="Verdana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</font>
    <font>
      <u/>
      <sz val="11"/>
      <color theme="10"/>
      <name val="Calibri"/>
      <family val="2"/>
      <charset val="204"/>
    </font>
    <font>
      <sz val="8"/>
      <name val="Verdana"/>
      <family val="2"/>
      <charset val="204"/>
    </font>
    <font>
      <sz val="9"/>
      <name val="Verdana"/>
      <family val="2"/>
      <charset val="204"/>
    </font>
    <font>
      <sz val="12"/>
      <name val="Verdana"/>
      <family val="2"/>
      <charset val="204"/>
    </font>
    <font>
      <sz val="10"/>
      <name val="Arial"/>
      <family val="2"/>
      <charset val="1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rial"/>
      <family val="2"/>
      <scheme val="minor"/>
    </font>
    <font>
      <sz val="8"/>
      <name val="Arial"/>
      <family val="2"/>
      <charset val="204"/>
    </font>
    <font>
      <sz val="11"/>
      <name val="Verdana"/>
      <family val="2"/>
      <charset val="204"/>
    </font>
    <font>
      <sz val="11"/>
      <color indexed="8"/>
      <name val="Microsoft JhengHei Light"/>
      <family val="2"/>
    </font>
    <font>
      <sz val="11"/>
      <name val="Microsoft JhengHei Light"/>
      <family val="2"/>
    </font>
    <font>
      <sz val="11"/>
      <color theme="1"/>
      <name val="Microsoft JhengHei Light"/>
      <family val="2"/>
    </font>
    <font>
      <b/>
      <sz val="11"/>
      <name val="Microsoft JhengHei Light"/>
      <family val="2"/>
    </font>
    <font>
      <b/>
      <sz val="11"/>
      <color theme="1"/>
      <name val="Verdana"/>
      <family val="2"/>
      <charset val="204"/>
    </font>
    <font>
      <b/>
      <sz val="11"/>
      <name val="Verdana"/>
      <family val="2"/>
      <charset val="204"/>
    </font>
    <font>
      <b/>
      <sz val="11"/>
      <color indexed="8"/>
      <name val="Verdan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CCC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 applyNumberFormat="0" applyFill="0" applyBorder="0" applyProtection="0"/>
    <xf numFmtId="0" fontId="2" fillId="0" borderId="0"/>
    <xf numFmtId="0" fontId="10" fillId="0" borderId="0"/>
    <xf numFmtId="0" fontId="10" fillId="0" borderId="0"/>
    <xf numFmtId="0" fontId="11" fillId="0" borderId="0" applyNumberFormat="0" applyFill="0" applyBorder="0" applyAlignment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/>
    <xf numFmtId="0" fontId="9" fillId="0" borderId="0"/>
    <xf numFmtId="43" fontId="14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" fillId="0" borderId="0"/>
    <xf numFmtId="0" fontId="19" fillId="0" borderId="0"/>
  </cellStyleXfs>
  <cellXfs count="940">
    <xf numFmtId="0" fontId="0" fillId="0" borderId="0" xfId="0"/>
    <xf numFmtId="0" fontId="3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6" fillId="3" borderId="1" xfId="1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/>
    <xf numFmtId="0" fontId="8" fillId="3" borderId="1" xfId="2" applyFont="1" applyFill="1" applyBorder="1" applyAlignment="1">
      <alignment wrapText="1"/>
    </xf>
    <xf numFmtId="2" fontId="5" fillId="0" borderId="1" xfId="0" applyNumberFormat="1" applyFont="1" applyBorder="1"/>
    <xf numFmtId="0" fontId="6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wrapText="1"/>
    </xf>
    <xf numFmtId="0" fontId="8" fillId="3" borderId="1" xfId="1" applyFont="1" applyFill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6" fillId="2" borderId="1" xfId="0" applyFont="1" applyFill="1" applyBorder="1"/>
    <xf numFmtId="0" fontId="8" fillId="3" borderId="1" xfId="4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6" fillId="2" borderId="3" xfId="0" applyFont="1" applyFill="1" applyBorder="1"/>
    <xf numFmtId="0" fontId="6" fillId="0" borderId="1" xfId="0" applyFont="1" applyBorder="1" applyAlignment="1">
      <alignment horizontal="left" vertical="top" wrapText="1"/>
    </xf>
    <xf numFmtId="0" fontId="8" fillId="3" borderId="0" xfId="2" applyFont="1" applyFill="1" applyAlignment="1">
      <alignment vertical="top" wrapText="1"/>
    </xf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/>
    </xf>
    <xf numFmtId="49" fontId="6" fillId="0" borderId="0" xfId="0" applyNumberFormat="1" applyFont="1"/>
    <xf numFmtId="0" fontId="6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4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49" fontId="6" fillId="0" borderId="1" xfId="0" applyNumberFormat="1" applyFont="1" applyBorder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6" fillId="0" borderId="6" xfId="0" applyFont="1" applyBorder="1"/>
    <xf numFmtId="0" fontId="6" fillId="4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18" fillId="6" borderId="1" xfId="18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0" borderId="12" xfId="0" applyFont="1" applyBorder="1"/>
    <xf numFmtId="0" fontId="6" fillId="0" borderId="11" xfId="0" applyFont="1" applyBorder="1" applyAlignment="1">
      <alignment wrapText="1"/>
    </xf>
    <xf numFmtId="0" fontId="4" fillId="2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0" borderId="13" xfId="0" applyFont="1" applyBorder="1"/>
    <xf numFmtId="0" fontId="6" fillId="2" borderId="13" xfId="0" applyFont="1" applyFill="1" applyBorder="1"/>
    <xf numFmtId="0" fontId="5" fillId="0" borderId="13" xfId="0" applyFont="1" applyBorder="1"/>
    <xf numFmtId="0" fontId="6" fillId="4" borderId="13" xfId="0" applyFont="1" applyFill="1" applyBorder="1" applyAlignment="1">
      <alignment horizontal="center"/>
    </xf>
    <xf numFmtId="14" fontId="6" fillId="4" borderId="13" xfId="0" applyNumberFormat="1" applyFont="1" applyFill="1" applyBorder="1" applyAlignment="1">
      <alignment horizontal="center"/>
    </xf>
    <xf numFmtId="0" fontId="6" fillId="0" borderId="13" xfId="0" applyFont="1" applyBorder="1" applyAlignment="1">
      <alignment wrapText="1"/>
    </xf>
    <xf numFmtId="0" fontId="8" fillId="3" borderId="13" xfId="1" applyFont="1" applyFill="1" applyBorder="1" applyAlignment="1">
      <alignment vertical="top" wrapText="1"/>
    </xf>
    <xf numFmtId="14" fontId="6" fillId="6" borderId="13" xfId="0" applyNumberFormat="1" applyFont="1" applyFill="1" applyBorder="1" applyAlignment="1">
      <alignment horizontal="center"/>
    </xf>
    <xf numFmtId="0" fontId="18" fillId="6" borderId="13" xfId="18" applyFill="1" applyBorder="1" applyAlignment="1">
      <alignment horizontal="center"/>
    </xf>
    <xf numFmtId="0" fontId="8" fillId="3" borderId="14" xfId="1" applyFont="1" applyFill="1" applyBorder="1" applyAlignment="1">
      <alignment vertical="top" wrapText="1"/>
    </xf>
    <xf numFmtId="14" fontId="6" fillId="4" borderId="14" xfId="0" applyNumberFormat="1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3" fillId="0" borderId="15" xfId="0" applyFont="1" applyBorder="1"/>
    <xf numFmtId="0" fontId="8" fillId="3" borderId="15" xfId="1" applyFont="1" applyFill="1" applyBorder="1" applyAlignment="1">
      <alignment vertical="top" wrapText="1"/>
    </xf>
    <xf numFmtId="0" fontId="5" fillId="0" borderId="16" xfId="0" applyFont="1" applyBorder="1"/>
    <xf numFmtId="14" fontId="6" fillId="4" borderId="16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0" borderId="16" xfId="0" applyFont="1" applyBorder="1"/>
    <xf numFmtId="0" fontId="6" fillId="4" borderId="16" xfId="0" applyFont="1" applyFill="1" applyBorder="1" applyAlignment="1">
      <alignment horizontal="center"/>
    </xf>
    <xf numFmtId="0" fontId="6" fillId="0" borderId="17" xfId="0" applyFont="1" applyBorder="1"/>
    <xf numFmtId="49" fontId="6" fillId="6" borderId="16" xfId="0" applyNumberFormat="1" applyFont="1" applyFill="1" applyBorder="1" applyAlignment="1">
      <alignment horizontal="center"/>
    </xf>
    <xf numFmtId="0" fontId="18" fillId="6" borderId="16" xfId="18" applyFill="1" applyBorder="1" applyAlignment="1">
      <alignment horizontal="center"/>
    </xf>
    <xf numFmtId="0" fontId="3" fillId="6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5" fillId="4" borderId="16" xfId="0" applyFont="1" applyFill="1" applyBorder="1" applyAlignment="1">
      <alignment horizontal="center"/>
    </xf>
    <xf numFmtId="49" fontId="6" fillId="4" borderId="16" xfId="0" applyNumberFormat="1" applyFont="1" applyFill="1" applyBorder="1" applyAlignment="1">
      <alignment horizontal="center"/>
    </xf>
    <xf numFmtId="0" fontId="6" fillId="0" borderId="18" xfId="0" applyFont="1" applyBorder="1"/>
    <xf numFmtId="0" fontId="4" fillId="2" borderId="18" xfId="0" applyFont="1" applyFill="1" applyBorder="1" applyAlignment="1">
      <alignment horizontal="center" vertical="center" wrapText="1"/>
    </xf>
    <xf numFmtId="49" fontId="6" fillId="4" borderId="18" xfId="0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8" fillId="6" borderId="18" xfId="18" applyFill="1" applyBorder="1" applyAlignment="1">
      <alignment horizontal="center"/>
    </xf>
    <xf numFmtId="0" fontId="6" fillId="0" borderId="19" xfId="0" applyFont="1" applyBorder="1"/>
    <xf numFmtId="0" fontId="4" fillId="2" borderId="19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49" fontId="6" fillId="4" borderId="19" xfId="0" applyNumberFormat="1" applyFont="1" applyFill="1" applyBorder="1" applyAlignment="1">
      <alignment horizontal="center"/>
    </xf>
    <xf numFmtId="0" fontId="4" fillId="0" borderId="19" xfId="0" applyFont="1" applyBorder="1"/>
    <xf numFmtId="0" fontId="18" fillId="6" borderId="19" xfId="18" applyFill="1" applyBorder="1" applyAlignment="1">
      <alignment horizontal="center"/>
    </xf>
    <xf numFmtId="0" fontId="8" fillId="3" borderId="19" xfId="1" applyFont="1" applyFill="1" applyBorder="1" applyAlignment="1">
      <alignment vertical="top" wrapText="1"/>
    </xf>
    <xf numFmtId="14" fontId="6" fillId="4" borderId="19" xfId="0" applyNumberFormat="1" applyFont="1" applyFill="1" applyBorder="1" applyAlignment="1">
      <alignment horizontal="center"/>
    </xf>
    <xf numFmtId="0" fontId="6" fillId="0" borderId="20" xfId="0" applyFont="1" applyBorder="1"/>
    <xf numFmtId="49" fontId="6" fillId="4" borderId="20" xfId="0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4" fillId="2" borderId="21" xfId="0" applyFont="1" applyFill="1" applyBorder="1" applyAlignment="1">
      <alignment horizontal="center" vertical="center" wrapText="1"/>
    </xf>
    <xf numFmtId="14" fontId="6" fillId="4" borderId="21" xfId="0" applyNumberFormat="1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6" fillId="0" borderId="21" xfId="0" applyFont="1" applyBorder="1"/>
    <xf numFmtId="0" fontId="6" fillId="4" borderId="21" xfId="0" applyFont="1" applyFill="1" applyBorder="1" applyAlignment="1">
      <alignment horizontal="center"/>
    </xf>
    <xf numFmtId="49" fontId="6" fillId="4" borderId="21" xfId="0" applyNumberFormat="1" applyFont="1" applyFill="1" applyBorder="1" applyAlignment="1">
      <alignment horizontal="center"/>
    </xf>
    <xf numFmtId="49" fontId="6" fillId="6" borderId="21" xfId="0" applyNumberFormat="1" applyFont="1" applyFill="1" applyBorder="1" applyAlignment="1">
      <alignment horizontal="center"/>
    </xf>
    <xf numFmtId="14" fontId="5" fillId="4" borderId="21" xfId="0" applyNumberFormat="1" applyFont="1" applyFill="1" applyBorder="1" applyAlignment="1">
      <alignment horizontal="center"/>
    </xf>
    <xf numFmtId="0" fontId="8" fillId="3" borderId="21" xfId="1" applyFont="1" applyFill="1" applyBorder="1" applyAlignment="1">
      <alignment vertical="top" wrapText="1"/>
    </xf>
    <xf numFmtId="0" fontId="6" fillId="0" borderId="22" xfId="0" applyFont="1" applyBorder="1"/>
    <xf numFmtId="0" fontId="6" fillId="4" borderId="22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0" borderId="23" xfId="0" applyFont="1" applyBorder="1"/>
    <xf numFmtId="49" fontId="6" fillId="4" borderId="23" xfId="0" applyNumberFormat="1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6" fillId="2" borderId="24" xfId="0" applyFont="1" applyFill="1" applyBorder="1"/>
    <xf numFmtId="0" fontId="4" fillId="2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7" borderId="24" xfId="0" applyFont="1" applyFill="1" applyBorder="1" applyAlignment="1">
      <alignment horizontal="center"/>
    </xf>
    <xf numFmtId="0" fontId="6" fillId="0" borderId="24" xfId="0" applyFont="1" applyBorder="1"/>
    <xf numFmtId="0" fontId="6" fillId="4" borderId="24" xfId="0" applyFont="1" applyFill="1" applyBorder="1" applyAlignment="1">
      <alignment horizontal="center"/>
    </xf>
    <xf numFmtId="0" fontId="3" fillId="0" borderId="24" xfId="0" applyFont="1" applyBorder="1"/>
    <xf numFmtId="0" fontId="6" fillId="0" borderId="24" xfId="0" applyFont="1" applyBorder="1" applyAlignment="1">
      <alignment wrapText="1"/>
    </xf>
    <xf numFmtId="49" fontId="6" fillId="4" borderId="24" xfId="0" applyNumberFormat="1" applyFont="1" applyFill="1" applyBorder="1" applyAlignment="1">
      <alignment horizontal="center"/>
    </xf>
    <xf numFmtId="0" fontId="8" fillId="3" borderId="24" xfId="1" applyFont="1" applyFill="1" applyBorder="1" applyAlignment="1">
      <alignment vertical="top" wrapText="1"/>
    </xf>
    <xf numFmtId="0" fontId="6" fillId="0" borderId="25" xfId="0" applyFont="1" applyBorder="1"/>
    <xf numFmtId="0" fontId="6" fillId="4" borderId="25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/>
    </xf>
    <xf numFmtId="0" fontId="6" fillId="2" borderId="26" xfId="0" applyFont="1" applyFill="1" applyBorder="1"/>
    <xf numFmtId="0" fontId="6" fillId="0" borderId="26" xfId="0" applyFont="1" applyBorder="1"/>
    <xf numFmtId="0" fontId="4" fillId="2" borderId="26" xfId="0" applyFont="1" applyFill="1" applyBorder="1" applyAlignment="1">
      <alignment horizontal="center" vertical="center" wrapText="1"/>
    </xf>
    <xf numFmtId="49" fontId="6" fillId="4" borderId="26" xfId="0" applyNumberFormat="1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6" fillId="7" borderId="26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6" fillId="0" borderId="26" xfId="0" applyFont="1" applyBorder="1" applyAlignment="1">
      <alignment wrapText="1"/>
    </xf>
    <xf numFmtId="0" fontId="5" fillId="0" borderId="26" xfId="0" applyFont="1" applyBorder="1" applyAlignment="1">
      <alignment horizontal="center"/>
    </xf>
    <xf numFmtId="0" fontId="6" fillId="0" borderId="27" xfId="0" applyFont="1" applyBorder="1"/>
    <xf numFmtId="49" fontId="6" fillId="4" borderId="27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8" fillId="3" borderId="27" xfId="1" applyFont="1" applyFill="1" applyBorder="1" applyAlignment="1">
      <alignment vertical="top" wrapText="1"/>
    </xf>
    <xf numFmtId="0" fontId="3" fillId="0" borderId="28" xfId="0" applyFont="1" applyBorder="1"/>
    <xf numFmtId="0" fontId="6" fillId="4" borderId="28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2" borderId="29" xfId="0" applyFont="1" applyFill="1" applyBorder="1"/>
    <xf numFmtId="0" fontId="5" fillId="4" borderId="29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7" borderId="29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18" fillId="6" borderId="30" xfId="18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/>
    </xf>
    <xf numFmtId="0" fontId="6" fillId="2" borderId="31" xfId="0" applyFont="1" applyFill="1" applyBorder="1"/>
    <xf numFmtId="0" fontId="4" fillId="2" borderId="31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6" fillId="7" borderId="31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0" fontId="3" fillId="0" borderId="31" xfId="0" applyFont="1" applyBorder="1"/>
    <xf numFmtId="0" fontId="5" fillId="4" borderId="31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left" vertical="center" wrapText="1"/>
    </xf>
    <xf numFmtId="0" fontId="5" fillId="0" borderId="31" xfId="0" applyFont="1" applyBorder="1"/>
    <xf numFmtId="14" fontId="6" fillId="4" borderId="31" xfId="0" applyNumberFormat="1" applyFont="1" applyFill="1" applyBorder="1" applyAlignment="1">
      <alignment horizontal="center"/>
    </xf>
    <xf numFmtId="0" fontId="6" fillId="0" borderId="31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5" fillId="4" borderId="32" xfId="0" applyFont="1" applyFill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0" fontId="6" fillId="0" borderId="33" xfId="0" applyFont="1" applyBorder="1"/>
    <xf numFmtId="49" fontId="6" fillId="4" borderId="33" xfId="0" applyNumberFormat="1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6" fillId="7" borderId="33" xfId="0" applyFont="1" applyFill="1" applyBorder="1" applyAlignment="1">
      <alignment horizontal="center"/>
    </xf>
    <xf numFmtId="0" fontId="5" fillId="0" borderId="33" xfId="0" applyFont="1" applyBorder="1"/>
    <xf numFmtId="49" fontId="6" fillId="6" borderId="33" xfId="0" applyNumberFormat="1" applyFont="1" applyFill="1" applyBorder="1" applyAlignment="1">
      <alignment horizontal="center"/>
    </xf>
    <xf numFmtId="0" fontId="6" fillId="2" borderId="34" xfId="0" applyFont="1" applyFill="1" applyBorder="1"/>
    <xf numFmtId="0" fontId="6" fillId="0" borderId="34" xfId="0" applyFont="1" applyBorder="1"/>
    <xf numFmtId="49" fontId="6" fillId="4" borderId="34" xfId="0" applyNumberFormat="1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6" borderId="34" xfId="0" applyFont="1" applyFill="1" applyBorder="1" applyAlignment="1">
      <alignment horizontal="center"/>
    </xf>
    <xf numFmtId="0" fontId="6" fillId="7" borderId="34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6" fillId="0" borderId="34" xfId="0" applyFont="1" applyBorder="1" applyAlignment="1">
      <alignment wrapText="1"/>
    </xf>
    <xf numFmtId="14" fontId="5" fillId="4" borderId="34" xfId="0" applyNumberFormat="1" applyFont="1" applyFill="1" applyBorder="1" applyAlignment="1">
      <alignment horizontal="center"/>
    </xf>
    <xf numFmtId="0" fontId="6" fillId="2" borderId="35" xfId="0" applyFont="1" applyFill="1" applyBorder="1"/>
    <xf numFmtId="0" fontId="6" fillId="0" borderId="35" xfId="0" applyFont="1" applyBorder="1"/>
    <xf numFmtId="49" fontId="6" fillId="4" borderId="35" xfId="0" applyNumberFormat="1" applyFont="1" applyFill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6" borderId="35" xfId="0" applyFont="1" applyFill="1" applyBorder="1" applyAlignment="1">
      <alignment horizontal="center"/>
    </xf>
    <xf numFmtId="0" fontId="6" fillId="7" borderId="35" xfId="0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6" fillId="0" borderId="35" xfId="0" applyFont="1" applyBorder="1" applyAlignment="1">
      <alignment wrapText="1"/>
    </xf>
    <xf numFmtId="0" fontId="6" fillId="0" borderId="36" xfId="0" applyFont="1" applyBorder="1"/>
    <xf numFmtId="0" fontId="4" fillId="2" borderId="36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6" borderId="36" xfId="0" applyFont="1" applyFill="1" applyBorder="1" applyAlignment="1">
      <alignment horizontal="center"/>
    </xf>
    <xf numFmtId="0" fontId="6" fillId="7" borderId="36" xfId="0" applyFont="1" applyFill="1" applyBorder="1" applyAlignment="1">
      <alignment horizontal="center"/>
    </xf>
    <xf numFmtId="0" fontId="6" fillId="0" borderId="36" xfId="0" applyFont="1" applyBorder="1" applyAlignment="1">
      <alignment wrapText="1"/>
    </xf>
    <xf numFmtId="0" fontId="5" fillId="4" borderId="36" xfId="0" applyFont="1" applyFill="1" applyBorder="1" applyAlignment="1">
      <alignment horizontal="center"/>
    </xf>
    <xf numFmtId="0" fontId="6" fillId="0" borderId="37" xfId="0" applyFont="1" applyBorder="1" applyAlignment="1">
      <alignment wrapText="1"/>
    </xf>
    <xf numFmtId="0" fontId="4" fillId="2" borderId="37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6" borderId="37" xfId="0" applyFont="1" applyFill="1" applyBorder="1" applyAlignment="1">
      <alignment horizontal="center"/>
    </xf>
    <xf numFmtId="0" fontId="6" fillId="7" borderId="37" xfId="0" applyFont="1" applyFill="1" applyBorder="1" applyAlignment="1">
      <alignment horizontal="center"/>
    </xf>
    <xf numFmtId="0" fontId="6" fillId="4" borderId="37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left" vertical="center" wrapText="1"/>
    </xf>
    <xf numFmtId="0" fontId="6" fillId="2" borderId="38" xfId="0" applyFont="1" applyFill="1" applyBorder="1"/>
    <xf numFmtId="0" fontId="6" fillId="0" borderId="38" xfId="0" applyFont="1" applyBorder="1"/>
    <xf numFmtId="0" fontId="4" fillId="2" borderId="38" xfId="0" applyFont="1" applyFill="1" applyBorder="1" applyAlignment="1">
      <alignment horizontal="center" vertical="center" wrapText="1"/>
    </xf>
    <xf numFmtId="49" fontId="6" fillId="4" borderId="38" xfId="0" applyNumberFormat="1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6" borderId="38" xfId="0" applyFont="1" applyFill="1" applyBorder="1" applyAlignment="1">
      <alignment horizontal="center"/>
    </xf>
    <xf numFmtId="0" fontId="6" fillId="7" borderId="38" xfId="0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left" vertical="center" wrapText="1"/>
    </xf>
    <xf numFmtId="0" fontId="5" fillId="4" borderId="38" xfId="0" applyFont="1" applyFill="1" applyBorder="1" applyAlignment="1">
      <alignment horizontal="center"/>
    </xf>
    <xf numFmtId="0" fontId="6" fillId="0" borderId="39" xfId="0" applyFont="1" applyBorder="1"/>
    <xf numFmtId="49" fontId="6" fillId="4" borderId="39" xfId="0" applyNumberFormat="1" applyFont="1" applyFill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6" borderId="39" xfId="0" applyFont="1" applyFill="1" applyBorder="1" applyAlignment="1">
      <alignment horizontal="center"/>
    </xf>
    <xf numFmtId="0" fontId="6" fillId="7" borderId="39" xfId="0" applyFont="1" applyFill="1" applyBorder="1" applyAlignment="1">
      <alignment horizontal="center"/>
    </xf>
    <xf numFmtId="0" fontId="6" fillId="0" borderId="40" xfId="0" applyFont="1" applyBorder="1" applyAlignment="1">
      <alignment wrapText="1"/>
    </xf>
    <xf numFmtId="0" fontId="5" fillId="4" borderId="40" xfId="0" applyFont="1" applyFill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0" fontId="6" fillId="7" borderId="40" xfId="0" applyFont="1" applyFill="1" applyBorder="1" applyAlignment="1">
      <alignment horizontal="center"/>
    </xf>
    <xf numFmtId="0" fontId="6" fillId="2" borderId="41" xfId="0" applyFont="1" applyFill="1" applyBorder="1"/>
    <xf numFmtId="0" fontId="4" fillId="2" borderId="4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6" borderId="41" xfId="0" applyFont="1" applyFill="1" applyBorder="1" applyAlignment="1">
      <alignment horizontal="center"/>
    </xf>
    <xf numFmtId="0" fontId="6" fillId="7" borderId="41" xfId="0" applyFont="1" applyFill="1" applyBorder="1" applyAlignment="1">
      <alignment horizontal="center"/>
    </xf>
    <xf numFmtId="0" fontId="6" fillId="0" borderId="42" xfId="0" applyFont="1" applyBorder="1" applyAlignment="1">
      <alignment wrapText="1"/>
    </xf>
    <xf numFmtId="0" fontId="4" fillId="2" borderId="42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6" borderId="42" xfId="0" applyFont="1" applyFill="1" applyBorder="1" applyAlignment="1">
      <alignment horizontal="center"/>
    </xf>
    <xf numFmtId="0" fontId="6" fillId="7" borderId="42" xfId="0" applyFont="1" applyFill="1" applyBorder="1" applyAlignment="1">
      <alignment horizontal="center"/>
    </xf>
    <xf numFmtId="0" fontId="6" fillId="0" borderId="42" xfId="0" applyFont="1" applyBorder="1"/>
    <xf numFmtId="0" fontId="6" fillId="4" borderId="42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left" vertical="center" wrapText="1"/>
    </xf>
    <xf numFmtId="14" fontId="6" fillId="4" borderId="42" xfId="0" applyNumberFormat="1" applyFont="1" applyFill="1" applyBorder="1" applyAlignment="1">
      <alignment horizontal="center"/>
    </xf>
    <xf numFmtId="49" fontId="6" fillId="4" borderId="42" xfId="0" applyNumberFormat="1" applyFont="1" applyFill="1" applyBorder="1" applyAlignment="1">
      <alignment horizontal="center"/>
    </xf>
    <xf numFmtId="0" fontId="6" fillId="0" borderId="43" xfId="0" applyFont="1" applyBorder="1"/>
    <xf numFmtId="0" fontId="6" fillId="0" borderId="43" xfId="0" applyFont="1" applyBorder="1" applyAlignment="1">
      <alignment horizontal="center"/>
    </xf>
    <xf numFmtId="0" fontId="6" fillId="6" borderId="43" xfId="0" applyFont="1" applyFill="1" applyBorder="1" applyAlignment="1">
      <alignment horizontal="center"/>
    </xf>
    <xf numFmtId="0" fontId="6" fillId="7" borderId="43" xfId="0" applyFont="1" applyFill="1" applyBorder="1" applyAlignment="1">
      <alignment horizontal="center"/>
    </xf>
    <xf numFmtId="49" fontId="6" fillId="4" borderId="43" xfId="0" applyNumberFormat="1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6" borderId="44" xfId="0" applyFont="1" applyFill="1" applyBorder="1" applyAlignment="1">
      <alignment horizontal="center"/>
    </xf>
    <xf numFmtId="0" fontId="6" fillId="7" borderId="44" xfId="0" applyFont="1" applyFill="1" applyBorder="1" applyAlignment="1">
      <alignment horizontal="center"/>
    </xf>
    <xf numFmtId="0" fontId="5" fillId="4" borderId="45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6" fillId="7" borderId="45" xfId="0" applyFont="1" applyFill="1" applyBorder="1" applyAlignment="1">
      <alignment horizontal="center"/>
    </xf>
    <xf numFmtId="0" fontId="6" fillId="0" borderId="45" xfId="0" applyFont="1" applyBorder="1"/>
    <xf numFmtId="49" fontId="6" fillId="4" borderId="45" xfId="0" applyNumberFormat="1" applyFont="1" applyFill="1" applyBorder="1" applyAlignment="1">
      <alignment horizontal="center"/>
    </xf>
    <xf numFmtId="0" fontId="6" fillId="0" borderId="46" xfId="0" applyFont="1" applyBorder="1"/>
    <xf numFmtId="0" fontId="18" fillId="6" borderId="46" xfId="18" applyFill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7" borderId="46" xfId="0" applyFont="1" applyFill="1" applyBorder="1" applyAlignment="1">
      <alignment horizontal="center"/>
    </xf>
    <xf numFmtId="0" fontId="6" fillId="2" borderId="47" xfId="0" applyFont="1" applyFill="1" applyBorder="1"/>
    <xf numFmtId="0" fontId="4" fillId="2" borderId="47" xfId="0" applyFont="1" applyFill="1" applyBorder="1" applyAlignment="1">
      <alignment horizontal="center" vertical="center" wrapText="1"/>
    </xf>
    <xf numFmtId="0" fontId="5" fillId="4" borderId="47" xfId="0" applyFont="1" applyFill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6" borderId="47" xfId="0" applyFont="1" applyFill="1" applyBorder="1" applyAlignment="1">
      <alignment horizontal="center"/>
    </xf>
    <xf numFmtId="0" fontId="6" fillId="7" borderId="47" xfId="0" applyFont="1" applyFill="1" applyBorder="1" applyAlignment="1">
      <alignment horizontal="center"/>
    </xf>
    <xf numFmtId="0" fontId="6" fillId="0" borderId="47" xfId="0" applyFont="1" applyBorder="1"/>
    <xf numFmtId="0" fontId="6" fillId="4" borderId="47" xfId="0" applyFont="1" applyFill="1" applyBorder="1" applyAlignment="1">
      <alignment horizontal="center"/>
    </xf>
    <xf numFmtId="49" fontId="6" fillId="4" borderId="47" xfId="0" applyNumberFormat="1" applyFont="1" applyFill="1" applyBorder="1" applyAlignment="1">
      <alignment horizontal="center"/>
    </xf>
    <xf numFmtId="0" fontId="6" fillId="2" borderId="48" xfId="0" applyFont="1" applyFill="1" applyBorder="1"/>
    <xf numFmtId="0" fontId="6" fillId="0" borderId="48" xfId="0" applyFont="1" applyBorder="1" applyAlignment="1">
      <alignment wrapText="1"/>
    </xf>
    <xf numFmtId="0" fontId="4" fillId="2" borderId="48" xfId="0" applyFont="1" applyFill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6" borderId="48" xfId="0" applyFont="1" applyFill="1" applyBorder="1" applyAlignment="1">
      <alignment horizontal="center"/>
    </xf>
    <xf numFmtId="0" fontId="6" fillId="7" borderId="48" xfId="0" applyFont="1" applyFill="1" applyBorder="1" applyAlignment="1">
      <alignment horizontal="center"/>
    </xf>
    <xf numFmtId="0" fontId="6" fillId="0" borderId="48" xfId="0" applyFont="1" applyBorder="1"/>
    <xf numFmtId="0" fontId="6" fillId="4" borderId="48" xfId="0" applyFont="1" applyFill="1" applyBorder="1" applyAlignment="1">
      <alignment horizontal="center"/>
    </xf>
    <xf numFmtId="49" fontId="6" fillId="4" borderId="48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49" xfId="0" applyFont="1" applyFill="1" applyBorder="1" applyAlignment="1">
      <alignment horizontal="center" vertical="center" wrapText="1"/>
    </xf>
    <xf numFmtId="0" fontId="5" fillId="4" borderId="49" xfId="0" applyFont="1" applyFill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6" fillId="7" borderId="49" xfId="0" applyFont="1" applyFill="1" applyBorder="1" applyAlignment="1">
      <alignment horizontal="center"/>
    </xf>
    <xf numFmtId="0" fontId="6" fillId="0" borderId="49" xfId="0" applyFont="1" applyBorder="1"/>
    <xf numFmtId="49" fontId="6" fillId="4" borderId="49" xfId="0" applyNumberFormat="1" applyFont="1" applyFill="1" applyBorder="1" applyAlignment="1">
      <alignment horizontal="center"/>
    </xf>
    <xf numFmtId="0" fontId="6" fillId="2" borderId="50" xfId="0" applyFont="1" applyFill="1" applyBorder="1"/>
    <xf numFmtId="0" fontId="6" fillId="0" borderId="50" xfId="0" applyFont="1" applyBorder="1"/>
    <xf numFmtId="0" fontId="4" fillId="2" borderId="50" xfId="0" applyFont="1" applyFill="1" applyBorder="1" applyAlignment="1">
      <alignment horizontal="center" vertical="center" wrapText="1"/>
    </xf>
    <xf numFmtId="49" fontId="6" fillId="4" borderId="50" xfId="0" applyNumberFormat="1" applyFont="1" applyFill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6" borderId="50" xfId="0" applyFont="1" applyFill="1" applyBorder="1" applyAlignment="1">
      <alignment horizontal="center"/>
    </xf>
    <xf numFmtId="0" fontId="6" fillId="7" borderId="50" xfId="0" applyFont="1" applyFill="1" applyBorder="1" applyAlignment="1">
      <alignment horizontal="center"/>
    </xf>
    <xf numFmtId="0" fontId="6" fillId="4" borderId="50" xfId="0" applyFont="1" applyFill="1" applyBorder="1" applyAlignment="1">
      <alignment horizontal="center"/>
    </xf>
    <xf numFmtId="14" fontId="6" fillId="2" borderId="16" xfId="0" applyNumberFormat="1" applyFont="1" applyFill="1" applyBorder="1" applyAlignment="1">
      <alignment horizontal="center"/>
    </xf>
    <xf numFmtId="49" fontId="6" fillId="2" borderId="16" xfId="0" applyNumberFormat="1" applyFont="1" applyFill="1" applyBorder="1" applyAlignment="1">
      <alignment horizontal="center"/>
    </xf>
    <xf numFmtId="49" fontId="6" fillId="2" borderId="26" xfId="0" applyNumberFormat="1" applyFont="1" applyFill="1" applyBorder="1" applyAlignment="1">
      <alignment horizontal="center"/>
    </xf>
    <xf numFmtId="14" fontId="5" fillId="4" borderId="50" xfId="0" applyNumberFormat="1" applyFont="1" applyFill="1" applyBorder="1" applyAlignment="1">
      <alignment horizontal="center"/>
    </xf>
    <xf numFmtId="0" fontId="5" fillId="0" borderId="51" xfId="0" applyFont="1" applyBorder="1"/>
    <xf numFmtId="49" fontId="6" fillId="4" borderId="51" xfId="0" applyNumberFormat="1" applyFont="1" applyFill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6" borderId="51" xfId="0" applyFont="1" applyFill="1" applyBorder="1" applyAlignment="1">
      <alignment horizontal="center"/>
    </xf>
    <xf numFmtId="0" fontId="6" fillId="7" borderId="51" xfId="0" applyFont="1" applyFill="1" applyBorder="1" applyAlignment="1">
      <alignment horizontal="center"/>
    </xf>
    <xf numFmtId="0" fontId="6" fillId="0" borderId="51" xfId="0" applyFont="1" applyBorder="1"/>
    <xf numFmtId="0" fontId="6" fillId="2" borderId="52" xfId="0" applyFont="1" applyFill="1" applyBorder="1"/>
    <xf numFmtId="0" fontId="4" fillId="2" borderId="52" xfId="0" applyFont="1" applyFill="1" applyBorder="1" applyAlignment="1">
      <alignment horizontal="center" vertical="center" wrapText="1"/>
    </xf>
    <xf numFmtId="0" fontId="6" fillId="4" borderId="52" xfId="0" applyFont="1" applyFill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6" borderId="52" xfId="0" applyFont="1" applyFill="1" applyBorder="1" applyAlignment="1">
      <alignment horizontal="center"/>
    </xf>
    <xf numFmtId="0" fontId="6" fillId="7" borderId="52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49" fontId="6" fillId="6" borderId="52" xfId="0" applyNumberFormat="1" applyFont="1" applyFill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6" borderId="53" xfId="0" applyFont="1" applyFill="1" applyBorder="1" applyAlignment="1">
      <alignment horizontal="center"/>
    </xf>
    <xf numFmtId="0" fontId="6" fillId="7" borderId="53" xfId="0" applyFont="1" applyFill="1" applyBorder="1" applyAlignment="1">
      <alignment horizontal="center"/>
    </xf>
    <xf numFmtId="0" fontId="6" fillId="0" borderId="53" xfId="0" applyFont="1" applyBorder="1" applyAlignment="1">
      <alignment wrapText="1"/>
    </xf>
    <xf numFmtId="0" fontId="5" fillId="4" borderId="53" xfId="0" applyFont="1" applyFill="1" applyBorder="1" applyAlignment="1">
      <alignment horizontal="center"/>
    </xf>
    <xf numFmtId="0" fontId="6" fillId="0" borderId="54" xfId="0" applyFont="1" applyBorder="1"/>
    <xf numFmtId="49" fontId="6" fillId="4" borderId="54" xfId="0" applyNumberFormat="1" applyFont="1" applyFill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6" borderId="54" xfId="0" applyFont="1" applyFill="1" applyBorder="1" applyAlignment="1">
      <alignment horizontal="center"/>
    </xf>
    <xf numFmtId="0" fontId="6" fillId="7" borderId="54" xfId="0" applyFont="1" applyFill="1" applyBorder="1" applyAlignment="1">
      <alignment horizontal="center"/>
    </xf>
    <xf numFmtId="0" fontId="6" fillId="0" borderId="55" xfId="0" applyFont="1" applyBorder="1"/>
    <xf numFmtId="49" fontId="6" fillId="4" borderId="55" xfId="0" applyNumberFormat="1" applyFont="1" applyFill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6" borderId="55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/>
    </xf>
    <xf numFmtId="0" fontId="3" fillId="0" borderId="55" xfId="0" applyFont="1" applyBorder="1"/>
    <xf numFmtId="49" fontId="6" fillId="6" borderId="55" xfId="0" applyNumberFormat="1" applyFont="1" applyFill="1" applyBorder="1" applyAlignment="1">
      <alignment horizontal="center"/>
    </xf>
    <xf numFmtId="0" fontId="6" fillId="7" borderId="1" xfId="0" quotePrefix="1" applyFont="1" applyFill="1" applyBorder="1" applyAlignment="1">
      <alignment horizontal="center"/>
    </xf>
    <xf numFmtId="0" fontId="6" fillId="6" borderId="1" xfId="0" quotePrefix="1" applyFont="1" applyFill="1" applyBorder="1" applyAlignment="1">
      <alignment horizontal="center"/>
    </xf>
    <xf numFmtId="0" fontId="5" fillId="4" borderId="55" xfId="0" applyFont="1" applyFill="1" applyBorder="1" applyAlignment="1">
      <alignment horizontal="center"/>
    </xf>
    <xf numFmtId="0" fontId="4" fillId="2" borderId="56" xfId="0" applyFont="1" applyFill="1" applyBorder="1" applyAlignment="1">
      <alignment horizontal="center" vertical="center" wrapText="1"/>
    </xf>
    <xf numFmtId="0" fontId="5" fillId="4" borderId="56" xfId="0" applyFont="1" applyFill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6" borderId="56" xfId="0" applyFont="1" applyFill="1" applyBorder="1" applyAlignment="1">
      <alignment horizontal="center"/>
    </xf>
    <xf numFmtId="0" fontId="6" fillId="7" borderId="56" xfId="0" applyFont="1" applyFill="1" applyBorder="1" applyAlignment="1">
      <alignment horizontal="center"/>
    </xf>
    <xf numFmtId="0" fontId="4" fillId="2" borderId="56" xfId="0" applyFont="1" applyFill="1" applyBorder="1"/>
    <xf numFmtId="49" fontId="6" fillId="4" borderId="56" xfId="0" applyNumberFormat="1" applyFont="1" applyFill="1" applyBorder="1" applyAlignment="1">
      <alignment horizontal="center"/>
    </xf>
    <xf numFmtId="0" fontId="6" fillId="0" borderId="57" xfId="0" applyFont="1" applyBorder="1"/>
    <xf numFmtId="0" fontId="4" fillId="2" borderId="57" xfId="0" applyFont="1" applyFill="1" applyBorder="1" applyAlignment="1">
      <alignment horizontal="left" vertical="center" wrapText="1"/>
    </xf>
    <xf numFmtId="0" fontId="6" fillId="4" borderId="57" xfId="0" applyFont="1" applyFill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6" borderId="57" xfId="0" applyFont="1" applyFill="1" applyBorder="1" applyAlignment="1">
      <alignment horizontal="center"/>
    </xf>
    <xf numFmtId="0" fontId="6" fillId="7" borderId="57" xfId="0" applyFont="1" applyFill="1" applyBorder="1" applyAlignment="1">
      <alignment horizontal="center"/>
    </xf>
    <xf numFmtId="0" fontId="4" fillId="2" borderId="57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2" borderId="57" xfId="0" applyFont="1" applyFill="1" applyBorder="1"/>
    <xf numFmtId="0" fontId="5" fillId="4" borderId="57" xfId="0" applyFont="1" applyFill="1" applyBorder="1" applyAlignment="1">
      <alignment horizontal="center"/>
    </xf>
    <xf numFmtId="49" fontId="6" fillId="6" borderId="57" xfId="0" applyNumberFormat="1" applyFont="1" applyFill="1" applyBorder="1" applyAlignment="1">
      <alignment horizontal="center"/>
    </xf>
    <xf numFmtId="0" fontId="8" fillId="3" borderId="58" xfId="1" applyFont="1" applyFill="1" applyBorder="1" applyAlignment="1">
      <alignment vertical="top" wrapText="1"/>
    </xf>
    <xf numFmtId="0" fontId="4" fillId="2" borderId="58" xfId="0" applyFont="1" applyFill="1" applyBorder="1" applyAlignment="1">
      <alignment horizontal="center" vertical="center" wrapText="1"/>
    </xf>
    <xf numFmtId="0" fontId="6" fillId="4" borderId="58" xfId="0" applyFont="1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6" fillId="6" borderId="58" xfId="0" applyFont="1" applyFill="1" applyBorder="1" applyAlignment="1">
      <alignment horizontal="center"/>
    </xf>
    <xf numFmtId="0" fontId="6" fillId="7" borderId="58" xfId="0" applyFont="1" applyFill="1" applyBorder="1" applyAlignment="1">
      <alignment horizontal="center"/>
    </xf>
    <xf numFmtId="0" fontId="3" fillId="0" borderId="58" xfId="0" applyFont="1" applyBorder="1"/>
    <xf numFmtId="0" fontId="5" fillId="4" borderId="58" xfId="0" applyFont="1" applyFill="1" applyBorder="1" applyAlignment="1">
      <alignment horizontal="center"/>
    </xf>
    <xf numFmtId="0" fontId="3" fillId="0" borderId="59" xfId="0" applyFont="1" applyBorder="1"/>
    <xf numFmtId="0" fontId="4" fillId="2" borderId="59" xfId="0" applyFont="1" applyFill="1" applyBorder="1" applyAlignment="1">
      <alignment horizontal="center" vertical="center" wrapText="1"/>
    </xf>
    <xf numFmtId="0" fontId="5" fillId="4" borderId="59" xfId="0" applyFont="1" applyFill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6" borderId="59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/>
    </xf>
    <xf numFmtId="0" fontId="6" fillId="0" borderId="59" xfId="0" applyFont="1" applyBorder="1"/>
    <xf numFmtId="0" fontId="6" fillId="4" borderId="59" xfId="0" applyFont="1" applyFill="1" applyBorder="1" applyAlignment="1">
      <alignment horizontal="center"/>
    </xf>
    <xf numFmtId="0" fontId="6" fillId="0" borderId="59" xfId="0" applyFont="1" applyBorder="1" applyAlignment="1">
      <alignment wrapText="1"/>
    </xf>
    <xf numFmtId="14" fontId="5" fillId="4" borderId="59" xfId="0" applyNumberFormat="1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 vertical="center" wrapText="1"/>
    </xf>
    <xf numFmtId="0" fontId="5" fillId="4" borderId="60" xfId="0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6" borderId="60" xfId="0" applyFont="1" applyFill="1" applyBorder="1" applyAlignment="1">
      <alignment horizontal="center"/>
    </xf>
    <xf numFmtId="0" fontId="6" fillId="7" borderId="60" xfId="0" applyFont="1" applyFill="1" applyBorder="1" applyAlignment="1">
      <alignment horizontal="center"/>
    </xf>
    <xf numFmtId="0" fontId="6" fillId="2" borderId="60" xfId="0" applyFont="1" applyFill="1" applyBorder="1"/>
    <xf numFmtId="0" fontId="6" fillId="0" borderId="61" xfId="0" applyFont="1" applyBorder="1"/>
    <xf numFmtId="0" fontId="18" fillId="6" borderId="61" xfId="18" applyFill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6" borderId="61" xfId="0" applyFont="1" applyFill="1" applyBorder="1" applyAlignment="1">
      <alignment horizontal="center"/>
    </xf>
    <xf numFmtId="0" fontId="6" fillId="7" borderId="61" xfId="0" applyFont="1" applyFill="1" applyBorder="1" applyAlignment="1">
      <alignment horizontal="center"/>
    </xf>
    <xf numFmtId="49" fontId="18" fillId="6" borderId="61" xfId="18" applyNumberFormat="1" applyFill="1" applyBorder="1" applyAlignment="1">
      <alignment horizontal="center"/>
    </xf>
    <xf numFmtId="0" fontId="6" fillId="2" borderId="62" xfId="0" applyFont="1" applyFill="1" applyBorder="1"/>
    <xf numFmtId="0" fontId="6" fillId="0" borderId="62" xfId="0" applyFont="1" applyBorder="1" applyAlignment="1">
      <alignment wrapText="1"/>
    </xf>
    <xf numFmtId="0" fontId="4" fillId="2" borderId="62" xfId="0" applyFont="1" applyFill="1" applyBorder="1" applyAlignment="1">
      <alignment horizontal="center" vertical="center" wrapText="1"/>
    </xf>
    <xf numFmtId="14" fontId="5" fillId="4" borderId="62" xfId="0" applyNumberFormat="1" applyFont="1" applyFill="1" applyBorder="1" applyAlignment="1">
      <alignment horizontal="center"/>
    </xf>
    <xf numFmtId="0" fontId="6" fillId="6" borderId="62" xfId="0" applyFont="1" applyFill="1" applyBorder="1" applyAlignment="1">
      <alignment horizontal="center"/>
    </xf>
    <xf numFmtId="0" fontId="6" fillId="7" borderId="62" xfId="0" applyFont="1" applyFill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4" borderId="62" xfId="0" applyFont="1" applyFill="1" applyBorder="1" applyAlignment="1">
      <alignment horizontal="center"/>
    </xf>
    <xf numFmtId="0" fontId="5" fillId="4" borderId="62" xfId="0" applyFont="1" applyFill="1" applyBorder="1" applyAlignment="1">
      <alignment horizontal="center"/>
    </xf>
    <xf numFmtId="0" fontId="6" fillId="2" borderId="63" xfId="0" applyFont="1" applyFill="1" applyBorder="1"/>
    <xf numFmtId="0" fontId="4" fillId="2" borderId="63" xfId="0" applyFont="1" applyFill="1" applyBorder="1" applyAlignment="1">
      <alignment horizontal="center" vertical="center" wrapText="1"/>
    </xf>
    <xf numFmtId="0" fontId="5" fillId="4" borderId="63" xfId="0" applyFont="1" applyFill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6" fillId="6" borderId="63" xfId="0" applyFont="1" applyFill="1" applyBorder="1" applyAlignment="1">
      <alignment horizontal="center"/>
    </xf>
    <xf numFmtId="0" fontId="6" fillId="7" borderId="63" xfId="0" applyFont="1" applyFill="1" applyBorder="1" applyAlignment="1">
      <alignment horizontal="center"/>
    </xf>
    <xf numFmtId="0" fontId="6" fillId="0" borderId="63" xfId="0" applyFont="1" applyBorder="1"/>
    <xf numFmtId="49" fontId="6" fillId="4" borderId="63" xfId="0" applyNumberFormat="1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 vertical="center" wrapText="1"/>
    </xf>
    <xf numFmtId="0" fontId="5" fillId="4" borderId="64" xfId="0" applyFont="1" applyFill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6" fillId="6" borderId="64" xfId="0" applyFont="1" applyFill="1" applyBorder="1" applyAlignment="1">
      <alignment horizontal="center"/>
    </xf>
    <xf numFmtId="0" fontId="6" fillId="7" borderId="64" xfId="0" applyFont="1" applyFill="1" applyBorder="1" applyAlignment="1">
      <alignment horizontal="center"/>
    </xf>
    <xf numFmtId="0" fontId="6" fillId="0" borderId="64" xfId="0" applyFont="1" applyBorder="1"/>
    <xf numFmtId="0" fontId="6" fillId="2" borderId="64" xfId="0" applyFont="1" applyFill="1" applyBorder="1"/>
    <xf numFmtId="49" fontId="6" fillId="4" borderId="64" xfId="0" applyNumberFormat="1" applyFont="1" applyFill="1" applyBorder="1" applyAlignment="1">
      <alignment horizontal="center"/>
    </xf>
    <xf numFmtId="0" fontId="6" fillId="0" borderId="65" xfId="0" applyFont="1" applyBorder="1" applyAlignment="1">
      <alignment wrapText="1"/>
    </xf>
    <xf numFmtId="0" fontId="4" fillId="2" borderId="65" xfId="0" applyFont="1" applyFill="1" applyBorder="1" applyAlignment="1">
      <alignment horizontal="center" vertical="center" wrapText="1"/>
    </xf>
    <xf numFmtId="0" fontId="5" fillId="4" borderId="65" xfId="0" applyFont="1" applyFill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6" borderId="65" xfId="0" applyFont="1" applyFill="1" applyBorder="1" applyAlignment="1">
      <alignment horizontal="center"/>
    </xf>
    <xf numFmtId="0" fontId="6" fillId="7" borderId="65" xfId="0" applyFont="1" applyFill="1" applyBorder="1" applyAlignment="1">
      <alignment horizontal="center"/>
    </xf>
    <xf numFmtId="0" fontId="6" fillId="4" borderId="65" xfId="0" applyFont="1" applyFill="1" applyBorder="1" applyAlignment="1">
      <alignment horizontal="center"/>
    </xf>
    <xf numFmtId="0" fontId="3" fillId="0" borderId="65" xfId="0" applyFont="1" applyBorder="1"/>
    <xf numFmtId="0" fontId="6" fillId="2" borderId="66" xfId="0" applyFont="1" applyFill="1" applyBorder="1"/>
    <xf numFmtId="0" fontId="6" fillId="0" borderId="66" xfId="0" applyFont="1" applyBorder="1"/>
    <xf numFmtId="0" fontId="4" fillId="2" borderId="66" xfId="0" applyFont="1" applyFill="1" applyBorder="1" applyAlignment="1">
      <alignment horizontal="center" vertical="center" wrapText="1"/>
    </xf>
    <xf numFmtId="49" fontId="6" fillId="4" borderId="66" xfId="0" applyNumberFormat="1" applyFont="1" applyFill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6" borderId="66" xfId="0" applyFont="1" applyFill="1" applyBorder="1" applyAlignment="1">
      <alignment horizontal="center"/>
    </xf>
    <xf numFmtId="0" fontId="6" fillId="7" borderId="66" xfId="0" applyFont="1" applyFill="1" applyBorder="1" applyAlignment="1">
      <alignment horizontal="center"/>
    </xf>
    <xf numFmtId="0" fontId="5" fillId="4" borderId="66" xfId="0" applyFont="1" applyFill="1" applyBorder="1" applyAlignment="1">
      <alignment horizontal="center"/>
    </xf>
    <xf numFmtId="14" fontId="5" fillId="4" borderId="66" xfId="0" applyNumberFormat="1" applyFont="1" applyFill="1" applyBorder="1" applyAlignment="1">
      <alignment horizontal="center"/>
    </xf>
    <xf numFmtId="0" fontId="4" fillId="2" borderId="67" xfId="0" applyFont="1" applyFill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/>
    </xf>
    <xf numFmtId="0" fontId="6" fillId="0" borderId="67" xfId="0" applyFont="1" applyBorder="1" applyAlignment="1">
      <alignment horizontal="center"/>
    </xf>
    <xf numFmtId="0" fontId="6" fillId="6" borderId="67" xfId="0" applyFont="1" applyFill="1" applyBorder="1" applyAlignment="1">
      <alignment horizontal="center"/>
    </xf>
    <xf numFmtId="0" fontId="6" fillId="7" borderId="67" xfId="0" applyFont="1" applyFill="1" applyBorder="1" applyAlignment="1">
      <alignment horizontal="center"/>
    </xf>
    <xf numFmtId="14" fontId="5" fillId="4" borderId="67" xfId="0" applyNumberFormat="1" applyFont="1" applyFill="1" applyBorder="1" applyAlignment="1">
      <alignment horizontal="center"/>
    </xf>
    <xf numFmtId="0" fontId="5" fillId="4" borderId="68" xfId="0" applyFont="1" applyFill="1" applyBorder="1" applyAlignment="1">
      <alignment horizontal="center"/>
    </xf>
    <xf numFmtId="0" fontId="6" fillId="0" borderId="68" xfId="0" applyFont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6" fillId="7" borderId="68" xfId="0" applyFont="1" applyFill="1" applyBorder="1" applyAlignment="1">
      <alignment horizontal="center"/>
    </xf>
    <xf numFmtId="0" fontId="6" fillId="0" borderId="68" xfId="0" applyFont="1" applyBorder="1"/>
    <xf numFmtId="49" fontId="6" fillId="4" borderId="68" xfId="0" applyNumberFormat="1" applyFont="1" applyFill="1" applyBorder="1" applyAlignment="1">
      <alignment horizontal="center"/>
    </xf>
    <xf numFmtId="0" fontId="6" fillId="0" borderId="69" xfId="0" applyFont="1" applyBorder="1"/>
    <xf numFmtId="49" fontId="6" fillId="4" borderId="69" xfId="0" applyNumberFormat="1" applyFont="1" applyFill="1" applyBorder="1" applyAlignment="1">
      <alignment horizontal="center"/>
    </xf>
    <xf numFmtId="0" fontId="6" fillId="0" borderId="69" xfId="0" applyFont="1" applyBorder="1" applyAlignment="1">
      <alignment horizontal="center"/>
    </xf>
    <xf numFmtId="0" fontId="6" fillId="6" borderId="69" xfId="0" applyFont="1" applyFill="1" applyBorder="1" applyAlignment="1">
      <alignment horizontal="center"/>
    </xf>
    <xf numFmtId="0" fontId="6" fillId="7" borderId="69" xfId="0" applyFont="1" applyFill="1" applyBorder="1" applyAlignment="1">
      <alignment horizontal="center"/>
    </xf>
    <xf numFmtId="0" fontId="5" fillId="4" borderId="70" xfId="0" applyFont="1" applyFill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6" borderId="70" xfId="0" applyFont="1" applyFill="1" applyBorder="1" applyAlignment="1">
      <alignment horizontal="center"/>
    </xf>
    <xf numFmtId="0" fontId="6" fillId="7" borderId="70" xfId="0" applyFont="1" applyFill="1" applyBorder="1" applyAlignment="1">
      <alignment horizontal="center"/>
    </xf>
    <xf numFmtId="0" fontId="6" fillId="0" borderId="70" xfId="0" applyFont="1" applyBorder="1"/>
    <xf numFmtId="0" fontId="6" fillId="4" borderId="70" xfId="0" applyFont="1" applyFill="1" applyBorder="1" applyAlignment="1">
      <alignment horizontal="center"/>
    </xf>
    <xf numFmtId="0" fontId="6" fillId="0" borderId="71" xfId="0" applyFont="1" applyBorder="1"/>
    <xf numFmtId="0" fontId="6" fillId="0" borderId="71" xfId="0" applyFont="1" applyBorder="1" applyAlignment="1">
      <alignment horizontal="center"/>
    </xf>
    <xf numFmtId="0" fontId="6" fillId="6" borderId="71" xfId="0" applyFont="1" applyFill="1" applyBorder="1" applyAlignment="1">
      <alignment horizontal="center"/>
    </xf>
    <xf numFmtId="0" fontId="6" fillId="7" borderId="71" xfId="0" applyFont="1" applyFill="1" applyBorder="1" applyAlignment="1">
      <alignment horizontal="center"/>
    </xf>
    <xf numFmtId="0" fontId="3" fillId="0" borderId="72" xfId="0" applyFont="1" applyBorder="1"/>
    <xf numFmtId="0" fontId="5" fillId="4" borderId="72" xfId="0" applyFont="1" applyFill="1" applyBorder="1" applyAlignment="1">
      <alignment horizontal="center"/>
    </xf>
    <xf numFmtId="0" fontId="6" fillId="0" borderId="72" xfId="0" applyFont="1" applyBorder="1" applyAlignment="1">
      <alignment horizontal="center"/>
    </xf>
    <xf numFmtId="0" fontId="6" fillId="6" borderId="72" xfId="0" applyFont="1" applyFill="1" applyBorder="1" applyAlignment="1">
      <alignment horizontal="center"/>
    </xf>
    <xf numFmtId="0" fontId="6" fillId="7" borderId="72" xfId="0" applyFont="1" applyFill="1" applyBorder="1" applyAlignment="1">
      <alignment horizontal="center"/>
    </xf>
    <xf numFmtId="0" fontId="4" fillId="2" borderId="73" xfId="0" applyFont="1" applyFill="1" applyBorder="1"/>
    <xf numFmtId="49" fontId="6" fillId="4" borderId="73" xfId="0" applyNumberFormat="1" applyFont="1" applyFill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6" fillId="6" borderId="73" xfId="0" applyFont="1" applyFill="1" applyBorder="1" applyAlignment="1">
      <alignment horizontal="center"/>
    </xf>
    <xf numFmtId="0" fontId="6" fillId="7" borderId="73" xfId="0" applyFont="1" applyFill="1" applyBorder="1" applyAlignment="1">
      <alignment horizontal="center"/>
    </xf>
    <xf numFmtId="0" fontId="3" fillId="0" borderId="73" xfId="0" applyFont="1" applyBorder="1"/>
    <xf numFmtId="0" fontId="5" fillId="4" borderId="73" xfId="0" applyFont="1" applyFill="1" applyBorder="1" applyAlignment="1">
      <alignment horizontal="center"/>
    </xf>
    <xf numFmtId="0" fontId="4" fillId="2" borderId="74" xfId="0" applyFont="1" applyFill="1" applyBorder="1" applyAlignment="1">
      <alignment horizontal="left" vertical="center" wrapText="1"/>
    </xf>
    <xf numFmtId="0" fontId="6" fillId="4" borderId="74" xfId="0" applyFont="1" applyFill="1" applyBorder="1" applyAlignment="1">
      <alignment horizontal="center"/>
    </xf>
    <xf numFmtId="0" fontId="6" fillId="0" borderId="74" xfId="0" applyFont="1" applyBorder="1" applyAlignment="1">
      <alignment horizontal="center"/>
    </xf>
    <xf numFmtId="0" fontId="6" fillId="6" borderId="74" xfId="0" applyFont="1" applyFill="1" applyBorder="1" applyAlignment="1">
      <alignment horizontal="center"/>
    </xf>
    <xf numFmtId="0" fontId="6" fillId="7" borderId="74" xfId="0" applyFont="1" applyFill="1" applyBorder="1" applyAlignment="1">
      <alignment horizontal="center"/>
    </xf>
    <xf numFmtId="0" fontId="4" fillId="2" borderId="75" xfId="0" applyFont="1" applyFill="1" applyBorder="1" applyAlignment="1">
      <alignment horizontal="left" vertical="center" wrapText="1"/>
    </xf>
    <xf numFmtId="0" fontId="6" fillId="0" borderId="75" xfId="0" applyFont="1" applyBorder="1" applyAlignment="1">
      <alignment horizontal="center"/>
    </xf>
    <xf numFmtId="0" fontId="6" fillId="6" borderId="75" xfId="0" applyFont="1" applyFill="1" applyBorder="1" applyAlignment="1">
      <alignment horizontal="center"/>
    </xf>
    <xf numFmtId="0" fontId="6" fillId="7" borderId="75" xfId="0" applyFont="1" applyFill="1" applyBorder="1" applyAlignment="1">
      <alignment horizontal="center"/>
    </xf>
    <xf numFmtId="14" fontId="6" fillId="4" borderId="75" xfId="0" applyNumberFormat="1" applyFont="1" applyFill="1" applyBorder="1" applyAlignment="1">
      <alignment horizontal="center"/>
    </xf>
    <xf numFmtId="0" fontId="8" fillId="3" borderId="75" xfId="1" applyFont="1" applyFill="1" applyBorder="1" applyAlignment="1">
      <alignment vertical="top" wrapText="1"/>
    </xf>
    <xf numFmtId="0" fontId="6" fillId="4" borderId="75" xfId="0" applyFont="1" applyFill="1" applyBorder="1" applyAlignment="1">
      <alignment horizontal="center"/>
    </xf>
    <xf numFmtId="0" fontId="6" fillId="2" borderId="76" xfId="0" applyFont="1" applyFill="1" applyBorder="1"/>
    <xf numFmtId="0" fontId="5" fillId="4" borderId="76" xfId="0" applyFont="1" applyFill="1" applyBorder="1" applyAlignment="1">
      <alignment horizontal="center"/>
    </xf>
    <xf numFmtId="0" fontId="6" fillId="0" borderId="76" xfId="0" applyFont="1" applyBorder="1" applyAlignment="1">
      <alignment horizontal="center"/>
    </xf>
    <xf numFmtId="0" fontId="6" fillId="6" borderId="76" xfId="0" applyFont="1" applyFill="1" applyBorder="1" applyAlignment="1">
      <alignment horizontal="center"/>
    </xf>
    <xf numFmtId="0" fontId="6" fillId="7" borderId="76" xfId="0" applyFont="1" applyFill="1" applyBorder="1" applyAlignment="1">
      <alignment horizontal="center"/>
    </xf>
    <xf numFmtId="0" fontId="4" fillId="2" borderId="76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/>
    </xf>
    <xf numFmtId="0" fontId="6" fillId="0" borderId="76" xfId="0" applyFont="1" applyBorder="1" applyAlignment="1">
      <alignment wrapText="1"/>
    </xf>
    <xf numFmtId="0" fontId="6" fillId="0" borderId="77" xfId="0" applyFont="1" applyBorder="1" applyAlignment="1">
      <alignment wrapText="1"/>
    </xf>
    <xf numFmtId="0" fontId="4" fillId="2" borderId="77" xfId="0" applyFont="1" applyFill="1" applyBorder="1" applyAlignment="1">
      <alignment horizontal="center" vertical="center" wrapText="1"/>
    </xf>
    <xf numFmtId="0" fontId="5" fillId="4" borderId="77" xfId="0" applyFont="1" applyFill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6" fillId="6" borderId="77" xfId="0" applyFont="1" applyFill="1" applyBorder="1" applyAlignment="1">
      <alignment horizontal="center"/>
    </xf>
    <xf numFmtId="0" fontId="6" fillId="7" borderId="77" xfId="0" applyFont="1" applyFill="1" applyBorder="1" applyAlignment="1">
      <alignment horizontal="center"/>
    </xf>
    <xf numFmtId="0" fontId="3" fillId="0" borderId="78" xfId="0" applyFont="1" applyBorder="1"/>
    <xf numFmtId="0" fontId="6" fillId="0" borderId="78" xfId="0" applyFont="1" applyBorder="1" applyAlignment="1">
      <alignment horizontal="center"/>
    </xf>
    <xf numFmtId="0" fontId="6" fillId="6" borderId="78" xfId="0" applyFont="1" applyFill="1" applyBorder="1" applyAlignment="1">
      <alignment horizontal="center"/>
    </xf>
    <xf numFmtId="0" fontId="6" fillId="7" borderId="78" xfId="0" applyFont="1" applyFill="1" applyBorder="1" applyAlignment="1">
      <alignment horizontal="center"/>
    </xf>
    <xf numFmtId="0" fontId="3" fillId="0" borderId="79" xfId="0" applyFont="1" applyBorder="1"/>
    <xf numFmtId="0" fontId="4" fillId="2" borderId="79" xfId="0" applyFont="1" applyFill="1" applyBorder="1" applyAlignment="1">
      <alignment horizontal="center" vertical="center" wrapText="1"/>
    </xf>
    <xf numFmtId="0" fontId="5" fillId="4" borderId="79" xfId="0" applyFont="1" applyFill="1" applyBorder="1" applyAlignment="1">
      <alignment horizontal="center"/>
    </xf>
    <xf numFmtId="0" fontId="6" fillId="0" borderId="79" xfId="0" applyFont="1" applyBorder="1" applyAlignment="1">
      <alignment horizontal="center"/>
    </xf>
    <xf numFmtId="0" fontId="6" fillId="6" borderId="79" xfId="0" applyFont="1" applyFill="1" applyBorder="1" applyAlignment="1">
      <alignment horizontal="center"/>
    </xf>
    <xf numFmtId="0" fontId="6" fillId="7" borderId="79" xfId="0" applyFont="1" applyFill="1" applyBorder="1" applyAlignment="1">
      <alignment horizontal="center"/>
    </xf>
    <xf numFmtId="0" fontId="6" fillId="0" borderId="80" xfId="0" applyFont="1" applyBorder="1"/>
    <xf numFmtId="0" fontId="4" fillId="2" borderId="80" xfId="0" applyFont="1" applyFill="1" applyBorder="1" applyAlignment="1">
      <alignment horizontal="center" vertical="center" wrapText="1"/>
    </xf>
    <xf numFmtId="0" fontId="6" fillId="4" borderId="80" xfId="0" applyFont="1" applyFill="1" applyBorder="1" applyAlignment="1">
      <alignment horizontal="center"/>
    </xf>
    <xf numFmtId="0" fontId="6" fillId="0" borderId="80" xfId="0" applyFont="1" applyBorder="1" applyAlignment="1">
      <alignment horizontal="center"/>
    </xf>
    <xf numFmtId="0" fontId="6" fillId="6" borderId="80" xfId="0" applyFont="1" applyFill="1" applyBorder="1" applyAlignment="1">
      <alignment horizontal="center"/>
    </xf>
    <xf numFmtId="0" fontId="6" fillId="7" borderId="80" xfId="0" applyFont="1" applyFill="1" applyBorder="1" applyAlignment="1">
      <alignment horizontal="center"/>
    </xf>
    <xf numFmtId="0" fontId="6" fillId="2" borderId="80" xfId="0" applyFont="1" applyFill="1" applyBorder="1"/>
    <xf numFmtId="0" fontId="3" fillId="0" borderId="80" xfId="0" applyFont="1" applyBorder="1"/>
    <xf numFmtId="0" fontId="5" fillId="4" borderId="80" xfId="0" applyFont="1" applyFill="1" applyBorder="1" applyAlignment="1">
      <alignment horizontal="center"/>
    </xf>
    <xf numFmtId="0" fontId="6" fillId="2" borderId="81" xfId="0" applyFont="1" applyFill="1" applyBorder="1"/>
    <xf numFmtId="0" fontId="6" fillId="4" borderId="81" xfId="0" applyFont="1" applyFill="1" applyBorder="1" applyAlignment="1">
      <alignment horizontal="center"/>
    </xf>
    <xf numFmtId="0" fontId="6" fillId="0" borderId="81" xfId="0" applyFont="1" applyBorder="1" applyAlignment="1">
      <alignment horizontal="center"/>
    </xf>
    <xf numFmtId="0" fontId="6" fillId="6" borderId="81" xfId="0" applyFont="1" applyFill="1" applyBorder="1" applyAlignment="1">
      <alignment horizontal="center"/>
    </xf>
    <xf numFmtId="0" fontId="6" fillId="7" borderId="81" xfId="0" applyFont="1" applyFill="1" applyBorder="1" applyAlignment="1">
      <alignment horizontal="center"/>
    </xf>
    <xf numFmtId="0" fontId="5" fillId="4" borderId="82" xfId="0" applyFont="1" applyFill="1" applyBorder="1" applyAlignment="1">
      <alignment horizontal="center"/>
    </xf>
    <xf numFmtId="0" fontId="6" fillId="0" borderId="82" xfId="0" applyFont="1" applyBorder="1" applyAlignment="1">
      <alignment horizontal="center"/>
    </xf>
    <xf numFmtId="0" fontId="6" fillId="6" borderId="82" xfId="0" applyFont="1" applyFill="1" applyBorder="1" applyAlignment="1">
      <alignment horizontal="center"/>
    </xf>
    <xf numFmtId="0" fontId="6" fillId="7" borderId="82" xfId="0" applyFont="1" applyFill="1" applyBorder="1" applyAlignment="1">
      <alignment horizontal="center"/>
    </xf>
    <xf numFmtId="0" fontId="6" fillId="0" borderId="82" xfId="0" applyFont="1" applyBorder="1"/>
    <xf numFmtId="0" fontId="6" fillId="4" borderId="82" xfId="0" applyFont="1" applyFill="1" applyBorder="1" applyAlignment="1">
      <alignment horizontal="center"/>
    </xf>
    <xf numFmtId="0" fontId="4" fillId="2" borderId="83" xfId="0" applyFont="1" applyFill="1" applyBorder="1" applyAlignment="1">
      <alignment horizontal="center" vertical="center" wrapText="1"/>
    </xf>
    <xf numFmtId="0" fontId="5" fillId="4" borderId="83" xfId="0" applyFont="1" applyFill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6" borderId="83" xfId="0" applyFont="1" applyFill="1" applyBorder="1" applyAlignment="1">
      <alignment horizontal="center"/>
    </xf>
    <xf numFmtId="0" fontId="6" fillId="7" borderId="83" xfId="0" applyFont="1" applyFill="1" applyBorder="1" applyAlignment="1">
      <alignment horizontal="center"/>
    </xf>
    <xf numFmtId="0" fontId="6" fillId="0" borderId="83" xfId="0" applyFont="1" applyBorder="1"/>
    <xf numFmtId="49" fontId="6" fillId="4" borderId="83" xfId="0" applyNumberFormat="1" applyFont="1" applyFill="1" applyBorder="1" applyAlignment="1">
      <alignment horizontal="center"/>
    </xf>
    <xf numFmtId="0" fontId="6" fillId="2" borderId="84" xfId="0" applyFont="1" applyFill="1" applyBorder="1"/>
    <xf numFmtId="0" fontId="6" fillId="0" borderId="84" xfId="0" applyFont="1" applyBorder="1"/>
    <xf numFmtId="0" fontId="4" fillId="2" borderId="84" xfId="0" applyFont="1" applyFill="1" applyBorder="1" applyAlignment="1">
      <alignment horizontal="center" vertical="center" wrapText="1"/>
    </xf>
    <xf numFmtId="49" fontId="6" fillId="4" borderId="84" xfId="0" applyNumberFormat="1" applyFont="1" applyFill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6" fillId="6" borderId="84" xfId="0" applyFont="1" applyFill="1" applyBorder="1" applyAlignment="1">
      <alignment horizontal="center"/>
    </xf>
    <xf numFmtId="0" fontId="6" fillId="7" borderId="84" xfId="0" applyFont="1" applyFill="1" applyBorder="1" applyAlignment="1">
      <alignment horizontal="center"/>
    </xf>
    <xf numFmtId="0" fontId="6" fillId="0" borderId="84" xfId="0" applyFont="1" applyBorder="1" applyAlignment="1">
      <alignment wrapText="1"/>
    </xf>
    <xf numFmtId="14" fontId="5" fillId="4" borderId="84" xfId="0" applyNumberFormat="1" applyFont="1" applyFill="1" applyBorder="1" applyAlignment="1">
      <alignment horizontal="center"/>
    </xf>
    <xf numFmtId="0" fontId="5" fillId="4" borderId="84" xfId="0" applyFont="1" applyFill="1" applyBorder="1" applyAlignment="1">
      <alignment horizontal="center"/>
    </xf>
    <xf numFmtId="0" fontId="6" fillId="0" borderId="85" xfId="0" applyFont="1" applyBorder="1" applyAlignment="1">
      <alignment horizontal="center"/>
    </xf>
    <xf numFmtId="0" fontId="6" fillId="6" borderId="85" xfId="0" applyFont="1" applyFill="1" applyBorder="1" applyAlignment="1">
      <alignment horizontal="center"/>
    </xf>
    <xf numFmtId="0" fontId="6" fillId="7" borderId="85" xfId="0" applyFont="1" applyFill="1" applyBorder="1" applyAlignment="1">
      <alignment horizontal="center"/>
    </xf>
    <xf numFmtId="0" fontId="6" fillId="0" borderId="86" xfId="0" applyFont="1" applyBorder="1"/>
    <xf numFmtId="49" fontId="6" fillId="4" borderId="86" xfId="0" applyNumberFormat="1" applyFont="1" applyFill="1" applyBorder="1" applyAlignment="1">
      <alignment horizontal="center"/>
    </xf>
    <xf numFmtId="0" fontId="6" fillId="0" borderId="86" xfId="0" applyFont="1" applyBorder="1" applyAlignment="1">
      <alignment horizontal="center"/>
    </xf>
    <xf numFmtId="0" fontId="6" fillId="6" borderId="86" xfId="0" applyFont="1" applyFill="1" applyBorder="1" applyAlignment="1">
      <alignment horizontal="center"/>
    </xf>
    <xf numFmtId="0" fontId="6" fillId="7" borderId="86" xfId="0" applyFont="1" applyFill="1" applyBorder="1" applyAlignment="1">
      <alignment horizontal="center"/>
    </xf>
    <xf numFmtId="0" fontId="4" fillId="2" borderId="87" xfId="0" applyFont="1" applyFill="1" applyBorder="1" applyAlignment="1">
      <alignment horizontal="center" vertical="center" wrapText="1"/>
    </xf>
    <xf numFmtId="0" fontId="5" fillId="4" borderId="87" xfId="0" applyFont="1" applyFill="1" applyBorder="1" applyAlignment="1">
      <alignment horizontal="center"/>
    </xf>
    <xf numFmtId="0" fontId="6" fillId="0" borderId="87" xfId="0" applyFont="1" applyBorder="1" applyAlignment="1">
      <alignment horizontal="center"/>
    </xf>
    <xf numFmtId="0" fontId="6" fillId="6" borderId="87" xfId="0" applyFont="1" applyFill="1" applyBorder="1" applyAlignment="1">
      <alignment horizontal="center"/>
    </xf>
    <xf numFmtId="0" fontId="6" fillId="7" borderId="87" xfId="0" applyFont="1" applyFill="1" applyBorder="1" applyAlignment="1">
      <alignment horizontal="center"/>
    </xf>
    <xf numFmtId="0" fontId="6" fillId="0" borderId="87" xfId="0" applyFont="1" applyBorder="1"/>
    <xf numFmtId="0" fontId="6" fillId="4" borderId="87" xfId="0" applyFont="1" applyFill="1" applyBorder="1" applyAlignment="1">
      <alignment horizontal="center"/>
    </xf>
    <xf numFmtId="49" fontId="6" fillId="4" borderId="87" xfId="0" applyNumberFormat="1" applyFont="1" applyFill="1" applyBorder="1" applyAlignment="1">
      <alignment horizontal="center"/>
    </xf>
    <xf numFmtId="0" fontId="8" fillId="3" borderId="87" xfId="1" applyFont="1" applyFill="1" applyBorder="1" applyAlignment="1">
      <alignment vertical="top" wrapText="1"/>
    </xf>
    <xf numFmtId="0" fontId="6" fillId="0" borderId="88" xfId="0" applyFont="1" applyBorder="1"/>
    <xf numFmtId="0" fontId="6" fillId="4" borderId="88" xfId="0" applyFont="1" applyFill="1" applyBorder="1" applyAlignment="1">
      <alignment horizontal="center"/>
    </xf>
    <xf numFmtId="0" fontId="6" fillId="0" borderId="88" xfId="0" applyFont="1" applyBorder="1" applyAlignment="1">
      <alignment horizontal="center"/>
    </xf>
    <xf numFmtId="0" fontId="6" fillId="6" borderId="88" xfId="0" applyFont="1" applyFill="1" applyBorder="1" applyAlignment="1">
      <alignment horizontal="center"/>
    </xf>
    <xf numFmtId="0" fontId="6" fillId="7" borderId="88" xfId="0" applyFont="1" applyFill="1" applyBorder="1" applyAlignment="1">
      <alignment horizontal="center"/>
    </xf>
    <xf numFmtId="0" fontId="5" fillId="4" borderId="88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2" fillId="2" borderId="2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22" fillId="2" borderId="3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2" borderId="45" xfId="0" applyFont="1" applyFill="1" applyBorder="1" applyAlignment="1">
      <alignment horizontal="left"/>
    </xf>
    <xf numFmtId="0" fontId="22" fillId="2" borderId="23" xfId="0" applyFont="1" applyFill="1" applyBorder="1" applyAlignment="1">
      <alignment horizontal="left"/>
    </xf>
    <xf numFmtId="0" fontId="22" fillId="2" borderId="16" xfId="0" applyFont="1" applyFill="1" applyBorder="1" applyAlignment="1">
      <alignment horizontal="left"/>
    </xf>
    <xf numFmtId="0" fontId="22" fillId="2" borderId="13" xfId="0" applyFont="1" applyFill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2" borderId="11" xfId="0" applyFont="1" applyFill="1" applyBorder="1" applyAlignment="1">
      <alignment horizontal="left"/>
    </xf>
    <xf numFmtId="0" fontId="22" fillId="2" borderId="35" xfId="0" applyFont="1" applyFill="1" applyBorder="1" applyAlignment="1">
      <alignment horizontal="left"/>
    </xf>
    <xf numFmtId="0" fontId="22" fillId="2" borderId="48" xfId="0" applyFont="1" applyFill="1" applyBorder="1" applyAlignment="1">
      <alignment horizontal="left"/>
    </xf>
    <xf numFmtId="0" fontId="22" fillId="2" borderId="65" xfId="0" applyFont="1" applyFill="1" applyBorder="1" applyAlignment="1">
      <alignment horizontal="left"/>
    </xf>
    <xf numFmtId="0" fontId="22" fillId="2" borderId="76" xfId="0" applyFont="1" applyFill="1" applyBorder="1" applyAlignment="1">
      <alignment horizontal="left"/>
    </xf>
    <xf numFmtId="0" fontId="22" fillId="2" borderId="77" xfId="0" applyFont="1" applyFill="1" applyBorder="1" applyAlignment="1">
      <alignment horizontal="left"/>
    </xf>
    <xf numFmtId="0" fontId="22" fillId="2" borderId="29" xfId="0" applyFont="1" applyFill="1" applyBorder="1" applyAlignment="1">
      <alignment horizontal="left"/>
    </xf>
    <xf numFmtId="0" fontId="22" fillId="2" borderId="44" xfId="0" applyFont="1" applyFill="1" applyBorder="1" applyAlignment="1">
      <alignment horizontal="left"/>
    </xf>
    <xf numFmtId="0" fontId="22" fillId="2" borderId="62" xfId="0" applyFont="1" applyFill="1" applyBorder="1" applyAlignment="1">
      <alignment horizontal="left"/>
    </xf>
    <xf numFmtId="0" fontId="22" fillId="2" borderId="63" xfId="0" applyFont="1" applyFill="1" applyBorder="1" applyAlignment="1">
      <alignment horizontal="left"/>
    </xf>
    <xf numFmtId="0" fontId="22" fillId="2" borderId="67" xfId="0" applyFont="1" applyFill="1" applyBorder="1" applyAlignment="1">
      <alignment horizontal="left"/>
    </xf>
    <xf numFmtId="0" fontId="22" fillId="2" borderId="53" xfId="0" applyFont="1" applyFill="1" applyBorder="1" applyAlignment="1">
      <alignment horizontal="left"/>
    </xf>
    <xf numFmtId="0" fontId="22" fillId="2" borderId="58" xfId="0" applyFont="1" applyFill="1" applyBorder="1" applyAlignment="1">
      <alignment horizontal="left"/>
    </xf>
    <xf numFmtId="0" fontId="22" fillId="2" borderId="79" xfId="0" applyFont="1" applyFill="1" applyBorder="1" applyAlignment="1">
      <alignment horizontal="left"/>
    </xf>
    <xf numFmtId="0" fontId="22" fillId="2" borderId="80" xfId="0" applyFont="1" applyFill="1" applyBorder="1" applyAlignment="1">
      <alignment horizontal="left"/>
    </xf>
    <xf numFmtId="0" fontId="22" fillId="2" borderId="59" xfId="0" applyFont="1" applyFill="1" applyBorder="1" applyAlignment="1">
      <alignment horizontal="left"/>
    </xf>
    <xf numFmtId="0" fontId="22" fillId="2" borderId="72" xfId="0" applyFont="1" applyFill="1" applyBorder="1" applyAlignment="1">
      <alignment horizontal="left"/>
    </xf>
    <xf numFmtId="0" fontId="22" fillId="2" borderId="73" xfId="0" applyFont="1" applyFill="1" applyBorder="1" applyAlignment="1">
      <alignment horizontal="left"/>
    </xf>
    <xf numFmtId="0" fontId="22" fillId="2" borderId="78" xfId="0" applyFont="1" applyFill="1" applyBorder="1" applyAlignment="1">
      <alignment horizontal="left"/>
    </xf>
    <xf numFmtId="14" fontId="22" fillId="2" borderId="1" xfId="0" applyNumberFormat="1" applyFont="1" applyFill="1" applyBorder="1" applyAlignment="1">
      <alignment horizontal="left"/>
    </xf>
    <xf numFmtId="14" fontId="22" fillId="2" borderId="55" xfId="0" applyNumberFormat="1" applyFont="1" applyFill="1" applyBorder="1" applyAlignment="1">
      <alignment horizontal="left"/>
    </xf>
    <xf numFmtId="0" fontId="22" fillId="0" borderId="29" xfId="0" applyFont="1" applyBorder="1" applyAlignment="1">
      <alignment horizontal="left"/>
    </xf>
    <xf numFmtId="0" fontId="22" fillId="2" borderId="50" xfId="0" applyFont="1" applyFill="1" applyBorder="1" applyAlignment="1">
      <alignment horizontal="left"/>
    </xf>
    <xf numFmtId="0" fontId="22" fillId="0" borderId="38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2" fillId="0" borderId="57" xfId="0" applyFont="1" applyBorder="1" applyAlignment="1">
      <alignment horizontal="left"/>
    </xf>
    <xf numFmtId="0" fontId="22" fillId="0" borderId="52" xfId="0" applyFont="1" applyBorder="1" applyAlignment="1">
      <alignment horizontal="left"/>
    </xf>
    <xf numFmtId="0" fontId="22" fillId="0" borderId="76" xfId="0" applyFont="1" applyBorder="1" applyAlignment="1">
      <alignment horizontal="left"/>
    </xf>
    <xf numFmtId="0" fontId="22" fillId="0" borderId="48" xfId="0" applyFont="1" applyBorder="1" applyAlignment="1">
      <alignment horizontal="left"/>
    </xf>
    <xf numFmtId="0" fontId="22" fillId="0" borderId="26" xfId="0" applyFont="1" applyBorder="1" applyAlignment="1">
      <alignment horizontal="left"/>
    </xf>
    <xf numFmtId="0" fontId="22" fillId="0" borderId="62" xfId="0" applyFont="1" applyBorder="1" applyAlignment="1">
      <alignment horizontal="left"/>
    </xf>
    <xf numFmtId="0" fontId="22" fillId="0" borderId="81" xfId="0" applyFont="1" applyBorder="1" applyAlignment="1">
      <alignment horizontal="left"/>
    </xf>
    <xf numFmtId="0" fontId="22" fillId="0" borderId="80" xfId="0" applyFont="1" applyBorder="1" applyAlignment="1">
      <alignment horizontal="left"/>
    </xf>
    <xf numFmtId="0" fontId="22" fillId="0" borderId="70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0" fontId="22" fillId="2" borderId="37" xfId="0" applyFont="1" applyFill="1" applyBorder="1" applyAlignment="1">
      <alignment horizontal="left"/>
    </xf>
    <xf numFmtId="0" fontId="22" fillId="2" borderId="84" xfId="0" applyFont="1" applyFill="1" applyBorder="1" applyAlignment="1">
      <alignment horizontal="left"/>
    </xf>
    <xf numFmtId="0" fontId="23" fillId="0" borderId="45" xfId="0" applyFont="1" applyBorder="1" applyAlignment="1">
      <alignment horizontal="left"/>
    </xf>
    <xf numFmtId="0" fontId="22" fillId="2" borderId="40" xfId="0" applyFont="1" applyFill="1" applyBorder="1" applyAlignment="1">
      <alignment horizontal="left"/>
    </xf>
    <xf numFmtId="0" fontId="22" fillId="2" borderId="42" xfId="0" applyFont="1" applyFill="1" applyBorder="1" applyAlignment="1">
      <alignment horizontal="left"/>
    </xf>
    <xf numFmtId="0" fontId="22" fillId="0" borderId="84" xfId="0" applyFont="1" applyBorder="1" applyAlignment="1">
      <alignment horizontal="left"/>
    </xf>
    <xf numFmtId="0" fontId="22" fillId="0" borderId="35" xfId="0" applyFont="1" applyBorder="1" applyAlignment="1">
      <alignment horizontal="left"/>
    </xf>
    <xf numFmtId="0" fontId="22" fillId="2" borderId="32" xfId="0" applyFont="1" applyFill="1" applyBorder="1" applyAlignment="1">
      <alignment horizontal="left"/>
    </xf>
    <xf numFmtId="0" fontId="22" fillId="0" borderId="75" xfId="0" applyFont="1" applyBorder="1" applyAlignment="1">
      <alignment horizontal="left"/>
    </xf>
    <xf numFmtId="0" fontId="22" fillId="0" borderId="74" xfId="0" applyFont="1" applyBorder="1" applyAlignment="1">
      <alignment horizontal="left"/>
    </xf>
    <xf numFmtId="0" fontId="22" fillId="0" borderId="42" xfId="0" applyFont="1" applyBorder="1" applyAlignment="1">
      <alignment horizontal="left"/>
    </xf>
    <xf numFmtId="0" fontId="22" fillId="0" borderId="31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0" fontId="22" fillId="2" borderId="82" xfId="0" applyFont="1" applyFill="1" applyBorder="1" applyAlignment="1">
      <alignment horizontal="left"/>
    </xf>
    <xf numFmtId="0" fontId="22" fillId="2" borderId="57" xfId="0" applyFont="1" applyFill="1" applyBorder="1" applyAlignment="1">
      <alignment horizontal="left"/>
    </xf>
    <xf numFmtId="0" fontId="22" fillId="2" borderId="85" xfId="0" applyFont="1" applyFill="1" applyBorder="1" applyAlignment="1">
      <alignment horizontal="left"/>
    </xf>
    <xf numFmtId="0" fontId="22" fillId="2" borderId="83" xfId="0" applyFont="1" applyFill="1" applyBorder="1" applyAlignment="1">
      <alignment horizontal="left"/>
    </xf>
    <xf numFmtId="0" fontId="22" fillId="2" borderId="68" xfId="0" applyFont="1" applyFill="1" applyBorder="1" applyAlignment="1">
      <alignment horizontal="left"/>
    </xf>
    <xf numFmtId="0" fontId="22" fillId="2" borderId="19" xfId="0" applyFont="1" applyFill="1" applyBorder="1" applyAlignment="1">
      <alignment horizontal="left"/>
    </xf>
    <xf numFmtId="0" fontId="22" fillId="2" borderId="64" xfId="0" applyFont="1" applyFill="1" applyBorder="1" applyAlignment="1">
      <alignment horizontal="left"/>
    </xf>
    <xf numFmtId="0" fontId="22" fillId="2" borderId="87" xfId="0" applyFont="1" applyFill="1" applyBorder="1" applyAlignment="1">
      <alignment horizontal="left"/>
    </xf>
    <xf numFmtId="0" fontId="22" fillId="2" borderId="41" xfId="0" applyFont="1" applyFill="1" applyBorder="1" applyAlignment="1">
      <alignment horizontal="left"/>
    </xf>
    <xf numFmtId="0" fontId="22" fillId="2" borderId="47" xfId="0" applyFont="1" applyFill="1" applyBorder="1" applyAlignment="1">
      <alignment horizontal="left"/>
    </xf>
    <xf numFmtId="0" fontId="22" fillId="2" borderId="66" xfId="0" applyFont="1" applyFill="1" applyBorder="1" applyAlignment="1">
      <alignment horizontal="left"/>
    </xf>
    <xf numFmtId="0" fontId="22" fillId="2" borderId="60" xfId="0" applyFont="1" applyFill="1" applyBorder="1" applyAlignment="1">
      <alignment horizontal="left"/>
    </xf>
    <xf numFmtId="0" fontId="22" fillId="2" borderId="24" xfId="0" applyFont="1" applyFill="1" applyBorder="1" applyAlignment="1">
      <alignment horizontal="left"/>
    </xf>
    <xf numFmtId="0" fontId="22" fillId="2" borderId="34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left"/>
    </xf>
    <xf numFmtId="0" fontId="22" fillId="2" borderId="14" xfId="0" applyFont="1" applyFill="1" applyBorder="1" applyAlignment="1">
      <alignment horizontal="left"/>
    </xf>
    <xf numFmtId="0" fontId="22" fillId="2" borderId="18" xfId="0" applyFont="1" applyFill="1" applyBorder="1" applyAlignment="1">
      <alignment horizontal="left"/>
    </xf>
    <xf numFmtId="0" fontId="22" fillId="2" borderId="26" xfId="0" applyFont="1" applyFill="1" applyBorder="1" applyAlignment="1">
      <alignment horizontal="left"/>
    </xf>
    <xf numFmtId="0" fontId="22" fillId="2" borderId="39" xfId="0" applyFont="1" applyFill="1" applyBorder="1" applyAlignment="1">
      <alignment horizontal="left"/>
    </xf>
    <xf numFmtId="0" fontId="22" fillId="2" borderId="43" xfId="0" applyFont="1" applyFill="1" applyBorder="1" applyAlignment="1">
      <alignment horizontal="left"/>
    </xf>
    <xf numFmtId="0" fontId="22" fillId="2" borderId="54" xfId="0" applyFont="1" applyFill="1" applyBorder="1" applyAlignment="1">
      <alignment horizontal="left"/>
    </xf>
    <xf numFmtId="0" fontId="22" fillId="2" borderId="71" xfId="0" applyFont="1" applyFill="1" applyBorder="1" applyAlignment="1">
      <alignment horizontal="left"/>
    </xf>
    <xf numFmtId="0" fontId="22" fillId="2" borderId="49" xfId="0" applyFont="1" applyFill="1" applyBorder="1" applyAlignment="1">
      <alignment horizontal="left"/>
    </xf>
    <xf numFmtId="0" fontId="22" fillId="2" borderId="38" xfId="0" applyFont="1" applyFill="1" applyBorder="1" applyAlignment="1">
      <alignment horizontal="left"/>
    </xf>
    <xf numFmtId="0" fontId="22" fillId="2" borderId="69" xfId="0" applyFont="1" applyFill="1" applyBorder="1" applyAlignment="1">
      <alignment horizontal="left"/>
    </xf>
    <xf numFmtId="0" fontId="22" fillId="2" borderId="51" xfId="0" applyFont="1" applyFill="1" applyBorder="1" applyAlignment="1">
      <alignment horizontal="left"/>
    </xf>
    <xf numFmtId="0" fontId="22" fillId="2" borderId="33" xfId="0" applyFont="1" applyFill="1" applyBorder="1" applyAlignment="1">
      <alignment horizontal="left"/>
    </xf>
    <xf numFmtId="0" fontId="22" fillId="2" borderId="20" xfId="0" applyFont="1" applyFill="1" applyBorder="1" applyAlignment="1">
      <alignment horizontal="left"/>
    </xf>
    <xf numFmtId="0" fontId="22" fillId="2" borderId="70" xfId="0" applyFont="1" applyFill="1" applyBorder="1" applyAlignment="1">
      <alignment horizontal="left"/>
    </xf>
    <xf numFmtId="0" fontId="22" fillId="2" borderId="86" xfId="0" applyFont="1" applyFill="1" applyBorder="1" applyAlignment="1">
      <alignment horizontal="left"/>
    </xf>
    <xf numFmtId="0" fontId="23" fillId="0" borderId="13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3" fillId="0" borderId="31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23" fillId="0" borderId="51" xfId="0" applyFont="1" applyBorder="1" applyAlignment="1">
      <alignment horizontal="left"/>
    </xf>
    <xf numFmtId="0" fontId="22" fillId="2" borderId="55" xfId="0" applyFont="1" applyFill="1" applyBorder="1" applyAlignment="1">
      <alignment horizontal="left"/>
    </xf>
    <xf numFmtId="0" fontId="22" fillId="0" borderId="20" xfId="0" applyFont="1" applyBorder="1" applyAlignment="1">
      <alignment horizontal="left"/>
    </xf>
    <xf numFmtId="0" fontId="22" fillId="2" borderId="31" xfId="0" applyFont="1" applyFill="1" applyBorder="1" applyAlignment="1">
      <alignment horizontal="left"/>
    </xf>
    <xf numFmtId="0" fontId="22" fillId="2" borderId="56" xfId="0" applyFont="1" applyFill="1" applyBorder="1" applyAlignment="1">
      <alignment horizontal="left"/>
    </xf>
    <xf numFmtId="0" fontId="22" fillId="2" borderId="36" xfId="0" applyFont="1" applyFill="1" applyBorder="1" applyAlignment="1">
      <alignment horizontal="left"/>
    </xf>
    <xf numFmtId="0" fontId="22" fillId="0" borderId="24" xfId="0" applyFont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22" fillId="0" borderId="47" xfId="0" applyFont="1" applyBorder="1" applyAlignment="1">
      <alignment horizontal="left"/>
    </xf>
    <xf numFmtId="2" fontId="23" fillId="0" borderId="1" xfId="0" applyNumberFormat="1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1" xfId="16" applyFont="1" applyBorder="1" applyAlignment="1">
      <alignment horizontal="left"/>
    </xf>
    <xf numFmtId="0" fontId="22" fillId="0" borderId="6" xfId="16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21" fillId="0" borderId="1" xfId="2" applyFont="1" applyBorder="1" applyAlignment="1">
      <alignment horizontal="left"/>
    </xf>
    <xf numFmtId="0" fontId="21" fillId="0" borderId="1" xfId="1" applyFont="1" applyBorder="1" applyAlignment="1">
      <alignment horizontal="left"/>
    </xf>
    <xf numFmtId="0" fontId="23" fillId="0" borderId="3" xfId="0" applyFont="1" applyBorder="1" applyAlignment="1">
      <alignment horizontal="left"/>
    </xf>
    <xf numFmtId="0" fontId="22" fillId="0" borderId="1" xfId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2" applyFont="1" applyBorder="1" applyAlignment="1">
      <alignment horizontal="left"/>
    </xf>
    <xf numFmtId="0" fontId="21" fillId="0" borderId="1" xfId="4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7" fillId="0" borderId="1" xfId="1" applyFont="1" applyBorder="1" applyAlignment="1">
      <alignment wrapText="1"/>
    </xf>
    <xf numFmtId="0" fontId="25" fillId="0" borderId="1" xfId="0" applyFont="1" applyBorder="1" applyAlignment="1">
      <alignment horizontal="left" wrapText="1"/>
    </xf>
    <xf numFmtId="0" fontId="25" fillId="0" borderId="1" xfId="0" applyFont="1" applyBorder="1" applyAlignment="1"/>
    <xf numFmtId="0" fontId="26" fillId="0" borderId="1" xfId="0" applyFont="1" applyBorder="1" applyAlignment="1"/>
    <xf numFmtId="2" fontId="25" fillId="0" borderId="1" xfId="0" applyNumberFormat="1" applyFont="1" applyBorder="1" applyAlignment="1"/>
    <xf numFmtId="0" fontId="25" fillId="2" borderId="1" xfId="0" applyFont="1" applyFill="1" applyBorder="1" applyAlignment="1">
      <alignment horizontal="left" wrapText="1"/>
    </xf>
    <xf numFmtId="0" fontId="25" fillId="2" borderId="1" xfId="0" applyFont="1" applyFill="1" applyBorder="1" applyAlignment="1">
      <alignment horizontal="left"/>
    </xf>
    <xf numFmtId="0" fontId="25" fillId="2" borderId="19" xfId="0" applyFont="1" applyFill="1" applyBorder="1" applyAlignment="1">
      <alignment horizontal="left" wrapText="1"/>
    </xf>
    <xf numFmtId="0" fontId="25" fillId="2" borderId="1" xfId="0" applyFont="1" applyFill="1" applyBorder="1" applyAlignment="1"/>
    <xf numFmtId="0" fontId="27" fillId="3" borderId="1" xfId="1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6" borderId="16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6" fillId="0" borderId="45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6" fillId="0" borderId="8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35" xfId="0" applyFont="1" applyBorder="1" applyAlignment="1">
      <alignment horizontal="center" wrapText="1"/>
    </xf>
    <xf numFmtId="0" fontId="6" fillId="0" borderId="48" xfId="0" applyFont="1" applyBorder="1" applyAlignment="1">
      <alignment horizontal="center" wrapText="1"/>
    </xf>
    <xf numFmtId="0" fontId="6" fillId="0" borderId="65" xfId="0" applyFont="1" applyBorder="1" applyAlignment="1">
      <alignment horizontal="center" wrapText="1"/>
    </xf>
    <xf numFmtId="0" fontId="6" fillId="0" borderId="76" xfId="0" applyFont="1" applyBorder="1" applyAlignment="1">
      <alignment horizontal="center" wrapText="1"/>
    </xf>
    <xf numFmtId="0" fontId="6" fillId="0" borderId="77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44" xfId="0" applyFont="1" applyBorder="1" applyAlignment="1">
      <alignment horizontal="center" wrapText="1"/>
    </xf>
    <xf numFmtId="0" fontId="6" fillId="0" borderId="62" xfId="0" applyFont="1" applyBorder="1" applyAlignment="1">
      <alignment horizontal="center" wrapText="1"/>
    </xf>
    <xf numFmtId="0" fontId="6" fillId="0" borderId="63" xfId="0" applyFont="1" applyBorder="1" applyAlignment="1">
      <alignment horizontal="center" wrapText="1"/>
    </xf>
    <xf numFmtId="0" fontId="6" fillId="0" borderId="67" xfId="0" applyFont="1" applyBorder="1" applyAlignment="1">
      <alignment horizontal="center" wrapText="1"/>
    </xf>
    <xf numFmtId="0" fontId="6" fillId="0" borderId="53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58" xfId="0" applyFont="1" applyBorder="1" applyAlignment="1">
      <alignment horizontal="center" wrapText="1"/>
    </xf>
    <xf numFmtId="0" fontId="6" fillId="0" borderId="79" xfId="0" applyFont="1" applyBorder="1" applyAlignment="1">
      <alignment horizontal="center" wrapText="1"/>
    </xf>
    <xf numFmtId="0" fontId="6" fillId="0" borderId="59" xfId="0" applyFont="1" applyBorder="1" applyAlignment="1">
      <alignment horizontal="center" wrapText="1"/>
    </xf>
    <xf numFmtId="0" fontId="6" fillId="0" borderId="72" xfId="0" applyFont="1" applyBorder="1" applyAlignment="1">
      <alignment horizontal="center" wrapText="1"/>
    </xf>
    <xf numFmtId="0" fontId="6" fillId="0" borderId="73" xfId="0" applyFont="1" applyBorder="1" applyAlignment="1">
      <alignment horizontal="center" wrapText="1"/>
    </xf>
    <xf numFmtId="0" fontId="6" fillId="0" borderId="78" xfId="0" applyFont="1" applyBorder="1" applyAlignment="1">
      <alignment horizontal="center" wrapText="1"/>
    </xf>
    <xf numFmtId="0" fontId="6" fillId="0" borderId="55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6" fillId="0" borderId="50" xfId="0" applyFont="1" applyBorder="1" applyAlignment="1">
      <alignment horizontal="center" wrapText="1"/>
    </xf>
    <xf numFmtId="0" fontId="6" fillId="0" borderId="38" xfId="0" applyFont="1" applyBorder="1" applyAlignment="1">
      <alignment horizontal="center" wrapText="1"/>
    </xf>
    <xf numFmtId="0" fontId="6" fillId="0" borderId="57" xfId="0" applyFont="1" applyBorder="1" applyAlignment="1">
      <alignment horizontal="center" wrapText="1"/>
    </xf>
    <xf numFmtId="0" fontId="6" fillId="0" borderId="52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80" xfId="0" applyFont="1" applyBorder="1" applyAlignment="1">
      <alignment horizontal="center" wrapText="1"/>
    </xf>
    <xf numFmtId="0" fontId="14" fillId="0" borderId="82" xfId="0" applyFont="1" applyBorder="1" applyAlignment="1">
      <alignment horizontal="center" wrapText="1"/>
    </xf>
    <xf numFmtId="0" fontId="14" fillId="0" borderId="88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81" xfId="0" applyFont="1" applyBorder="1" applyAlignment="1">
      <alignment horizontal="center" wrapText="1"/>
    </xf>
    <xf numFmtId="164" fontId="6" fillId="0" borderId="1" xfId="15" applyNumberFormat="1" applyFont="1" applyBorder="1" applyAlignment="1">
      <alignment horizontal="center"/>
    </xf>
    <xf numFmtId="0" fontId="6" fillId="0" borderId="70" xfId="0" applyFont="1" applyBorder="1" applyAlignment="1">
      <alignment horizontal="center" wrapText="1"/>
    </xf>
    <xf numFmtId="0" fontId="14" fillId="0" borderId="55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6" fillId="0" borderId="84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0" borderId="40" xfId="0" applyFont="1" applyBorder="1" applyAlignment="1">
      <alignment horizontal="center" wrapText="1"/>
    </xf>
    <xf numFmtId="0" fontId="6" fillId="0" borderId="42" xfId="0" applyFont="1" applyBorder="1" applyAlignment="1">
      <alignment horizontal="center" wrapText="1"/>
    </xf>
    <xf numFmtId="0" fontId="14" fillId="0" borderId="70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34" xfId="0" applyFont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14" fillId="0" borderId="75" xfId="0" applyFont="1" applyBorder="1" applyAlignment="1">
      <alignment horizontal="center" wrapText="1"/>
    </xf>
    <xf numFmtId="0" fontId="6" fillId="0" borderId="75" xfId="0" applyFont="1" applyBorder="1" applyAlignment="1">
      <alignment horizontal="center" wrapText="1"/>
    </xf>
    <xf numFmtId="0" fontId="14" fillId="0" borderId="57" xfId="0" applyFont="1" applyBorder="1" applyAlignment="1">
      <alignment horizontal="center" wrapText="1"/>
    </xf>
    <xf numFmtId="0" fontId="14" fillId="0" borderId="74" xfId="0" applyFont="1" applyBorder="1" applyAlignment="1">
      <alignment horizontal="center" wrapText="1"/>
    </xf>
    <xf numFmtId="0" fontId="6" fillId="0" borderId="74" xfId="0" applyFont="1" applyBorder="1" applyAlignment="1">
      <alignment horizontal="center" wrapText="1"/>
    </xf>
    <xf numFmtId="0" fontId="14" fillId="0" borderId="42" xfId="0" applyFont="1" applyBorder="1" applyAlignment="1">
      <alignment horizontal="center" wrapText="1"/>
    </xf>
    <xf numFmtId="0" fontId="14" fillId="0" borderId="31" xfId="0" applyFont="1" applyBorder="1" applyAlignment="1">
      <alignment horizontal="center" wrapText="1"/>
    </xf>
    <xf numFmtId="0" fontId="14" fillId="0" borderId="36" xfId="0" applyFont="1" applyBorder="1" applyAlignment="1">
      <alignment horizontal="center" wrapText="1"/>
    </xf>
    <xf numFmtId="0" fontId="6" fillId="0" borderId="36" xfId="0" applyFont="1" applyBorder="1" applyAlignment="1">
      <alignment horizontal="center" wrapText="1"/>
    </xf>
    <xf numFmtId="0" fontId="14" fillId="0" borderId="37" xfId="0" applyFont="1" applyBorder="1" applyAlignment="1">
      <alignment horizontal="center" wrapText="1"/>
    </xf>
    <xf numFmtId="0" fontId="6" fillId="0" borderId="82" xfId="0" applyFont="1" applyBorder="1" applyAlignment="1">
      <alignment horizontal="center" wrapText="1"/>
    </xf>
    <xf numFmtId="0" fontId="6" fillId="0" borderId="85" xfId="0" applyFont="1" applyBorder="1" applyAlignment="1">
      <alignment horizontal="center" wrapText="1"/>
    </xf>
    <xf numFmtId="0" fontId="6" fillId="0" borderId="83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49" xfId="0" applyFont="1" applyBorder="1" applyAlignment="1">
      <alignment horizontal="center" wrapText="1"/>
    </xf>
    <xf numFmtId="0" fontId="6" fillId="0" borderId="68" xfId="0" applyFont="1" applyBorder="1" applyAlignment="1">
      <alignment horizontal="center" wrapText="1"/>
    </xf>
    <xf numFmtId="0" fontId="6" fillId="0" borderId="60" xfId="0" applyFont="1" applyBorder="1" applyAlignment="1">
      <alignment horizontal="center" wrapText="1"/>
    </xf>
    <xf numFmtId="0" fontId="6" fillId="0" borderId="64" xfId="0" applyFont="1" applyBorder="1" applyAlignment="1">
      <alignment horizontal="center" wrapText="1"/>
    </xf>
    <xf numFmtId="0" fontId="6" fillId="0" borderId="87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6" fillId="0" borderId="66" xfId="0" applyFont="1" applyBorder="1" applyAlignment="1">
      <alignment horizontal="center" wrapText="1"/>
    </xf>
    <xf numFmtId="0" fontId="14" fillId="0" borderId="24" xfId="0" applyFont="1" applyBorder="1" applyAlignment="1">
      <alignment horizontal="center" wrapText="1"/>
    </xf>
    <xf numFmtId="0" fontId="14" fillId="0" borderId="41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14" fillId="0" borderId="47" xfId="0" applyFont="1" applyBorder="1" applyAlignment="1">
      <alignment horizontal="center" wrapText="1"/>
    </xf>
    <xf numFmtId="0" fontId="6" fillId="0" borderId="47" xfId="0" applyFont="1" applyBorder="1" applyAlignment="1">
      <alignment horizontal="center" wrapText="1"/>
    </xf>
    <xf numFmtId="0" fontId="14" fillId="0" borderId="66" xfId="0" applyFont="1" applyBorder="1" applyAlignment="1">
      <alignment horizontal="center" wrapText="1"/>
    </xf>
    <xf numFmtId="0" fontId="14" fillId="0" borderId="60" xfId="0" applyFont="1" applyBorder="1" applyAlignment="1">
      <alignment horizontal="center" wrapText="1"/>
    </xf>
    <xf numFmtId="0" fontId="14" fillId="0" borderId="63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20" fillId="0" borderId="19" xfId="0" applyFont="1" applyBorder="1" applyAlignment="1">
      <alignment horizontal="center"/>
    </xf>
    <xf numFmtId="0" fontId="14" fillId="0" borderId="21" xfId="0" applyFont="1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6" fillId="0" borderId="51" xfId="0" applyFont="1" applyBorder="1" applyAlignment="1">
      <alignment horizontal="center" wrapText="1"/>
    </xf>
    <xf numFmtId="0" fontId="14" fillId="0" borderId="56" xfId="0" applyFont="1" applyBorder="1" applyAlignment="1">
      <alignment horizontal="center" wrapText="1"/>
    </xf>
    <xf numFmtId="0" fontId="6" fillId="0" borderId="56" xfId="0" applyFont="1" applyBorder="1" applyAlignment="1">
      <alignment horizontal="center" wrapText="1"/>
    </xf>
    <xf numFmtId="0" fontId="14" fillId="0" borderId="73" xfId="0" applyFont="1" applyBorder="1" applyAlignment="1">
      <alignment horizontal="center" wrapText="1"/>
    </xf>
    <xf numFmtId="0" fontId="0" fillId="0" borderId="73" xfId="0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 wrapText="1"/>
    </xf>
    <xf numFmtId="0" fontId="8" fillId="4" borderId="1" xfId="3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8" fillId="4" borderId="1" xfId="4" applyFont="1" applyFill="1" applyBorder="1" applyAlignment="1">
      <alignment horizontal="center" wrapText="1"/>
    </xf>
    <xf numFmtId="0" fontId="14" fillId="0" borderId="38" xfId="0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2" fillId="2" borderId="88" xfId="0" applyFont="1" applyFill="1" applyBorder="1" applyAlignment="1">
      <alignment horizontal="left"/>
    </xf>
    <xf numFmtId="0" fontId="8" fillId="3" borderId="88" xfId="1" applyFont="1" applyFill="1" applyBorder="1" applyAlignment="1">
      <alignment vertical="top" wrapText="1"/>
    </xf>
    <xf numFmtId="0" fontId="6" fillId="0" borderId="88" xfId="0" applyFont="1" applyBorder="1" applyAlignment="1">
      <alignment horizontal="center" wrapText="1"/>
    </xf>
    <xf numFmtId="0" fontId="5" fillId="4" borderId="89" xfId="0" applyFont="1" applyFill="1" applyBorder="1" applyAlignment="1">
      <alignment horizontal="center"/>
    </xf>
    <xf numFmtId="0" fontId="6" fillId="0" borderId="89" xfId="0" applyFont="1" applyBorder="1" applyAlignment="1">
      <alignment horizontal="center"/>
    </xf>
    <xf numFmtId="0" fontId="6" fillId="6" borderId="89" xfId="0" applyFont="1" applyFill="1" applyBorder="1" applyAlignment="1">
      <alignment horizontal="center"/>
    </xf>
    <xf numFmtId="0" fontId="6" fillId="7" borderId="89" xfId="0" applyFont="1" applyFill="1" applyBorder="1" applyAlignment="1">
      <alignment horizontal="center"/>
    </xf>
    <xf numFmtId="0" fontId="6" fillId="0" borderId="89" xfId="0" applyFont="1" applyBorder="1" applyAlignment="1">
      <alignment horizontal="center" wrapText="1"/>
    </xf>
    <xf numFmtId="0" fontId="22" fillId="0" borderId="89" xfId="0" applyFont="1" applyBorder="1" applyAlignment="1">
      <alignment horizontal="left"/>
    </xf>
    <xf numFmtId="0" fontId="6" fillId="0" borderId="89" xfId="0" applyFont="1" applyBorder="1"/>
    <xf numFmtId="0" fontId="6" fillId="4" borderId="89" xfId="0" applyFont="1" applyFill="1" applyBorder="1" applyAlignment="1">
      <alignment horizontal="center"/>
    </xf>
    <xf numFmtId="0" fontId="22" fillId="2" borderId="90" xfId="0" applyFont="1" applyFill="1" applyBorder="1" applyAlignment="1">
      <alignment horizontal="left"/>
    </xf>
    <xf numFmtId="0" fontId="6" fillId="0" borderId="90" xfId="0" applyFont="1" applyBorder="1"/>
    <xf numFmtId="49" fontId="6" fillId="4" borderId="90" xfId="0" applyNumberFormat="1" applyFont="1" applyFill="1" applyBorder="1" applyAlignment="1">
      <alignment horizontal="center"/>
    </xf>
    <xf numFmtId="0" fontId="6" fillId="0" borderId="90" xfId="0" applyFont="1" applyBorder="1" applyAlignment="1">
      <alignment horizontal="center"/>
    </xf>
    <xf numFmtId="0" fontId="6" fillId="6" borderId="90" xfId="0" applyFont="1" applyFill="1" applyBorder="1" applyAlignment="1">
      <alignment horizontal="center"/>
    </xf>
    <xf numFmtId="0" fontId="6" fillId="7" borderId="90" xfId="0" applyFont="1" applyFill="1" applyBorder="1" applyAlignment="1">
      <alignment horizontal="center"/>
    </xf>
    <xf numFmtId="0" fontId="22" fillId="2" borderId="91" xfId="0" applyFont="1" applyFill="1" applyBorder="1" applyAlignment="1">
      <alignment horizontal="left"/>
    </xf>
    <xf numFmtId="0" fontId="6" fillId="0" borderId="91" xfId="0" applyFont="1" applyBorder="1"/>
    <xf numFmtId="0" fontId="4" fillId="2" borderId="91" xfId="0" applyFont="1" applyFill="1" applyBorder="1" applyAlignment="1">
      <alignment horizontal="center" vertical="center" wrapText="1"/>
    </xf>
    <xf numFmtId="49" fontId="6" fillId="4" borderId="91" xfId="0" applyNumberFormat="1" applyFont="1" applyFill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6" borderId="91" xfId="0" applyFont="1" applyFill="1" applyBorder="1" applyAlignment="1">
      <alignment horizontal="center"/>
    </xf>
    <xf numFmtId="0" fontId="6" fillId="7" borderId="91" xfId="0" applyFont="1" applyFill="1" applyBorder="1" applyAlignment="1">
      <alignment horizontal="center"/>
    </xf>
    <xf numFmtId="0" fontId="22" fillId="2" borderId="92" xfId="0" applyFont="1" applyFill="1" applyBorder="1" applyAlignment="1">
      <alignment horizontal="left"/>
    </xf>
    <xf numFmtId="0" fontId="5" fillId="4" borderId="92" xfId="0" applyFont="1" applyFill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6" borderId="92" xfId="0" applyFont="1" applyFill="1" applyBorder="1" applyAlignment="1">
      <alignment horizontal="center"/>
    </xf>
    <xf numFmtId="0" fontId="6" fillId="7" borderId="92" xfId="0" applyFont="1" applyFill="1" applyBorder="1" applyAlignment="1">
      <alignment horizontal="center"/>
    </xf>
    <xf numFmtId="0" fontId="6" fillId="0" borderId="92" xfId="0" applyFont="1" applyBorder="1" applyAlignment="1">
      <alignment horizontal="center" wrapText="1"/>
    </xf>
    <xf numFmtId="0" fontId="22" fillId="2" borderId="93" xfId="0" applyFont="1" applyFill="1" applyBorder="1" applyAlignment="1">
      <alignment horizontal="left"/>
    </xf>
    <xf numFmtId="0" fontId="4" fillId="2" borderId="93" xfId="0" applyFont="1" applyFill="1" applyBorder="1" applyAlignment="1">
      <alignment horizontal="center" vertical="center" wrapText="1"/>
    </xf>
    <xf numFmtId="0" fontId="5" fillId="4" borderId="93" xfId="0" applyFont="1" applyFill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6" fillId="6" borderId="93" xfId="0" applyFont="1" applyFill="1" applyBorder="1" applyAlignment="1">
      <alignment horizontal="center"/>
    </xf>
    <xf numFmtId="0" fontId="6" fillId="7" borderId="93" xfId="0" applyFont="1" applyFill="1" applyBorder="1" applyAlignment="1">
      <alignment horizontal="center"/>
    </xf>
    <xf numFmtId="0" fontId="6" fillId="0" borderId="93" xfId="0" applyFont="1" applyBorder="1" applyAlignment="1">
      <alignment horizontal="center" wrapText="1"/>
    </xf>
    <xf numFmtId="0" fontId="22" fillId="2" borderId="94" xfId="0" applyFont="1" applyFill="1" applyBorder="1" applyAlignment="1">
      <alignment horizontal="left"/>
    </xf>
    <xf numFmtId="0" fontId="6" fillId="0" borderId="94" xfId="0" applyFont="1" applyBorder="1" applyAlignment="1">
      <alignment wrapText="1"/>
    </xf>
    <xf numFmtId="14" fontId="5" fillId="4" borderId="94" xfId="0" applyNumberFormat="1" applyFont="1" applyFill="1" applyBorder="1" applyAlignment="1">
      <alignment horizontal="center"/>
    </xf>
    <xf numFmtId="0" fontId="6" fillId="6" borderId="94" xfId="0" applyFont="1" applyFill="1" applyBorder="1" applyAlignment="1">
      <alignment horizontal="center"/>
    </xf>
    <xf numFmtId="0" fontId="6" fillId="7" borderId="94" xfId="0" applyFont="1" applyFill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6" fillId="0" borderId="94" xfId="0" applyFont="1" applyBorder="1" applyAlignment="1">
      <alignment horizontal="center" wrapText="1"/>
    </xf>
    <xf numFmtId="0" fontId="6" fillId="0" borderId="59" xfId="0" applyNumberFormat="1" applyFont="1" applyBorder="1" applyAlignment="1">
      <alignment horizontal="center"/>
    </xf>
    <xf numFmtId="0" fontId="6" fillId="0" borderId="62" xfId="0" applyNumberFormat="1" applyFont="1" applyBorder="1" applyAlignment="1">
      <alignment horizontal="center"/>
    </xf>
    <xf numFmtId="0" fontId="5" fillId="4" borderId="94" xfId="0" applyFont="1" applyFill="1" applyBorder="1" applyAlignment="1">
      <alignment horizontal="center"/>
    </xf>
  </cellXfs>
  <cellStyles count="21">
    <cellStyle name="Normal 2 3 2" xfId="7" xr:uid="{00000000-0005-0000-0000-000000000000}"/>
    <cellStyle name="Normal_SourceWorkbook" xfId="8" xr:uid="{00000000-0005-0000-0000-000001000000}"/>
    <cellStyle name="Гиперссылка 2" xfId="9" xr:uid="{00000000-0005-0000-0000-000002000000}"/>
    <cellStyle name="Обычный" xfId="0" builtinId="0"/>
    <cellStyle name="Обычный 2" xfId="10" xr:uid="{00000000-0005-0000-0000-000004000000}"/>
    <cellStyle name="Обычный 2 2" xfId="11" xr:uid="{00000000-0005-0000-0000-000005000000}"/>
    <cellStyle name="Обычный 3" xfId="12" xr:uid="{00000000-0005-0000-0000-000006000000}"/>
    <cellStyle name="Обычный 3 2" xfId="13" xr:uid="{00000000-0005-0000-0000-000007000000}"/>
    <cellStyle name="Обычный 3 3 2" xfId="14" xr:uid="{00000000-0005-0000-0000-000008000000}"/>
    <cellStyle name="Обычный 3 3 2 2" xfId="17" xr:uid="{A4A12238-A784-4F07-8202-17179657E692}"/>
    <cellStyle name="Обычный 4" xfId="5" xr:uid="{00000000-0005-0000-0000-000009000000}"/>
    <cellStyle name="Обычный 5" xfId="6" xr:uid="{00000000-0005-0000-0000-00000A000000}"/>
    <cellStyle name="Обычный 6" xfId="16" xr:uid="{249545B5-DA61-427E-BDE6-56975BA10350}"/>
    <cellStyle name="Обычный 7" xfId="18" xr:uid="{CBE1EE9B-05F7-45B6-BEB3-1418AE63A429}"/>
    <cellStyle name="Обычный 8" xfId="19" xr:uid="{A7D41993-3F52-4D43-A49E-3A4568408A7A}"/>
    <cellStyle name="Обычный 9" xfId="20" xr:uid="{04285870-8E3E-42F9-877D-FA2FB9FCF6E2}"/>
    <cellStyle name="Обычный_Лист1" xfId="1" xr:uid="{00000000-0005-0000-0000-00000B000000}"/>
    <cellStyle name="Обычный_Лист10" xfId="2" xr:uid="{00000000-0005-0000-0000-00000C000000}"/>
    <cellStyle name="Обычный_Лист5" xfId="3" xr:uid="{00000000-0005-0000-0000-00000D000000}"/>
    <cellStyle name="Обычный_Лист8" xfId="4" xr:uid="{00000000-0005-0000-0000-00000E000000}"/>
    <cellStyle name="Финансовый" xfId="15" builtinId="3"/>
  </cellStyles>
  <dxfs count="0"/>
  <tableStyles count="0" defaultTableStyle="TableStyleMedium2" defaultPivotStyle="PivotStyleLight16"/>
  <colors>
    <mruColors>
      <color rgb="FFCCFF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84;&#1084;&#1077;&#1088;&#1095;&#1054;&#1090;&#1076;&#1077;&#1083;/&#1054;&#1090;&#1095;&#1077;&#1090;&#1099;%20&#1087;&#1086;%20&#1052;&#1055;/&#1057;&#1055;&#1056;&#1040;&#1042;&#1054;&#1063;&#1053;&#1048;&#1050;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вод"/>
      <sheetName val="Новинки_СТАТУС"/>
      <sheetName val="вывод_приоритеты"/>
      <sheetName val="готовим на вывод"/>
      <sheetName val="Лист2"/>
      <sheetName val="Переводчик артикулов"/>
      <sheetName val="ABC "/>
      <sheetName val="цветовые схемы"/>
      <sheetName val="Капсула"/>
      <sheetName val="матрица"/>
      <sheetName val="МК"/>
      <sheetName val="Габариты"/>
      <sheetName val="АВС июнь"/>
      <sheetName val="АВС февраль"/>
      <sheetName val="Яндекс"/>
      <sheetName val="АВС апрель"/>
      <sheetName val="АБС"/>
      <sheetName val="АВС декабрь"/>
      <sheetName val="Крафт серый"/>
      <sheetName val="НОВИН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ЕДИНЫЙ АРТИКУЛ</v>
          </cell>
          <cell r="B2" t="str">
            <v>наименование</v>
          </cell>
          <cell r="C2" t="str">
            <v>МЕНЕДЖЕР ИЮНЬ</v>
          </cell>
          <cell r="D2" t="str">
            <v>КАТЕГОРИЯ</v>
          </cell>
          <cell r="E2" t="str">
            <v>СХЕМА ПРОДАЖИ</v>
          </cell>
          <cell r="F2" t="str">
            <v>род. Наименование</v>
          </cell>
          <cell r="G2" t="str">
            <v>ЦВЕТ</v>
          </cell>
          <cell r="H2" t="str">
            <v>Баркод ВБ</v>
          </cell>
          <cell r="I2" t="str">
            <v>фокусный</v>
          </cell>
        </row>
        <row r="3">
          <cell r="A3">
            <v>2946</v>
          </cell>
          <cell r="B3" t="str">
            <v>Комод Jazz 3 ящика Венге 600х733х354</v>
          </cell>
          <cell r="C3" t="str">
            <v>Вакансия</v>
          </cell>
          <cell r="D3" t="str">
            <v>КОМОДЫ</v>
          </cell>
          <cell r="E3" t="str">
            <v>FBO</v>
          </cell>
          <cell r="G3" t="str">
            <v>Венге</v>
          </cell>
          <cell r="H3" t="str">
            <v>2520000002114</v>
          </cell>
          <cell r="I3" t="str">
            <v>Вакансия</v>
          </cell>
        </row>
        <row r="4">
          <cell r="A4">
            <v>2997</v>
          </cell>
          <cell r="B4" t="str">
            <v>Комод Lite 5 ящиков Белое тиснение 350х890х354</v>
          </cell>
          <cell r="C4" t="str">
            <v>Вакансия</v>
          </cell>
          <cell r="D4" t="str">
            <v>КОМОДЫ</v>
          </cell>
          <cell r="E4" t="str">
            <v>FBS</v>
          </cell>
          <cell r="G4" t="str">
            <v>Белое тиснение</v>
          </cell>
          <cell r="H4" t="str">
            <v>2520000002154</v>
          </cell>
          <cell r="I4" t="str">
            <v>Вакансия</v>
          </cell>
        </row>
        <row r="5">
          <cell r="A5">
            <v>4303384</v>
          </cell>
          <cell r="B5" t="str">
            <v>Комод Вернисаж 4 ящика</v>
          </cell>
          <cell r="C5" t="str">
            <v>Вакансия</v>
          </cell>
          <cell r="D5" t="str">
            <v>КОМОДЫ</v>
          </cell>
          <cell r="E5" t="str">
            <v xml:space="preserve">СКГТ </v>
          </cell>
          <cell r="G5">
            <v>0</v>
          </cell>
          <cell r="H5">
            <v>0</v>
          </cell>
          <cell r="I5" t="str">
            <v>Вакансия</v>
          </cell>
        </row>
        <row r="6">
          <cell r="A6">
            <v>2628</v>
          </cell>
          <cell r="B6" t="str">
            <v>Комод Мальта 3 ящика Венге/Белое тиснение 690х733х354</v>
          </cell>
          <cell r="C6" t="str">
            <v>Вакансия</v>
          </cell>
          <cell r="D6" t="str">
            <v>КОМОДЫ</v>
          </cell>
          <cell r="E6" t="str">
            <v>FBO</v>
          </cell>
          <cell r="G6" t="str">
            <v xml:space="preserve"> Венге/Белое тиснение</v>
          </cell>
          <cell r="H6" t="str">
            <v>2520000000466</v>
          </cell>
          <cell r="I6" t="str">
            <v>Вакансия</v>
          </cell>
        </row>
        <row r="7">
          <cell r="A7">
            <v>2486</v>
          </cell>
          <cell r="B7" t="str">
            <v xml:space="preserve">Комод Мальта 3 ящика Дуб сонома/Белое гладкое 690х733х354 </v>
          </cell>
          <cell r="C7" t="str">
            <v>Вакансия</v>
          </cell>
          <cell r="D7" t="str">
            <v>КОМОДЫ</v>
          </cell>
          <cell r="E7" t="str">
            <v>FBO</v>
          </cell>
          <cell r="G7" t="str">
            <v>дуб сонома/белая гладкая</v>
          </cell>
          <cell r="H7" t="str">
            <v>2520000000473</v>
          </cell>
          <cell r="I7" t="str">
            <v>Вакансия</v>
          </cell>
        </row>
        <row r="8">
          <cell r="A8">
            <v>135591</v>
          </cell>
          <cell r="B8" t="str">
            <v>Комод City 3 ящика Бетон/Белое тиснение</v>
          </cell>
          <cell r="C8" t="str">
            <v>Платонова</v>
          </cell>
          <cell r="D8" t="str">
            <v>КОМОДЫ</v>
          </cell>
          <cell r="E8" t="str">
            <v>FBO</v>
          </cell>
          <cell r="F8" t="str">
            <v>Комод City 3 ящика 700х675х354</v>
          </cell>
          <cell r="G8" t="str">
            <v>Бетон/Белое тиснение</v>
          </cell>
          <cell r="H8" t="str">
            <v>2521897953049</v>
          </cell>
          <cell r="I8" t="str">
            <v>Вакансия</v>
          </cell>
        </row>
        <row r="9">
          <cell r="A9">
            <v>135611</v>
          </cell>
          <cell r="B9" t="str">
            <v>Стул Комфорт Черный V34 (комплект 2 шт.)</v>
          </cell>
          <cell r="C9" t="str">
            <v>Мисесина</v>
          </cell>
          <cell r="D9" t="str">
            <v>СТУЛЬЯ</v>
          </cell>
          <cell r="E9" t="str">
            <v>FBO</v>
          </cell>
          <cell r="F9" t="str">
            <v>Стул Комфорт (комплект 2 шт.)</v>
          </cell>
          <cell r="G9" t="str">
            <v>ткань</v>
          </cell>
          <cell r="H9" t="str">
            <v>2521897953148</v>
          </cell>
          <cell r="I9" t="str">
            <v>Вакансия</v>
          </cell>
        </row>
        <row r="10">
          <cell r="A10">
            <v>135584</v>
          </cell>
          <cell r="B10" t="str">
            <v>Обувница вертикальная Мальта Лайт Дуб сонома 53х82х22</v>
          </cell>
          <cell r="C10" t="str">
            <v xml:space="preserve">Петрова </v>
          </cell>
          <cell r="D10" t="str">
            <v>ОБУВНИЦЫ</v>
          </cell>
          <cell r="E10" t="str">
            <v>FBO</v>
          </cell>
          <cell r="F10" t="str">
            <v>Обувница вертикальная Мальта Лайт 53х82х22</v>
          </cell>
          <cell r="G10" t="str">
            <v>Дуб сонома</v>
          </cell>
          <cell r="H10" t="str">
            <v>2521897952912</v>
          </cell>
          <cell r="I10" t="str">
            <v>Вакансия</v>
          </cell>
        </row>
        <row r="11">
          <cell r="A11" t="str">
            <v>MK1460201</v>
          </cell>
          <cell r="B11" t="str">
            <v>Стеллаж тумба Trust Plus ЛДСП Белое тиснение, Черн. металл. 1100х780(h)х300</v>
          </cell>
          <cell r="C11" t="str">
            <v>Зимакова</v>
          </cell>
          <cell r="D11" t="str">
            <v>СТЕЛЛАЖИ</v>
          </cell>
          <cell r="E11" t="str">
            <v>FBS</v>
          </cell>
          <cell r="F11" t="str">
            <v>Стеллаж тумба Trust Plus</v>
          </cell>
          <cell r="G11" t="str">
            <v xml:space="preserve">ЛДСП Белое тиснение, Черн. металл. </v>
          </cell>
          <cell r="H11" t="str">
            <v>2521897952759</v>
          </cell>
          <cell r="I11" t="str">
            <v>Вакансия</v>
          </cell>
        </row>
        <row r="12">
          <cell r="A12">
            <v>2999</v>
          </cell>
          <cell r="B12" t="str">
            <v>Комод Lite 5 ящиков Дуб сонома 350х890х354</v>
          </cell>
          <cell r="C12" t="str">
            <v>Вакансия</v>
          </cell>
          <cell r="D12" t="str">
            <v>КОМОДЫ</v>
          </cell>
          <cell r="E12" t="str">
            <v>FBS</v>
          </cell>
          <cell r="G12" t="str">
            <v>Дуб сонома</v>
          </cell>
          <cell r="H12" t="str">
            <v>2520897927303</v>
          </cell>
          <cell r="I12" t="str">
            <v>Вакансия</v>
          </cell>
        </row>
        <row r="13">
          <cell r="A13">
            <v>135608</v>
          </cell>
          <cell r="B13" t="str">
            <v>Стул Комфорт Светло-серый V52 (комплект 2 шт.)</v>
          </cell>
          <cell r="C13" t="str">
            <v>Мисесина</v>
          </cell>
          <cell r="D13" t="str">
            <v>СТУЛЬЯ</v>
          </cell>
          <cell r="E13" t="str">
            <v>FBO</v>
          </cell>
          <cell r="F13" t="str">
            <v>Стул Комфорт (комплект 2 шт.)</v>
          </cell>
          <cell r="G13" t="str">
            <v>ткань</v>
          </cell>
          <cell r="H13" t="str">
            <v>2521897953145</v>
          </cell>
          <cell r="I13" t="str">
            <v>Вакансия</v>
          </cell>
        </row>
        <row r="14">
          <cell r="A14">
            <v>2608</v>
          </cell>
          <cell r="B14" t="str">
            <v>Полка книжная Ультра Белое тиснение 1150х520х200</v>
          </cell>
          <cell r="C14" t="str">
            <v xml:space="preserve">Петрова </v>
          </cell>
          <cell r="D14" t="str">
            <v>ПОЛКИ</v>
          </cell>
          <cell r="E14" t="str">
            <v>FBS</v>
          </cell>
          <cell r="F14" t="str">
            <v>Полка книжная Ультра 1150х520х200</v>
          </cell>
          <cell r="G14" t="str">
            <v>Белое тиснение</v>
          </cell>
          <cell r="H14" t="str">
            <v>2520000001517</v>
          </cell>
          <cell r="I14" t="str">
            <v>Вакансия</v>
          </cell>
        </row>
        <row r="15">
          <cell r="A15" t="str">
            <v>MK1970101</v>
          </cell>
          <cell r="B15" t="str">
            <v>Стол рабочий Tokyo Lite складной ЛДСП Дуб Вотан, Черн. металл. 740*750*560</v>
          </cell>
          <cell r="C15">
            <v>0</v>
          </cell>
          <cell r="D15" t="str">
            <v>СТОЛЫ</v>
          </cell>
          <cell r="E15" t="str">
            <v>FBO</v>
          </cell>
          <cell r="F15" t="str">
            <v>Стол рабочий Tokyo Lite складной</v>
          </cell>
          <cell r="G15" t="str">
            <v>ЛДСП Дуб Вотан, Черн. металл.</v>
          </cell>
          <cell r="H15" t="str">
            <v>2521897953416</v>
          </cell>
          <cell r="I15" t="str">
            <v>Вакансия</v>
          </cell>
        </row>
        <row r="16">
          <cell r="A16">
            <v>235532</v>
          </cell>
          <cell r="B16" t="str">
            <v>Комод Ультра (0,778х0,794х0,325) ДУБ СОНОМА</v>
          </cell>
          <cell r="C16" t="str">
            <v>Вакансия</v>
          </cell>
          <cell r="D16" t="str">
            <v>КОМОДЫ</v>
          </cell>
          <cell r="E16" t="str">
            <v>FBS</v>
          </cell>
          <cell r="G16" t="str">
            <v>Дуб сонома</v>
          </cell>
          <cell r="H16" t="str">
            <v>2521897952832</v>
          </cell>
          <cell r="I16" t="str">
            <v>Вакансия</v>
          </cell>
        </row>
        <row r="17">
          <cell r="A17">
            <v>2951</v>
          </cell>
          <cell r="B17" t="str">
            <v>Шкаф-комод Лофт Белое тиснение 800х819х350</v>
          </cell>
          <cell r="C17" t="str">
            <v>Вакансия</v>
          </cell>
          <cell r="D17" t="str">
            <v>КОМОДЫ</v>
          </cell>
          <cell r="E17" t="str">
            <v>СКГТ (ОЗОН)</v>
          </cell>
          <cell r="G17" t="str">
            <v>Белое тиснение</v>
          </cell>
          <cell r="H17" t="str">
            <v>2520000000510</v>
          </cell>
          <cell r="I17" t="str">
            <v>Вакансия</v>
          </cell>
        </row>
        <row r="18">
          <cell r="A18">
            <v>3143</v>
          </cell>
          <cell r="B18" t="str">
            <v>Шкаф-комод Ультра с полками Белое тиснение</v>
          </cell>
          <cell r="C18" t="str">
            <v>Вакансия</v>
          </cell>
          <cell r="D18" t="str">
            <v>КОМОДЫ</v>
          </cell>
          <cell r="E18" t="str">
            <v>FBS</v>
          </cell>
          <cell r="G18" t="str">
            <v>Белое тиснение</v>
          </cell>
          <cell r="H18" t="str">
            <v>2521897952445</v>
          </cell>
          <cell r="I18" t="str">
            <v>Вакансия</v>
          </cell>
        </row>
        <row r="19">
          <cell r="A19">
            <v>3149</v>
          </cell>
          <cell r="B19" t="str">
            <v>Комод Line Белое тиснение</v>
          </cell>
          <cell r="C19" t="str">
            <v>Вакансия</v>
          </cell>
          <cell r="D19" t="str">
            <v>КОМОДЫ</v>
          </cell>
          <cell r="E19" t="str">
            <v>FBS</v>
          </cell>
          <cell r="G19" t="str">
            <v>Белое тиснение</v>
          </cell>
          <cell r="H19">
            <v>0</v>
          </cell>
          <cell r="I19" t="str">
            <v>Вакансия</v>
          </cell>
        </row>
        <row r="20">
          <cell r="A20">
            <v>3150</v>
          </cell>
          <cell r="B20" t="str">
            <v>Комод Ultra 2-х дверный с ящ. Белое тиснение</v>
          </cell>
          <cell r="C20" t="str">
            <v>Вакансия</v>
          </cell>
          <cell r="D20" t="str">
            <v>КОМОДЫ</v>
          </cell>
          <cell r="E20" t="str">
            <v>FBO</v>
          </cell>
          <cell r="G20" t="str">
            <v>Белое тиснение</v>
          </cell>
          <cell r="H20" t="str">
            <v>2521897952450</v>
          </cell>
          <cell r="I20" t="str">
            <v>Вакансия</v>
          </cell>
        </row>
        <row r="21">
          <cell r="A21">
            <v>3152</v>
          </cell>
          <cell r="B21" t="str">
            <v>Шкаф комод Style 2х дверный Белое тиснение 706х1115х254</v>
          </cell>
          <cell r="C21" t="str">
            <v>Вакансия</v>
          </cell>
          <cell r="D21" t="str">
            <v>КОМОДЫ</v>
          </cell>
          <cell r="E21" t="str">
            <v>FBS</v>
          </cell>
          <cell r="G21" t="str">
            <v>Белое тиснение</v>
          </cell>
          <cell r="H21" t="str">
            <v>2521897952642</v>
          </cell>
          <cell r="I21" t="str">
            <v>Вакансия</v>
          </cell>
        </row>
        <row r="22">
          <cell r="A22" t="str">
            <v>М00015</v>
          </cell>
          <cell r="B22" t="str">
            <v>Диван еврокнижка Клио Плюс Велюр Бель Крем 2240х820х940</v>
          </cell>
          <cell r="C22" t="str">
            <v>Вакансия</v>
          </cell>
          <cell r="D22" t="str">
            <v>ДИВАНЫ</v>
          </cell>
          <cell r="E22" t="str">
            <v xml:space="preserve">СКГТ </v>
          </cell>
          <cell r="G22" t="str">
            <v>Велюр</v>
          </cell>
          <cell r="H22">
            <v>0</v>
          </cell>
          <cell r="I22" t="str">
            <v>Вакансия</v>
          </cell>
        </row>
        <row r="23">
          <cell r="A23">
            <v>3572</v>
          </cell>
          <cell r="B23" t="str">
            <v>Стеллаж с открытыми полками Ультра Дуб Крафт Золотой 600х800х230</v>
          </cell>
          <cell r="C23" t="str">
            <v>Зимакова</v>
          </cell>
          <cell r="D23" t="str">
            <v>СТЕЛЛАЖИ</v>
          </cell>
          <cell r="E23" t="str">
            <v>FBO</v>
          </cell>
          <cell r="F23" t="str">
            <v>Стеллаж с открытыми полками Ультра 600х800х230</v>
          </cell>
          <cell r="G23" t="str">
            <v>Дуб Крафт золотой</v>
          </cell>
          <cell r="H23" t="str">
            <v>2521897952803</v>
          </cell>
          <cell r="I23" t="str">
            <v>Вакансия</v>
          </cell>
        </row>
        <row r="24">
          <cell r="A24">
            <v>3177</v>
          </cell>
          <cell r="B24" t="str">
            <v>Комод Blues 1-o дверн. с полкой Дуб Вотан/Белое тиснен. 426х795х320</v>
          </cell>
          <cell r="C24" t="str">
            <v>Вакансия</v>
          </cell>
          <cell r="D24" t="str">
            <v>КОМОДЫ</v>
          </cell>
          <cell r="E24" t="str">
            <v>FBS</v>
          </cell>
          <cell r="F24" t="str">
            <v>Комод Blues 1-o дверн. с полкой</v>
          </cell>
          <cell r="G24" t="str">
            <v>Дуб Вотан/Белое тиснение</v>
          </cell>
          <cell r="H24" t="str">
            <v>2521897952497</v>
          </cell>
          <cell r="I24" t="str">
            <v>Вакансия</v>
          </cell>
        </row>
        <row r="25">
          <cell r="A25">
            <v>12603</v>
          </cell>
          <cell r="B25" t="str">
            <v>Диван - Книжка Style 32/2/42 Коричневый -Желтый</v>
          </cell>
          <cell r="C25" t="str">
            <v>Вакансия</v>
          </cell>
          <cell r="D25" t="str">
            <v>ДИВАНЫ</v>
          </cell>
          <cell r="E25" t="str">
            <v>СКГТ (ОЗОН)</v>
          </cell>
          <cell r="G25" t="str">
            <v>ткань</v>
          </cell>
          <cell r="H25" t="str">
            <v>2521897952554</v>
          </cell>
          <cell r="I25" t="str">
            <v>Вакансия</v>
          </cell>
        </row>
        <row r="26">
          <cell r="A26">
            <v>3162</v>
          </cell>
          <cell r="B26" t="str">
            <v>Комод Praga 3 ящика с полкой Дуб Вотан/Белое тиснен. 800х730х454</v>
          </cell>
          <cell r="C26" t="str">
            <v>Вакансия</v>
          </cell>
          <cell r="D26" t="str">
            <v>КОМОДЫ</v>
          </cell>
          <cell r="E26" t="str">
            <v>FBS</v>
          </cell>
          <cell r="G26" t="str">
            <v>комбин</v>
          </cell>
          <cell r="H26" t="str">
            <v>2521897952479</v>
          </cell>
          <cell r="I26" t="str">
            <v>Вакансия</v>
          </cell>
        </row>
        <row r="27">
          <cell r="A27" t="str">
            <v>М0458</v>
          </cell>
          <cell r="B27" t="str">
            <v>Диван-кровать Найс с подлокотниками Ткань Savanna Plus Yellow 1420х820х907</v>
          </cell>
          <cell r="C27" t="str">
            <v>Вакансия</v>
          </cell>
          <cell r="D27" t="str">
            <v>ДИВАНЫ</v>
          </cell>
          <cell r="E27" t="str">
            <v xml:space="preserve">СКГТ </v>
          </cell>
          <cell r="G27" t="str">
            <v>ткань</v>
          </cell>
          <cell r="H27" t="str">
            <v>2520897927305</v>
          </cell>
          <cell r="I27" t="str">
            <v>Вакансия</v>
          </cell>
        </row>
        <row r="28">
          <cell r="A28" t="str">
            <v>М0462</v>
          </cell>
          <cell r="B28" t="str">
            <v>Диван-кровать Найс VIVALDI 5 1420х820х907</v>
          </cell>
          <cell r="C28" t="str">
            <v>Вакансия</v>
          </cell>
          <cell r="D28" t="str">
            <v>ДИВАНЫ</v>
          </cell>
          <cell r="E28" t="str">
            <v xml:space="preserve">СКГТ </v>
          </cell>
          <cell r="G28">
            <v>0</v>
          </cell>
          <cell r="H28" t="str">
            <v>2521897952626</v>
          </cell>
          <cell r="I28" t="str">
            <v>Вакансия</v>
          </cell>
        </row>
        <row r="29">
          <cell r="A29" t="str">
            <v>М0461</v>
          </cell>
          <cell r="B29" t="str">
            <v>Диван-кровать Найс Велюр Neo 05 1420х820х907</v>
          </cell>
          <cell r="C29" t="str">
            <v>Вакансия</v>
          </cell>
          <cell r="D29" t="str">
            <v>ДИВАНЫ</v>
          </cell>
          <cell r="E29" t="str">
            <v xml:space="preserve">СКГТ </v>
          </cell>
          <cell r="G29" t="str">
            <v>Велюр</v>
          </cell>
          <cell r="H29" t="str">
            <v>2521897952541</v>
          </cell>
          <cell r="I29" t="str">
            <v>Вакансия</v>
          </cell>
        </row>
        <row r="30">
          <cell r="A30">
            <v>140005</v>
          </cell>
          <cell r="B30" t="str">
            <v>Комод Ультра Плюс 5 ящиков Венге</v>
          </cell>
          <cell r="C30" t="str">
            <v>Вакансия</v>
          </cell>
          <cell r="D30" t="str">
            <v>КОМОДЫ</v>
          </cell>
          <cell r="E30" t="str">
            <v>FBS</v>
          </cell>
          <cell r="G30" t="str">
            <v>Венге</v>
          </cell>
          <cell r="H30" t="str">
            <v>2521897952597</v>
          </cell>
          <cell r="I30" t="str">
            <v>Вакансия</v>
          </cell>
        </row>
        <row r="31">
          <cell r="A31">
            <v>140007</v>
          </cell>
          <cell r="B31" t="str">
            <v>Комод Praga Plus Белое тиснение</v>
          </cell>
          <cell r="C31" t="str">
            <v>Ратникова</v>
          </cell>
          <cell r="D31" t="str">
            <v>КОМОДЫ</v>
          </cell>
          <cell r="E31" t="str">
            <v>FBS</v>
          </cell>
          <cell r="F31" t="str">
            <v>Комод Praga Plus</v>
          </cell>
          <cell r="G31" t="str">
            <v>Белое тиснение</v>
          </cell>
          <cell r="H31" t="str">
            <v>2521897952599</v>
          </cell>
          <cell r="I31" t="str">
            <v>Вакансия</v>
          </cell>
        </row>
        <row r="32">
          <cell r="A32">
            <v>140008</v>
          </cell>
          <cell r="B32" t="str">
            <v>Комод Praga Plus Венге</v>
          </cell>
          <cell r="C32" t="str">
            <v>Ратникова</v>
          </cell>
          <cell r="D32" t="str">
            <v>КОМОДЫ</v>
          </cell>
          <cell r="E32" t="str">
            <v>FBS</v>
          </cell>
          <cell r="F32" t="str">
            <v>Комод Praga Plus</v>
          </cell>
          <cell r="G32" t="str">
            <v>Венге</v>
          </cell>
          <cell r="H32" t="str">
            <v>2521897952602</v>
          </cell>
          <cell r="I32" t="str">
            <v>Вакансия</v>
          </cell>
        </row>
        <row r="33">
          <cell r="A33">
            <v>140009</v>
          </cell>
          <cell r="B33" t="str">
            <v>Комод Praga Plus Дуб сонома</v>
          </cell>
          <cell r="C33" t="str">
            <v>Ратникова</v>
          </cell>
          <cell r="D33" t="str">
            <v>КОМОДЫ</v>
          </cell>
          <cell r="E33" t="str">
            <v>FBS</v>
          </cell>
          <cell r="F33" t="str">
            <v>Комод Praga Plus</v>
          </cell>
          <cell r="G33" t="str">
            <v>Дуб сонома</v>
          </cell>
          <cell r="H33" t="str">
            <v>2521897952605</v>
          </cell>
          <cell r="I33" t="str">
            <v>Вакансия</v>
          </cell>
        </row>
        <row r="34">
          <cell r="A34" t="str">
            <v>М00014</v>
          </cell>
          <cell r="B34" t="str">
            <v>Диван еврокнижка Клио Плюс Велюр Бель Смоки 2240х820х940</v>
          </cell>
          <cell r="C34" t="str">
            <v>Вакансия</v>
          </cell>
          <cell r="D34" t="str">
            <v>ДИВАНЫ</v>
          </cell>
          <cell r="E34" t="str">
            <v xml:space="preserve">СКГТ </v>
          </cell>
          <cell r="G34" t="str">
            <v>Велюр</v>
          </cell>
          <cell r="H34" t="str">
            <v>2520000002120</v>
          </cell>
          <cell r="I34" t="str">
            <v>Вакансия</v>
          </cell>
        </row>
        <row r="35">
          <cell r="A35" t="str">
            <v>М00016</v>
          </cell>
          <cell r="B35" t="str">
            <v>Диван еврокнижка Клио Плюс Ткань Savana Plus Lagoon 2240х820х940</v>
          </cell>
          <cell r="C35" t="str">
            <v>Вакансия</v>
          </cell>
          <cell r="D35" t="str">
            <v>ДИВАНЫ</v>
          </cell>
          <cell r="E35" t="str">
            <v>СКГТ (ОЗОН)</v>
          </cell>
          <cell r="G35" t="str">
            <v>ткань</v>
          </cell>
          <cell r="H35" t="str">
            <v>2520000002123</v>
          </cell>
          <cell r="I35" t="str">
            <v>Вакансия</v>
          </cell>
        </row>
        <row r="36">
          <cell r="A36">
            <v>12605</v>
          </cell>
          <cell r="B36" t="str">
            <v>Диван - Книжка Комфорт Бежевый  2000х950х850</v>
          </cell>
          <cell r="C36" t="str">
            <v>Вакансия</v>
          </cell>
          <cell r="D36" t="str">
            <v>ДИВАНЫ</v>
          </cell>
          <cell r="E36" t="str">
            <v>СКГТ (ОЗОН)</v>
          </cell>
          <cell r="G36" t="str">
            <v>Бежевый</v>
          </cell>
          <cell r="H36" t="str">
            <v>2521897952551</v>
          </cell>
          <cell r="I36" t="str">
            <v>Вакансия</v>
          </cell>
        </row>
        <row r="37">
          <cell r="A37" t="str">
            <v>М0457</v>
          </cell>
          <cell r="B37" t="str">
            <v>Диван-кровать Найс с подлокотниками Ткань Savanna Plus Lagoon 1420х820х907</v>
          </cell>
          <cell r="C37" t="str">
            <v>Вакансия</v>
          </cell>
          <cell r="D37" t="str">
            <v>ДИВАНЫ</v>
          </cell>
          <cell r="E37" t="str">
            <v xml:space="preserve">СКГТ </v>
          </cell>
          <cell r="G37" t="str">
            <v>ткань</v>
          </cell>
          <cell r="H37" t="str">
            <v>2520897927306</v>
          </cell>
          <cell r="I37" t="str">
            <v>Вакансия</v>
          </cell>
        </row>
        <row r="38">
          <cell r="A38" t="str">
            <v>М0460</v>
          </cell>
          <cell r="B38" t="str">
            <v>Диван-кровать Найс с подлокотниками Ткань  MONACO   1420х820х907</v>
          </cell>
          <cell r="C38" t="str">
            <v>Вакансия</v>
          </cell>
          <cell r="D38" t="str">
            <v>ДИВАНЫ</v>
          </cell>
          <cell r="E38" t="str">
            <v>СКГТ (ОЗОН)</v>
          </cell>
          <cell r="G38" t="str">
            <v>ткань</v>
          </cell>
          <cell r="H38" t="str">
            <v>2521897952586</v>
          </cell>
          <cell r="I38" t="str">
            <v>Вакансия</v>
          </cell>
        </row>
        <row r="39">
          <cell r="A39">
            <v>12608</v>
          </cell>
          <cell r="B39" t="str">
            <v>Диван Neo Синий</v>
          </cell>
          <cell r="C39" t="str">
            <v>Вакансия</v>
          </cell>
          <cell r="D39" t="str">
            <v>ДИВАНЫ</v>
          </cell>
          <cell r="E39" t="str">
            <v xml:space="preserve">СКГТ </v>
          </cell>
          <cell r="G39" t="str">
            <v>синий</v>
          </cell>
          <cell r="H39">
            <v>0</v>
          </cell>
          <cell r="I39" t="str">
            <v>Вакансия</v>
          </cell>
        </row>
        <row r="40">
          <cell r="A40" t="str">
            <v>М000101</v>
          </cell>
          <cell r="B40" t="str">
            <v>Диван еврокнижка Рокфорд Саpri 13  2003х800х1550</v>
          </cell>
          <cell r="C40" t="str">
            <v>Вакансия</v>
          </cell>
          <cell r="D40" t="str">
            <v>ДИВАНЫ</v>
          </cell>
          <cell r="E40" t="str">
            <v xml:space="preserve">СКГТ </v>
          </cell>
          <cell r="G40" t="str">
            <v>рокфорд</v>
          </cell>
          <cell r="H40">
            <v>0</v>
          </cell>
          <cell r="I40" t="str">
            <v>Вакансия</v>
          </cell>
        </row>
        <row r="41">
          <cell r="A41" t="str">
            <v>М000120</v>
          </cell>
          <cell r="B41" t="str">
            <v>Диван еврокнижка Рокфорд Neo 02 2003х800х1550</v>
          </cell>
          <cell r="C41" t="str">
            <v>Вакансия</v>
          </cell>
          <cell r="D41" t="str">
            <v>ДИВАНЫ</v>
          </cell>
          <cell r="E41" t="str">
            <v xml:space="preserve">СКГТ </v>
          </cell>
          <cell r="G41" t="str">
            <v>рокфорд</v>
          </cell>
          <cell r="H41">
            <v>0</v>
          </cell>
          <cell r="I41" t="str">
            <v>Вакансия</v>
          </cell>
        </row>
        <row r="42">
          <cell r="A42" t="str">
            <v>М000100</v>
          </cell>
          <cell r="B42" t="str">
            <v>Диван еврокнижка Рокфорд Саpri 22 2003х800х1550</v>
          </cell>
          <cell r="C42" t="str">
            <v>Вакансия</v>
          </cell>
          <cell r="D42" t="str">
            <v>ДИВАНЫ</v>
          </cell>
          <cell r="E42" t="str">
            <v>СКГТ (ОЗОН)</v>
          </cell>
          <cell r="G42" t="str">
            <v>рокфорд</v>
          </cell>
          <cell r="H42" t="str">
            <v>2521897952536</v>
          </cell>
          <cell r="I42" t="str">
            <v>Вакансия</v>
          </cell>
        </row>
        <row r="43">
          <cell r="A43">
            <v>10002</v>
          </cell>
          <cell r="B43" t="str">
            <v>Комод деревянный Раст</v>
          </cell>
          <cell r="C43" t="str">
            <v>Вакансия</v>
          </cell>
          <cell r="D43" t="str">
            <v>КОМОДЫ</v>
          </cell>
          <cell r="E43" t="str">
            <v>FBO</v>
          </cell>
          <cell r="G43" t="str">
            <v>дуб</v>
          </cell>
          <cell r="H43" t="str">
            <v>2521897952714</v>
          </cell>
          <cell r="I43" t="str">
            <v>Вакансия</v>
          </cell>
        </row>
        <row r="44">
          <cell r="A44">
            <v>12602</v>
          </cell>
          <cell r="B44" t="str">
            <v>Диван - Книжка Style 33/2/30 Коричневый-Синий</v>
          </cell>
          <cell r="C44" t="str">
            <v>Вакансия</v>
          </cell>
          <cell r="D44" t="str">
            <v>ДИВАНЫ</v>
          </cell>
          <cell r="E44" t="str">
            <v>СКГТ (ОЗОН)</v>
          </cell>
          <cell r="G44" t="str">
            <v>синий</v>
          </cell>
          <cell r="H44" t="str">
            <v>2521897952545</v>
          </cell>
          <cell r="I44" t="str">
            <v>Вакансия</v>
          </cell>
        </row>
        <row r="45">
          <cell r="A45" t="str">
            <v>MK00037</v>
          </cell>
          <cell r="B45" t="str">
            <v>Стеллаж Tokyo 3 секции ЛДСП Белое тиснение,Черн. металл.</v>
          </cell>
          <cell r="C45" t="str">
            <v>Зимакова</v>
          </cell>
          <cell r="D45" t="str">
            <v>СТЕЛЛАЖИ</v>
          </cell>
          <cell r="E45" t="str">
            <v>FBS</v>
          </cell>
          <cell r="F45" t="str">
            <v>Стеллаж Tokyo 3 секции</v>
          </cell>
          <cell r="G45" t="str">
            <v xml:space="preserve">ЛДСП Белое тиснение, Черн. металл. </v>
          </cell>
          <cell r="H45" t="str">
            <v>2521897953337</v>
          </cell>
          <cell r="I45" t="str">
            <v>Вакансия</v>
          </cell>
        </row>
        <row r="46">
          <cell r="A46">
            <v>12606</v>
          </cell>
          <cell r="B46" t="str">
            <v>Диван - Книжка Комфорт Синий  2000х950х850</v>
          </cell>
          <cell r="C46" t="str">
            <v>Вакансия</v>
          </cell>
          <cell r="D46" t="str">
            <v>ДИВАНЫ</v>
          </cell>
          <cell r="E46" t="str">
            <v>СКГТ (ОЗОН)</v>
          </cell>
          <cell r="G46" t="str">
            <v>ткань</v>
          </cell>
          <cell r="H46" t="str">
            <v>2521897952552</v>
          </cell>
          <cell r="I46" t="str">
            <v>Вакансия</v>
          </cell>
        </row>
        <row r="47">
          <cell r="A47">
            <v>12607</v>
          </cell>
          <cell r="B47" t="str">
            <v>Диван - Книжка Комфорт Серый  2000х950х850</v>
          </cell>
          <cell r="C47" t="str">
            <v>Вакансия</v>
          </cell>
          <cell r="D47" t="str">
            <v>ДИВАНЫ</v>
          </cell>
          <cell r="E47" t="str">
            <v xml:space="preserve">СКГТ </v>
          </cell>
          <cell r="G47" t="str">
            <v>серый</v>
          </cell>
          <cell r="H47" t="str">
            <v>2521897952553</v>
          </cell>
          <cell r="I47" t="str">
            <v>Вакансия</v>
          </cell>
        </row>
        <row r="48">
          <cell r="A48">
            <v>12613</v>
          </cell>
          <cell r="B48" t="str">
            <v>Диван - Книжка Комфорт Синий Balance 2000х950х850</v>
          </cell>
          <cell r="C48" t="str">
            <v>Вакансия</v>
          </cell>
          <cell r="D48" t="str">
            <v>ДИВАНЫ</v>
          </cell>
          <cell r="E48" t="str">
            <v xml:space="preserve">СКГТ </v>
          </cell>
          <cell r="G48" t="str">
            <v>синий</v>
          </cell>
          <cell r="H48">
            <v>0</v>
          </cell>
          <cell r="I48" t="str">
            <v>Вакансия</v>
          </cell>
        </row>
        <row r="49">
          <cell r="A49" t="str">
            <v>MK130010101</v>
          </cell>
          <cell r="B49" t="str">
            <v>Тумба для обуви Tokyo ЛДСП Дуб Вотан, Черн. металл., к/з МарИКа Wite 800х608(h)х310</v>
          </cell>
          <cell r="C49" t="str">
            <v xml:space="preserve">Петрова </v>
          </cell>
          <cell r="D49" t="str">
            <v>ОБУВНИЦЫ</v>
          </cell>
          <cell r="E49" t="str">
            <v>FBO</v>
          </cell>
          <cell r="F49" t="str">
            <v>Тумба для обуви Tokyo  800х608(h)х310</v>
          </cell>
          <cell r="G49" t="str">
            <v>ЛДСП Дуб Вотан, Черн. металл.</v>
          </cell>
          <cell r="H49" t="str">
            <v>2521897952755</v>
          </cell>
          <cell r="I49" t="str">
            <v>Вакансия</v>
          </cell>
        </row>
        <row r="50">
          <cell r="A50">
            <v>12609</v>
          </cell>
          <cell r="B50" t="str">
            <v>Диван Neo Лазурь</v>
          </cell>
          <cell r="C50" t="str">
            <v>Вакансия</v>
          </cell>
          <cell r="D50" t="str">
            <v>ДИВАНЫ</v>
          </cell>
          <cell r="E50" t="str">
            <v xml:space="preserve">СКГТ </v>
          </cell>
          <cell r="G50">
            <v>0</v>
          </cell>
          <cell r="H50">
            <v>0</v>
          </cell>
          <cell r="I50" t="str">
            <v>Вакансия</v>
          </cell>
        </row>
        <row r="51">
          <cell r="A51">
            <v>12611</v>
          </cell>
          <cell r="B51" t="str">
            <v>Диван Neo Бежевый</v>
          </cell>
          <cell r="C51" t="str">
            <v>Вакансия</v>
          </cell>
          <cell r="D51" t="str">
            <v>ДИВАНЫ</v>
          </cell>
          <cell r="E51" t="str">
            <v xml:space="preserve">СКГТ </v>
          </cell>
          <cell r="G51" t="str">
            <v>Бежевый</v>
          </cell>
          <cell r="H51" t="str">
            <v>2521897952630</v>
          </cell>
          <cell r="I51" t="str">
            <v>Вакансия</v>
          </cell>
        </row>
        <row r="52">
          <cell r="A52">
            <v>12612</v>
          </cell>
          <cell r="B52" t="str">
            <v>Диван Neo  Коричневый</v>
          </cell>
          <cell r="C52" t="str">
            <v>Вакансия</v>
          </cell>
          <cell r="D52" t="str">
            <v>ДИВАНЫ</v>
          </cell>
          <cell r="E52" t="str">
            <v xml:space="preserve">СКГТ </v>
          </cell>
          <cell r="G52" t="str">
            <v>коричневый</v>
          </cell>
          <cell r="H52" t="str">
            <v>2521897952631</v>
          </cell>
          <cell r="I52" t="str">
            <v>Вакансия</v>
          </cell>
        </row>
        <row r="53">
          <cell r="A53">
            <v>12614</v>
          </cell>
          <cell r="B53" t="str">
            <v>Диван-книжка Next - Balance 290</v>
          </cell>
          <cell r="C53" t="str">
            <v>Вакансия</v>
          </cell>
          <cell r="D53" t="str">
            <v>ДИВАНЫ</v>
          </cell>
          <cell r="E53" t="str">
            <v xml:space="preserve">СКГТ </v>
          </cell>
          <cell r="G53" t="str">
            <v>ткань</v>
          </cell>
          <cell r="H53" t="str">
            <v>2521897952752</v>
          </cell>
          <cell r="I53" t="str">
            <v>Вакансия</v>
          </cell>
        </row>
        <row r="54">
          <cell r="A54" t="str">
            <v>MK1840101</v>
          </cell>
          <cell r="B54" t="str">
            <v>Шкаф комод Frame 2-х дв. Дуб Вотан, Черный металл 898х896х298</v>
          </cell>
          <cell r="C54" t="str">
            <v>Ратникова</v>
          </cell>
          <cell r="D54" t="str">
            <v>КОМОДЫ</v>
          </cell>
          <cell r="E54" t="str">
            <v xml:space="preserve">СКГТ </v>
          </cell>
          <cell r="F54" t="str">
            <v>Шкаф комод Frame 2-х дв.  898х896х298</v>
          </cell>
          <cell r="G54" t="str">
            <v>дуб вотан</v>
          </cell>
          <cell r="H54" t="str">
            <v>2521897952877</v>
          </cell>
          <cell r="I54" t="str">
            <v>Вакансия</v>
          </cell>
        </row>
        <row r="55">
          <cell r="A55">
            <v>135571</v>
          </cell>
          <cell r="B55" t="str">
            <v>Комод City 3 ящика Крафт белый 700х675х354</v>
          </cell>
          <cell r="C55" t="str">
            <v>Платонова</v>
          </cell>
          <cell r="D55" t="str">
            <v>КОМОДЫ</v>
          </cell>
          <cell r="E55" t="str">
            <v>FBO</v>
          </cell>
          <cell r="F55" t="str">
            <v>Комод City 3 ящика 700х675х354</v>
          </cell>
          <cell r="G55" t="str">
            <v>дуб крафт белый</v>
          </cell>
          <cell r="H55" t="str">
            <v>2521897952879</v>
          </cell>
          <cell r="I55" t="str">
            <v>Вакансия</v>
          </cell>
        </row>
        <row r="56">
          <cell r="A56">
            <v>135572</v>
          </cell>
          <cell r="B56" t="str">
            <v>Комод City 3 ящика Крафт золотой 700х675х354</v>
          </cell>
          <cell r="C56" t="str">
            <v>Платонова</v>
          </cell>
          <cell r="D56" t="str">
            <v>КОМОДЫ</v>
          </cell>
          <cell r="E56" t="str">
            <v>FBO</v>
          </cell>
          <cell r="F56" t="str">
            <v>Комод City 3 ящика 700х675х354</v>
          </cell>
          <cell r="G56" t="str">
            <v>Дуб Крафт золотой</v>
          </cell>
          <cell r="H56" t="str">
            <v>2521897952880</v>
          </cell>
          <cell r="I56" t="str">
            <v>Вакансия</v>
          </cell>
        </row>
        <row r="57">
          <cell r="A57">
            <v>3012</v>
          </cell>
          <cell r="B57" t="str">
            <v>Комод City 4 ящика Белое тиснение 700х867х354</v>
          </cell>
          <cell r="C57" t="str">
            <v>Вакансия</v>
          </cell>
          <cell r="D57" t="str">
            <v>КОМОДЫ</v>
          </cell>
          <cell r="E57" t="str">
            <v xml:space="preserve">СКГТ </v>
          </cell>
          <cell r="G57" t="str">
            <v>Белое тиснение</v>
          </cell>
          <cell r="H57" t="str">
            <v>2520897922357</v>
          </cell>
          <cell r="I57" t="str">
            <v>Вакансия</v>
          </cell>
        </row>
        <row r="58">
          <cell r="A58">
            <v>3014</v>
          </cell>
          <cell r="B58" t="str">
            <v>Комод City 4 ящика Дуб сонома 700х867х354</v>
          </cell>
          <cell r="C58" t="str">
            <v>Вакансия</v>
          </cell>
          <cell r="D58" t="str">
            <v>КОМОДЫ</v>
          </cell>
          <cell r="E58" t="str">
            <v>СКГТ (ОЗОН)</v>
          </cell>
          <cell r="G58" t="str">
            <v>Дуб сонома</v>
          </cell>
          <cell r="H58" t="str">
            <v>2520897922368</v>
          </cell>
          <cell r="I58" t="str">
            <v>Вакансия</v>
          </cell>
        </row>
        <row r="59">
          <cell r="A59">
            <v>3024</v>
          </cell>
          <cell r="B59" t="str">
            <v>Комод City 5 ящиков Белое тиснение 400х1059х354</v>
          </cell>
          <cell r="C59" t="str">
            <v>Платонова</v>
          </cell>
          <cell r="D59" t="str">
            <v>КОМОДЫ</v>
          </cell>
          <cell r="E59" t="str">
            <v>FBS</v>
          </cell>
          <cell r="F59" t="str">
            <v>Комод City 5 ящиков 400х1059х354</v>
          </cell>
          <cell r="G59" t="str">
            <v>Белое тиснение</v>
          </cell>
          <cell r="H59" t="str">
            <v>2520000008315</v>
          </cell>
          <cell r="I59" t="str">
            <v>Вакансия</v>
          </cell>
        </row>
        <row r="60">
          <cell r="A60">
            <v>3025</v>
          </cell>
          <cell r="B60" t="str">
            <v>Комод City 5 ящиков Венге 400х1059х354</v>
          </cell>
          <cell r="C60" t="str">
            <v>Платонова</v>
          </cell>
          <cell r="D60" t="str">
            <v>КОМОДЫ</v>
          </cell>
          <cell r="E60" t="str">
            <v>FBS</v>
          </cell>
          <cell r="F60" t="str">
            <v>Комод City 5 ящиков 400х1059х354</v>
          </cell>
          <cell r="G60" t="str">
            <v>Венге</v>
          </cell>
          <cell r="H60" t="str">
            <v>2520000001215</v>
          </cell>
          <cell r="I60" t="str">
            <v>Вакансия</v>
          </cell>
        </row>
        <row r="61">
          <cell r="A61">
            <v>3026</v>
          </cell>
          <cell r="B61" t="str">
            <v>Комод City 5 ящиков Дуб сонома 400х1059х354</v>
          </cell>
          <cell r="C61" t="str">
            <v>Платонова</v>
          </cell>
          <cell r="D61" t="str">
            <v>КОМОДЫ</v>
          </cell>
          <cell r="E61" t="str">
            <v>FBS</v>
          </cell>
          <cell r="F61" t="str">
            <v>Комод City 5 ящиков 400х1059х354</v>
          </cell>
          <cell r="G61" t="str">
            <v>Дуб сонома</v>
          </cell>
          <cell r="H61" t="str">
            <v>2520897922295</v>
          </cell>
          <cell r="I61" t="str">
            <v>Вакансия</v>
          </cell>
        </row>
        <row r="62">
          <cell r="A62">
            <v>2945</v>
          </cell>
          <cell r="B62" t="str">
            <v>Комод Jazz 3 ящика Белое тиснение 600х733х354</v>
          </cell>
          <cell r="C62" t="str">
            <v>Вакансия</v>
          </cell>
          <cell r="D62" t="str">
            <v>КОМОДЫ</v>
          </cell>
          <cell r="E62" t="str">
            <v>FBO</v>
          </cell>
          <cell r="G62" t="str">
            <v>Белое тиснение</v>
          </cell>
          <cell r="H62" t="str">
            <v>2520000002107</v>
          </cell>
          <cell r="I62" t="str">
            <v>Вакансия</v>
          </cell>
        </row>
        <row r="63">
          <cell r="A63">
            <v>135592</v>
          </cell>
          <cell r="B63" t="str">
            <v>Комод City 3 ящика Дуб сонома/Белое тиснение</v>
          </cell>
          <cell r="C63" t="str">
            <v>Платонова</v>
          </cell>
          <cell r="D63" t="str">
            <v>КОМОДЫ</v>
          </cell>
          <cell r="E63" t="str">
            <v>FBO</v>
          </cell>
          <cell r="F63" t="str">
            <v>Комод City 3 ящика 700х675х354</v>
          </cell>
          <cell r="G63" t="str">
            <v>дуб сонома/белое тиснение</v>
          </cell>
          <cell r="H63" t="str">
            <v>2521897953050</v>
          </cell>
          <cell r="I63" t="str">
            <v>Вакансия</v>
          </cell>
        </row>
        <row r="64">
          <cell r="A64">
            <v>2947</v>
          </cell>
          <cell r="B64" t="str">
            <v>Комод Jazz 3 ящика Дуб сонома 600х733х354</v>
          </cell>
          <cell r="C64" t="str">
            <v>Вакансия</v>
          </cell>
          <cell r="D64" t="str">
            <v>КОМОДЫ</v>
          </cell>
          <cell r="E64" t="str">
            <v>FBO</v>
          </cell>
          <cell r="G64" t="str">
            <v>Дуб сонома</v>
          </cell>
          <cell r="H64" t="str">
            <v>2520000002121</v>
          </cell>
          <cell r="I64" t="str">
            <v>Вакансия</v>
          </cell>
        </row>
        <row r="65">
          <cell r="A65">
            <v>2919</v>
          </cell>
          <cell r="B65" t="str">
            <v>Комод Praga 3 ящика Белое тиснение 800х732х450</v>
          </cell>
          <cell r="C65" t="str">
            <v>Вакансия</v>
          </cell>
          <cell r="D65" t="str">
            <v>КОМОДЫ</v>
          </cell>
          <cell r="E65" t="str">
            <v xml:space="preserve">СКГТ </v>
          </cell>
          <cell r="G65" t="str">
            <v>Белое тиснение</v>
          </cell>
          <cell r="H65" t="str">
            <v>2520000001537</v>
          </cell>
          <cell r="I65" t="str">
            <v>Вакансия</v>
          </cell>
        </row>
        <row r="66">
          <cell r="A66">
            <v>2920</v>
          </cell>
          <cell r="B66" t="str">
            <v>Комод Praga 3 ящика Дуб сонома/Белое тиснение 800х732х450</v>
          </cell>
          <cell r="C66" t="str">
            <v>Вакансия</v>
          </cell>
          <cell r="D66" t="str">
            <v>КОМОДЫ</v>
          </cell>
          <cell r="E66" t="str">
            <v>СКГТ (ОЗОН)</v>
          </cell>
          <cell r="G66" t="str">
            <v>дуб сонома/белое тиснение</v>
          </cell>
          <cell r="H66" t="str">
            <v>2520000001539</v>
          </cell>
          <cell r="I66" t="str">
            <v>Вакансия</v>
          </cell>
        </row>
        <row r="67">
          <cell r="A67">
            <v>2921</v>
          </cell>
          <cell r="B67" t="str">
            <v>Комод Praga 3 ящика Пельтро/Орех лион 800х732х450</v>
          </cell>
          <cell r="C67" t="str">
            <v>Вакансия</v>
          </cell>
          <cell r="D67" t="str">
            <v>КОМОДЫ</v>
          </cell>
          <cell r="E67" t="str">
            <v>СКГТ</v>
          </cell>
          <cell r="G67" t="str">
            <v>комбин</v>
          </cell>
          <cell r="H67" t="str">
            <v>2520000002053</v>
          </cell>
          <cell r="I67" t="str">
            <v>Вакансия</v>
          </cell>
        </row>
        <row r="68">
          <cell r="A68">
            <v>3042</v>
          </cell>
          <cell r="B68" t="str">
            <v>Комод Praga 4 ящика Белое тиснение 800х956х454</v>
          </cell>
          <cell r="C68" t="str">
            <v>Вакансия</v>
          </cell>
          <cell r="D68" t="str">
            <v>КОМОДЫ</v>
          </cell>
          <cell r="E68" t="str">
            <v xml:space="preserve">СКГТ </v>
          </cell>
          <cell r="G68" t="str">
            <v>Белое тиснение</v>
          </cell>
          <cell r="H68" t="str">
            <v>2520897922366</v>
          </cell>
          <cell r="I68" t="str">
            <v>Вакансия</v>
          </cell>
        </row>
        <row r="69">
          <cell r="A69">
            <v>3043</v>
          </cell>
          <cell r="B69" t="str">
            <v>Комод Praga 4 ящика Венге 800х956х454</v>
          </cell>
          <cell r="C69" t="str">
            <v>Вакансия</v>
          </cell>
          <cell r="D69" t="str">
            <v>КОМОДЫ</v>
          </cell>
          <cell r="E69" t="str">
            <v>СКГТ (ОЗОН)</v>
          </cell>
          <cell r="G69" t="str">
            <v>Венге</v>
          </cell>
          <cell r="H69" t="str">
            <v>2520000002117</v>
          </cell>
          <cell r="I69" t="str">
            <v>Вакансия</v>
          </cell>
        </row>
        <row r="70">
          <cell r="A70">
            <v>3044</v>
          </cell>
          <cell r="B70" t="str">
            <v>Комод Praga 4 ящика Дуб сонома 800х956х454</v>
          </cell>
          <cell r="C70" t="str">
            <v>Вакансия</v>
          </cell>
          <cell r="D70" t="str">
            <v>КОМОДЫ</v>
          </cell>
          <cell r="E70" t="str">
            <v xml:space="preserve">СКГТ </v>
          </cell>
          <cell r="G70" t="str">
            <v>Дуб сонома</v>
          </cell>
          <cell r="H70" t="str">
            <v>2520897922367</v>
          </cell>
          <cell r="I70" t="str">
            <v>Вакансия</v>
          </cell>
        </row>
        <row r="71">
          <cell r="A71">
            <v>4303376</v>
          </cell>
          <cell r="B71" t="str">
            <v>Комод Вернисаж 3 ящика</v>
          </cell>
          <cell r="C71" t="str">
            <v>Вакансия</v>
          </cell>
          <cell r="D71" t="str">
            <v>КОМОДЫ</v>
          </cell>
          <cell r="E71" t="str">
            <v xml:space="preserve">СКГТ </v>
          </cell>
          <cell r="G71">
            <v>0</v>
          </cell>
          <cell r="H71" t="str">
            <v>2520897927263</v>
          </cell>
          <cell r="I71" t="str">
            <v>Вакансия</v>
          </cell>
        </row>
        <row r="72">
          <cell r="A72">
            <v>4160</v>
          </cell>
          <cell r="B72" t="str">
            <v>Комод Телави Дуб Крафт Белый 672х756х346</v>
          </cell>
          <cell r="C72" t="str">
            <v>Ратникова</v>
          </cell>
          <cell r="D72" t="str">
            <v>КОМОДЫ</v>
          </cell>
          <cell r="E72" t="str">
            <v>FBO</v>
          </cell>
          <cell r="F72" t="str">
            <v>Комод Телави 672х756х346</v>
          </cell>
          <cell r="G72" t="str">
            <v>Дуб Крафт Белый</v>
          </cell>
          <cell r="H72" t="str">
            <v>2521897953062</v>
          </cell>
          <cell r="I72" t="str">
            <v>Вакансия</v>
          </cell>
        </row>
        <row r="73">
          <cell r="A73">
            <v>2699</v>
          </cell>
          <cell r="B73" t="str">
            <v>Комод Мальта 3 ящика Белое тиснение 690х733х354</v>
          </cell>
          <cell r="C73" t="str">
            <v>Вакансия</v>
          </cell>
          <cell r="D73" t="str">
            <v>КОМОДЫ</v>
          </cell>
          <cell r="E73" t="str">
            <v>FBO</v>
          </cell>
          <cell r="G73" t="str">
            <v>Белое тиснение</v>
          </cell>
          <cell r="H73" t="str">
            <v>2520000000459</v>
          </cell>
          <cell r="I73" t="str">
            <v>Вакансия</v>
          </cell>
        </row>
        <row r="74">
          <cell r="A74">
            <v>3063</v>
          </cell>
          <cell r="B74" t="str">
            <v>Стеллаж Quattro 4 секции Дуб сонома 362х1396х280</v>
          </cell>
          <cell r="C74" t="str">
            <v>Зимакова</v>
          </cell>
          <cell r="D74" t="str">
            <v>СТЕЛЛАЖИ</v>
          </cell>
          <cell r="E74" t="str">
            <v>FBO</v>
          </cell>
          <cell r="F74" t="str">
            <v>Стеллаж Quattro 4 секции  362х1396х280</v>
          </cell>
          <cell r="G74" t="str">
            <v>Дуб сонома</v>
          </cell>
          <cell r="H74" t="str">
            <v>2521897952390</v>
          </cell>
          <cell r="I74" t="str">
            <v>Вакансия</v>
          </cell>
        </row>
        <row r="75">
          <cell r="A75">
            <v>2911</v>
          </cell>
          <cell r="B75" t="str">
            <v>Комод Ультра 2 ящика Белое тиснение 616х426х298</v>
          </cell>
          <cell r="C75" t="str">
            <v>Ратникова</v>
          </cell>
          <cell r="D75" t="str">
            <v>КОМОДЫ</v>
          </cell>
          <cell r="E75" t="str">
            <v>FBS</v>
          </cell>
          <cell r="F75" t="str">
            <v>Комод Ультра 2 ящика 616х426х298</v>
          </cell>
          <cell r="G75" t="str">
            <v>Белое тиснение</v>
          </cell>
          <cell r="H75" t="str">
            <v>2520000000480</v>
          </cell>
          <cell r="I75" t="str">
            <v>Вакансия</v>
          </cell>
        </row>
        <row r="76">
          <cell r="A76">
            <v>2912</v>
          </cell>
          <cell r="B76" t="str">
            <v>Комод Ультра 2 ящика Венге 616х426х298</v>
          </cell>
          <cell r="C76" t="str">
            <v>Вакансия</v>
          </cell>
          <cell r="D76" t="str">
            <v>КОМОДЫ</v>
          </cell>
          <cell r="E76" t="str">
            <v>FBS</v>
          </cell>
          <cell r="G76" t="str">
            <v>Венге</v>
          </cell>
          <cell r="H76" t="str">
            <v>2520000000497</v>
          </cell>
          <cell r="I76" t="str">
            <v>Вакансия</v>
          </cell>
        </row>
        <row r="77">
          <cell r="A77">
            <v>2913</v>
          </cell>
          <cell r="B77" t="str">
            <v>Комод Ультра 2 ящика Дуб сонома 616х426х298</v>
          </cell>
          <cell r="C77" t="str">
            <v>Ратникова</v>
          </cell>
          <cell r="D77" t="str">
            <v>КОМОДЫ</v>
          </cell>
          <cell r="E77" t="str">
            <v>FBS</v>
          </cell>
          <cell r="F77" t="str">
            <v>Комод Ультра 2 ящика 616х426х298</v>
          </cell>
          <cell r="G77" t="str">
            <v>Дуб сонома</v>
          </cell>
          <cell r="H77" t="str">
            <v>2520000000503</v>
          </cell>
          <cell r="I77" t="str">
            <v>Вакансия</v>
          </cell>
        </row>
        <row r="78">
          <cell r="A78">
            <v>2998</v>
          </cell>
          <cell r="B78" t="str">
            <v>Комод Lite 5 ящиков Венге  350х890х354</v>
          </cell>
          <cell r="C78" t="str">
            <v>Вакансия</v>
          </cell>
          <cell r="D78" t="str">
            <v>КОМОДЫ</v>
          </cell>
          <cell r="E78" t="str">
            <v>FBS</v>
          </cell>
          <cell r="G78" t="str">
            <v>Венге</v>
          </cell>
          <cell r="H78" t="str">
            <v>2520897927304</v>
          </cell>
          <cell r="I78" t="str">
            <v>Вакансия</v>
          </cell>
        </row>
        <row r="79">
          <cell r="A79">
            <v>3119</v>
          </cell>
          <cell r="B79" t="str">
            <v>Комод Loft 2х дверный Белое тиснение 760х780х354</v>
          </cell>
          <cell r="C79" t="str">
            <v>Вакансия</v>
          </cell>
          <cell r="D79" t="str">
            <v>КОМОДЫ</v>
          </cell>
          <cell r="E79" t="str">
            <v>FBS</v>
          </cell>
          <cell r="G79" t="str">
            <v>Белое тиснение</v>
          </cell>
          <cell r="H79" t="str">
            <v>2521897952393</v>
          </cell>
          <cell r="I79" t="str">
            <v>Вакансия</v>
          </cell>
        </row>
        <row r="80">
          <cell r="A80">
            <v>3125</v>
          </cell>
          <cell r="B80" t="str">
            <v>Комод Ultra Lite 3 ящика Белое тиснение 698х637х354</v>
          </cell>
          <cell r="C80" t="str">
            <v>Вакансия</v>
          </cell>
          <cell r="D80" t="str">
            <v>КОМОДЫ</v>
          </cell>
          <cell r="E80" t="str">
            <v>FBO</v>
          </cell>
          <cell r="G80" t="str">
            <v>Белое тиснение</v>
          </cell>
          <cell r="H80">
            <v>0</v>
          </cell>
          <cell r="I80" t="str">
            <v>Вакансия</v>
          </cell>
        </row>
        <row r="81">
          <cell r="A81">
            <v>13203</v>
          </cell>
          <cell r="B81" t="str">
            <v>Комод тумба офисная Praga 6 Крафт белый</v>
          </cell>
          <cell r="C81" t="str">
            <v>Ратникова</v>
          </cell>
          <cell r="D81" t="str">
            <v>КОМОДЫ</v>
          </cell>
          <cell r="E81" t="str">
            <v>FBS</v>
          </cell>
          <cell r="F81" t="str">
            <v xml:space="preserve">Комод тумба офисная Praga 6 </v>
          </cell>
          <cell r="G81" t="str">
            <v>дуб крафт белый</v>
          </cell>
          <cell r="H81" t="str">
            <v>2521897953091</v>
          </cell>
          <cell r="I81" t="str">
            <v>Вакансия</v>
          </cell>
        </row>
        <row r="82">
          <cell r="A82">
            <v>235531</v>
          </cell>
          <cell r="B82" t="str">
            <v>Комод Ультра (0,778х0,794х0,325) БЕЛЫЙ ТЕКСТУРА</v>
          </cell>
          <cell r="C82" t="str">
            <v>Вакансия</v>
          </cell>
          <cell r="D82" t="str">
            <v>КОМОДЫ</v>
          </cell>
          <cell r="E82" t="str">
            <v>FBS</v>
          </cell>
          <cell r="G82" t="str">
            <v>Белое тиснение</v>
          </cell>
          <cell r="H82" t="str">
            <v>2521897952831</v>
          </cell>
          <cell r="I82" t="str">
            <v>Вакансия</v>
          </cell>
        </row>
        <row r="83">
          <cell r="A83">
            <v>235533</v>
          </cell>
          <cell r="B83" t="str">
            <v>Комод Ультра (0,778х0,794х0,325) ВЕНГЕ</v>
          </cell>
          <cell r="C83" t="str">
            <v>Вакансия</v>
          </cell>
          <cell r="D83" t="str">
            <v>КОМОДЫ</v>
          </cell>
          <cell r="E83" t="str">
            <v>FBS</v>
          </cell>
          <cell r="G83" t="str">
            <v>Венге</v>
          </cell>
          <cell r="H83" t="str">
            <v>2521897952833</v>
          </cell>
          <cell r="I83" t="str">
            <v>Вакансия</v>
          </cell>
        </row>
        <row r="84">
          <cell r="A84">
            <v>235534</v>
          </cell>
          <cell r="B84" t="str">
            <v>Комод Ультра (0,778х0,794х0,325) ВЕНГЕ/ДУБ БЕЛФОРД</v>
          </cell>
          <cell r="C84" t="str">
            <v>Вакансия</v>
          </cell>
          <cell r="D84" t="str">
            <v>КОМОДЫ</v>
          </cell>
          <cell r="E84" t="str">
            <v>FBS</v>
          </cell>
          <cell r="G84" t="str">
            <v>комбин</v>
          </cell>
          <cell r="H84" t="str">
            <v>2521897952834</v>
          </cell>
          <cell r="I84" t="str">
            <v>Вакансия</v>
          </cell>
        </row>
        <row r="85">
          <cell r="A85">
            <v>235535</v>
          </cell>
          <cell r="B85" t="str">
            <v>Комод Ультра (0,778х0,794х0,325)  БЕЛОЕ ТИСНЕНИЕ/ДУБ СОНОМА</v>
          </cell>
          <cell r="C85" t="str">
            <v>Вакансия</v>
          </cell>
          <cell r="D85" t="str">
            <v>КОМОДЫ</v>
          </cell>
          <cell r="E85" t="str">
            <v>FBS</v>
          </cell>
          <cell r="G85" t="str">
            <v>дуб сонома/белое тиснение</v>
          </cell>
          <cell r="H85" t="str">
            <v>2521897952835</v>
          </cell>
          <cell r="I85" t="str">
            <v>Вакансия</v>
          </cell>
        </row>
        <row r="86">
          <cell r="A86">
            <v>2606</v>
          </cell>
          <cell r="B86" t="str">
            <v>Шкаф-комод Мальта Дуб сонома/Белое гладкое 468х984х304</v>
          </cell>
          <cell r="C86" t="str">
            <v>Вакансия</v>
          </cell>
          <cell r="D86" t="str">
            <v>КОМОДЫ</v>
          </cell>
          <cell r="E86" t="str">
            <v>FBS</v>
          </cell>
          <cell r="G86" t="str">
            <v>дуб сонома/белая гладкая</v>
          </cell>
          <cell r="H86" t="str">
            <v>2520000000541</v>
          </cell>
          <cell r="I86" t="str">
            <v>Вакансия</v>
          </cell>
        </row>
        <row r="87">
          <cell r="A87" t="str">
            <v>MK1460101</v>
          </cell>
          <cell r="B87" t="str">
            <v>Стеллаж тумба Trust Plus ЛДСП Дуб Вотан, Черн. металл. 1100х780(h)х300</v>
          </cell>
          <cell r="C87" t="str">
            <v>Зимакова</v>
          </cell>
          <cell r="D87" t="str">
            <v>СТЕЛЛАЖИ</v>
          </cell>
          <cell r="E87" t="str">
            <v>FBS</v>
          </cell>
          <cell r="F87" t="str">
            <v>Стеллаж тумба Trust Plus  1100х780(h)х300</v>
          </cell>
          <cell r="G87" t="str">
            <v>ЛДСП Дуб Вотан, Черн. металл.</v>
          </cell>
          <cell r="H87" t="str">
            <v>2521897952758</v>
          </cell>
          <cell r="I87" t="str">
            <v>Вакансия</v>
          </cell>
        </row>
        <row r="88">
          <cell r="A88">
            <v>2901</v>
          </cell>
          <cell r="B88" t="str">
            <v>Шкаф-комод Ультра 2-х дверный Венге 602х701х304</v>
          </cell>
          <cell r="C88" t="str">
            <v>Ратникова</v>
          </cell>
          <cell r="D88" t="str">
            <v>КОМОДЫ</v>
          </cell>
          <cell r="E88" t="str">
            <v>FBO</v>
          </cell>
          <cell r="F88" t="str">
            <v>Шкаф-комод Ультра 2-х дверный 602х701х304</v>
          </cell>
          <cell r="G88" t="str">
            <v>Венге</v>
          </cell>
          <cell r="H88" t="str">
            <v>2520000000565</v>
          </cell>
          <cell r="I88" t="str">
            <v>Вакансия</v>
          </cell>
        </row>
        <row r="89">
          <cell r="A89">
            <v>2917</v>
          </cell>
          <cell r="B89" t="str">
            <v>Шкаф-комод Лофт Дуб сонома/Белое гладкое 800х819х350</v>
          </cell>
          <cell r="C89" t="str">
            <v>Вакансия</v>
          </cell>
          <cell r="D89" t="str">
            <v>КОМОДЫ</v>
          </cell>
          <cell r="E89" t="str">
            <v xml:space="preserve">СКГТ </v>
          </cell>
          <cell r="G89" t="str">
            <v>дуб сонома/белая гладкая</v>
          </cell>
          <cell r="H89" t="str">
            <v>2520000000527</v>
          </cell>
          <cell r="I89" t="str">
            <v>Вакансия</v>
          </cell>
        </row>
        <row r="90">
          <cell r="A90">
            <v>739</v>
          </cell>
          <cell r="B90" t="str">
            <v>Коробка-куб шокол./беж. 27х27х27</v>
          </cell>
          <cell r="C90" t="str">
            <v>Вакансия</v>
          </cell>
          <cell r="D90" t="str">
            <v>КОРОБКА</v>
          </cell>
          <cell r="E90" t="str">
            <v>FBO</v>
          </cell>
          <cell r="G90">
            <v>0</v>
          </cell>
          <cell r="H90" t="str">
            <v>2520000006121</v>
          </cell>
          <cell r="I90" t="str">
            <v>Вакансия</v>
          </cell>
        </row>
        <row r="91">
          <cell r="A91">
            <v>3132</v>
          </cell>
          <cell r="B91" t="str">
            <v>Шкаф-комод Loft с ящиком Дуб сонома/Белое гладкое 600х819х354</v>
          </cell>
          <cell r="C91" t="str">
            <v>Вакансия</v>
          </cell>
          <cell r="D91" t="str">
            <v>КОМОДЫ</v>
          </cell>
          <cell r="E91" t="str">
            <v>FBS</v>
          </cell>
          <cell r="G91" t="str">
            <v>дуб сонома/белая гладкая</v>
          </cell>
          <cell r="H91" t="str">
            <v>2520000000140</v>
          </cell>
          <cell r="I91" t="str">
            <v>Вакансия</v>
          </cell>
        </row>
        <row r="92">
          <cell r="A92">
            <v>139</v>
          </cell>
          <cell r="B92" t="str">
            <v>Коробка-куб белый 27х27х27</v>
          </cell>
          <cell r="C92" t="str">
            <v>Зимакова</v>
          </cell>
          <cell r="D92" t="str">
            <v>КОРОБКА</v>
          </cell>
          <cell r="E92" t="str">
            <v>FBO</v>
          </cell>
          <cell r="F92" t="str">
            <v>Коробка куб</v>
          </cell>
          <cell r="G92" t="str">
            <v>Белый</v>
          </cell>
          <cell r="H92">
            <v>0</v>
          </cell>
          <cell r="I92" t="str">
            <v>Вакансия</v>
          </cell>
        </row>
        <row r="93">
          <cell r="A93" t="str">
            <v>ПШ13604</v>
          </cell>
          <cell r="B93" t="str">
            <v>Органайзер ткань Capri №13 Стеллажа горки Trust 280х280(h)х320</v>
          </cell>
          <cell r="C93" t="str">
            <v>Вакансия</v>
          </cell>
          <cell r="D93" t="str">
            <v>ОРГАНАЙЗЕР</v>
          </cell>
          <cell r="E93" t="str">
            <v>FBS</v>
          </cell>
          <cell r="G93" t="str">
            <v>ткань</v>
          </cell>
          <cell r="H93" t="str">
            <v>2521897952892</v>
          </cell>
          <cell r="I93" t="str">
            <v>Вакансия</v>
          </cell>
        </row>
        <row r="94">
          <cell r="A94" t="str">
            <v>ПШ14202</v>
          </cell>
          <cell r="B94" t="str">
            <v>Органайзер ткань Capri №22 Комод Capri 6 ящ 360х190(h)х280</v>
          </cell>
          <cell r="C94" t="str">
            <v>Вакансия</v>
          </cell>
          <cell r="D94" t="str">
            <v>ОРГАНАЙЗЕР</v>
          </cell>
          <cell r="E94" t="str">
            <v>FBS</v>
          </cell>
          <cell r="G94" t="str">
            <v>ткань</v>
          </cell>
          <cell r="H94" t="str">
            <v>2521897952891</v>
          </cell>
          <cell r="I94" t="str">
            <v>Вакансия</v>
          </cell>
        </row>
        <row r="95">
          <cell r="A95">
            <v>3151</v>
          </cell>
          <cell r="B95" t="str">
            <v>Комод Stile c полками Белое тиснение</v>
          </cell>
          <cell r="C95" t="str">
            <v>Вакансия</v>
          </cell>
          <cell r="D95" t="str">
            <v>КОМОДЫ</v>
          </cell>
          <cell r="E95" t="str">
            <v>FBO</v>
          </cell>
          <cell r="G95" t="str">
            <v>Белое тиснение</v>
          </cell>
          <cell r="H95" t="str">
            <v>2521897952451</v>
          </cell>
          <cell r="I95" t="str">
            <v>Вакансия</v>
          </cell>
        </row>
        <row r="96">
          <cell r="A96">
            <v>3107</v>
          </cell>
          <cell r="B96" t="str">
            <v>Комод Twist Белое тиснение 800х916х304</v>
          </cell>
          <cell r="C96" t="str">
            <v>Вакансия</v>
          </cell>
          <cell r="D96" t="str">
            <v>КОМОДЫ</v>
          </cell>
          <cell r="E96" t="str">
            <v>FBS</v>
          </cell>
          <cell r="G96" t="str">
            <v>Белое тиснение</v>
          </cell>
          <cell r="H96" t="str">
            <v>2521897952453</v>
          </cell>
          <cell r="I96" t="str">
            <v>Вакансия</v>
          </cell>
        </row>
        <row r="97">
          <cell r="A97">
            <v>3164</v>
          </cell>
          <cell r="B97" t="str">
            <v>Шкаф комод Quattro Дуб Вотан/Антрацит 770х770х354</v>
          </cell>
          <cell r="C97" t="str">
            <v>Вакансия</v>
          </cell>
          <cell r="D97" t="str">
            <v>КОМОДЫ</v>
          </cell>
          <cell r="E97" t="str">
            <v>СКГТ (ОЗОН)</v>
          </cell>
          <cell r="G97" t="str">
            <v>комбин</v>
          </cell>
          <cell r="H97" t="str">
            <v>2521897952494</v>
          </cell>
          <cell r="I97" t="str">
            <v>Вакансия</v>
          </cell>
        </row>
        <row r="98">
          <cell r="A98">
            <v>3170</v>
          </cell>
          <cell r="B98" t="str">
            <v>Шкаф комод Quattro Белое тиснение/Антрацит 770х770х354</v>
          </cell>
          <cell r="C98" t="str">
            <v>Вакансия</v>
          </cell>
          <cell r="D98" t="str">
            <v>КОМОДЫ</v>
          </cell>
          <cell r="E98" t="str">
            <v>СКГТ (ОЗОН)</v>
          </cell>
          <cell r="G98" t="str">
            <v>комбин</v>
          </cell>
          <cell r="H98" t="str">
            <v>2521897952495</v>
          </cell>
          <cell r="I98" t="str">
            <v>Вакансия</v>
          </cell>
        </row>
        <row r="99">
          <cell r="A99">
            <v>3175</v>
          </cell>
          <cell r="B99" t="str">
            <v>Комод Blues 2х дверн. с ящ. Дуб Вотан/Белое тиснен. 850х795х320</v>
          </cell>
          <cell r="C99" t="str">
            <v>Вакансия</v>
          </cell>
          <cell r="D99" t="str">
            <v>КОМОДЫ</v>
          </cell>
          <cell r="E99" t="str">
            <v>FBS</v>
          </cell>
          <cell r="F99" t="str">
            <v>Комод Blues 2х   дверн. с ящ.</v>
          </cell>
          <cell r="G99" t="str">
            <v>Дуб Вотан/Белое тиснение</v>
          </cell>
          <cell r="H99" t="str">
            <v>2521897952498</v>
          </cell>
          <cell r="I99" t="str">
            <v>Вакансия</v>
          </cell>
        </row>
        <row r="100">
          <cell r="A100">
            <v>3176</v>
          </cell>
          <cell r="B100" t="str">
            <v>Комод Blues 1-o дверн. С ящ. и полками Дуб Вотан/Белое тиснен. 586х795х320</v>
          </cell>
          <cell r="C100" t="str">
            <v>Вакансия</v>
          </cell>
          <cell r="D100" t="str">
            <v>КОМОДЫ</v>
          </cell>
          <cell r="E100" t="str">
            <v>FBO</v>
          </cell>
          <cell r="F100" t="str">
            <v>Комод Blues 1-о дверн. с ящ. и полками</v>
          </cell>
          <cell r="G100" t="str">
            <v>Дуб Вотан/Белое тиснение</v>
          </cell>
          <cell r="H100" t="str">
            <v>2521897952496</v>
          </cell>
          <cell r="I100" t="str">
            <v>Вакансия</v>
          </cell>
        </row>
        <row r="101">
          <cell r="A101" t="str">
            <v>М0768</v>
          </cell>
          <cell r="B101" t="str">
            <v>Кресло-кровать Найс Компакт Ткань VIVALDI 05 780x820x900</v>
          </cell>
          <cell r="C101" t="str">
            <v>Вакансия</v>
          </cell>
          <cell r="D101" t="str">
            <v>КРЕСЛО-КРОВАТЬ</v>
          </cell>
          <cell r="E101" t="str">
            <v xml:space="preserve">СКГТ </v>
          </cell>
          <cell r="G101" t="str">
            <v>ткань</v>
          </cell>
          <cell r="H101" t="str">
            <v>2521897952627</v>
          </cell>
          <cell r="I101" t="str">
            <v>Вакансия</v>
          </cell>
        </row>
        <row r="102">
          <cell r="A102">
            <v>3203</v>
          </cell>
          <cell r="B102" t="str">
            <v>Комод Ultra 1-о дверн. С ящ. Белое тиснение 400х763х354</v>
          </cell>
          <cell r="C102" t="str">
            <v>Вакансия</v>
          </cell>
          <cell r="D102" t="str">
            <v>КОМОДЫ</v>
          </cell>
          <cell r="E102" t="str">
            <v>FBO</v>
          </cell>
          <cell r="G102" t="str">
            <v>Белое тиснение</v>
          </cell>
          <cell r="H102" t="str">
            <v>2521897952468</v>
          </cell>
          <cell r="I102" t="str">
            <v>Вакансия</v>
          </cell>
        </row>
        <row r="103">
          <cell r="A103" t="str">
            <v>М0131</v>
          </cell>
          <cell r="B103" t="str">
            <v xml:space="preserve">Кресло-мешок Груша Медиум велюр Газета Милк </v>
          </cell>
          <cell r="C103" t="str">
            <v>Вакансия</v>
          </cell>
          <cell r="D103" t="str">
            <v>КРЕСЛО-МЕШОК</v>
          </cell>
          <cell r="E103" t="str">
            <v xml:space="preserve">СКГТ </v>
          </cell>
          <cell r="G103" t="str">
            <v>Велюр</v>
          </cell>
          <cell r="H103">
            <v>0</v>
          </cell>
          <cell r="I103" t="str">
            <v>Вакансия</v>
          </cell>
        </row>
        <row r="104">
          <cell r="A104">
            <v>3296</v>
          </cell>
          <cell r="B104" t="str">
            <v>Комод Neoletta 4 ящика Белое тиснен./Дуб Вотан 650х944(h)х354</v>
          </cell>
          <cell r="C104" t="str">
            <v>Вакансия</v>
          </cell>
          <cell r="D104" t="str">
            <v>КОМОДЫ</v>
          </cell>
          <cell r="E104" t="str">
            <v>СКГТ (ОЗОН)</v>
          </cell>
          <cell r="G104" t="str">
            <v>комбин</v>
          </cell>
          <cell r="H104" t="str">
            <v>2521897952588</v>
          </cell>
          <cell r="I104" t="str">
            <v>Вакансия</v>
          </cell>
        </row>
        <row r="105">
          <cell r="A105">
            <v>3388</v>
          </cell>
          <cell r="B105" t="str">
            <v>Комод Neoletta комбинированный Белое тиснен./Дуб Вотан 650х944(h)х354</v>
          </cell>
          <cell r="C105" t="str">
            <v>Вакансия</v>
          </cell>
          <cell r="D105" t="str">
            <v>КОМОДЫ</v>
          </cell>
          <cell r="E105" t="str">
            <v>FBS</v>
          </cell>
          <cell r="G105" t="str">
            <v>комбин</v>
          </cell>
          <cell r="H105" t="str">
            <v>2521897952589</v>
          </cell>
          <cell r="I105" t="str">
            <v>Вакансия</v>
          </cell>
        </row>
        <row r="106">
          <cell r="A106">
            <v>3389</v>
          </cell>
          <cell r="B106" t="str">
            <v>Шкаф комод Neoletta 2х дверный Белое тисн./Дуб Вотан  650х944(h)х354</v>
          </cell>
          <cell r="C106" t="str">
            <v>Вакансия</v>
          </cell>
          <cell r="D106" t="str">
            <v>КОМОДЫ</v>
          </cell>
          <cell r="E106" t="str">
            <v>FBS</v>
          </cell>
          <cell r="G106" t="str">
            <v>комбин</v>
          </cell>
          <cell r="H106" t="str">
            <v>2521897952592</v>
          </cell>
          <cell r="I106" t="str">
            <v>Вакансия</v>
          </cell>
        </row>
        <row r="107">
          <cell r="A107" t="str">
            <v>MK00033</v>
          </cell>
          <cell r="B107" t="str">
            <v>Шкаф комод Frame ЛДСП Белое тиснен., Черный металл 700х910х300</v>
          </cell>
          <cell r="C107" t="str">
            <v>Ратникова</v>
          </cell>
          <cell r="D107" t="str">
            <v>КОМОДЫ</v>
          </cell>
          <cell r="E107" t="str">
            <v>FBS</v>
          </cell>
          <cell r="F107" t="str">
            <v>Шкаф комод Frame 700х910(h)х300</v>
          </cell>
          <cell r="G107" t="str">
            <v xml:space="preserve">ЛДСП Белое тиснение, Черн. металл. </v>
          </cell>
          <cell r="H107" t="str">
            <v>2521897952574</v>
          </cell>
          <cell r="I107" t="str">
            <v>Вакансия</v>
          </cell>
        </row>
        <row r="108">
          <cell r="A108">
            <v>140004</v>
          </cell>
          <cell r="B108" t="str">
            <v>Комод Ультра Плюс 5 ящиков  Белое тиснение</v>
          </cell>
          <cell r="C108" t="str">
            <v>Вакансия</v>
          </cell>
          <cell r="D108" t="str">
            <v>КОМОДЫ</v>
          </cell>
          <cell r="E108" t="str">
            <v>FBS</v>
          </cell>
          <cell r="G108" t="str">
            <v>Белое тиснение</v>
          </cell>
          <cell r="H108" t="str">
            <v>2521897952596</v>
          </cell>
          <cell r="I108" t="str">
            <v>Вакансия</v>
          </cell>
        </row>
        <row r="109">
          <cell r="A109" t="str">
            <v>М0126</v>
          </cell>
          <cell r="B109" t="str">
            <v>Кресло-мешок Груша Мини ткань Savanna Plus Yellow</v>
          </cell>
          <cell r="C109" t="str">
            <v>Вакансия</v>
          </cell>
          <cell r="D109" t="str">
            <v>КРЕСЛО-МЕШОК</v>
          </cell>
          <cell r="E109" t="str">
            <v>FBS</v>
          </cell>
          <cell r="G109" t="str">
            <v>ткань</v>
          </cell>
          <cell r="H109">
            <v>0</v>
          </cell>
          <cell r="I109" t="str">
            <v>Вакансия</v>
          </cell>
        </row>
        <row r="110">
          <cell r="A110">
            <v>140006</v>
          </cell>
          <cell r="B110" t="str">
            <v>Комод Ультра Плюс 5 ящиков Дуб сонома</v>
          </cell>
          <cell r="C110" t="str">
            <v>Вакансия</v>
          </cell>
          <cell r="D110" t="str">
            <v>КОМОДЫ</v>
          </cell>
          <cell r="E110" t="str">
            <v>FBS</v>
          </cell>
          <cell r="G110" t="str">
            <v>Дуб сонома</v>
          </cell>
          <cell r="H110" t="str">
            <v>2521897952598</v>
          </cell>
          <cell r="I110" t="str">
            <v>Вакансия</v>
          </cell>
        </row>
        <row r="111">
          <cell r="A111">
            <v>4006</v>
          </cell>
          <cell r="B111" t="str">
            <v>Матрас ватный (Реген.волокно,усил набивка) 120х190</v>
          </cell>
          <cell r="C111" t="str">
            <v>Вакансия</v>
          </cell>
          <cell r="D111" t="str">
            <v>МАТРАСЫ</v>
          </cell>
          <cell r="E111" t="str">
            <v>FBS</v>
          </cell>
          <cell r="G111" t="str">
            <v>ткань</v>
          </cell>
          <cell r="H111" t="str">
            <v>2520897927268</v>
          </cell>
          <cell r="I111" t="str">
            <v>Вакансия</v>
          </cell>
        </row>
        <row r="112">
          <cell r="A112">
            <v>4005</v>
          </cell>
          <cell r="B112" t="str">
            <v>Матрас ватный (Реген.волокно,усил набивка) 80х190</v>
          </cell>
          <cell r="C112" t="str">
            <v>Вакансия</v>
          </cell>
          <cell r="D112" t="str">
            <v>МАТРАСЫ</v>
          </cell>
          <cell r="E112" t="str">
            <v>FBS</v>
          </cell>
          <cell r="G112">
            <v>0</v>
          </cell>
          <cell r="H112" t="str">
            <v>2520897927267</v>
          </cell>
          <cell r="I112" t="str">
            <v>Вакансия</v>
          </cell>
        </row>
        <row r="113">
          <cell r="A113">
            <v>140010</v>
          </cell>
          <cell r="B113" t="str">
            <v>Комод Praga Plus Дуб сонома/Белое тиснение</v>
          </cell>
          <cell r="C113" t="str">
            <v>Ратникова</v>
          </cell>
          <cell r="D113" t="str">
            <v>КОМОДЫ</v>
          </cell>
          <cell r="E113" t="str">
            <v>FBS</v>
          </cell>
          <cell r="F113" t="str">
            <v>Комод Praga Plus</v>
          </cell>
          <cell r="G113" t="str">
            <v>дуб сонома/белое тиснение</v>
          </cell>
          <cell r="H113" t="str">
            <v>2521897952623</v>
          </cell>
          <cell r="I113" t="str">
            <v>Вакансия</v>
          </cell>
        </row>
        <row r="114">
          <cell r="A114">
            <v>135536</v>
          </cell>
          <cell r="B114" t="str">
            <v>Комод Malta Plus Белое тиснение</v>
          </cell>
          <cell r="C114" t="str">
            <v>Вакансия</v>
          </cell>
          <cell r="D114" t="str">
            <v>КОМОДЫ</v>
          </cell>
          <cell r="E114" t="str">
            <v>СКГТ (ОЗОН)</v>
          </cell>
          <cell r="G114" t="str">
            <v>Белое тиснение</v>
          </cell>
          <cell r="H114">
            <v>0</v>
          </cell>
          <cell r="I114" t="str">
            <v>Вакансия</v>
          </cell>
        </row>
        <row r="115">
          <cell r="A115">
            <v>135537</v>
          </cell>
          <cell r="B115" t="str">
            <v>Комод Malta Plus Дуб сонома</v>
          </cell>
          <cell r="C115" t="str">
            <v>Вакансия</v>
          </cell>
          <cell r="D115" t="str">
            <v>КОМОДЫ</v>
          </cell>
          <cell r="E115" t="str">
            <v xml:space="preserve">СКГТ </v>
          </cell>
          <cell r="G115" t="str">
            <v>Дуб сонома</v>
          </cell>
          <cell r="H115">
            <v>0</v>
          </cell>
          <cell r="I115" t="str">
            <v>Вакансия</v>
          </cell>
        </row>
        <row r="116">
          <cell r="A116">
            <v>135538</v>
          </cell>
          <cell r="B116" t="str">
            <v>Комод Malta Plus Венге</v>
          </cell>
          <cell r="C116" t="str">
            <v>Вакансия</v>
          </cell>
          <cell r="D116" t="str">
            <v>КОМОДЫ</v>
          </cell>
          <cell r="E116" t="str">
            <v>СКГТ (ОЗОН)</v>
          </cell>
          <cell r="G116" t="str">
            <v>Венге</v>
          </cell>
          <cell r="H116">
            <v>0</v>
          </cell>
          <cell r="I116" t="str">
            <v>Вакансия</v>
          </cell>
        </row>
        <row r="117">
          <cell r="A117">
            <v>3548</v>
          </cell>
          <cell r="B117" t="str">
            <v>Комод City 5 ящиков Дуб золотой Крафт 400х1059х354</v>
          </cell>
          <cell r="C117" t="str">
            <v>Платонова</v>
          </cell>
          <cell r="D117" t="str">
            <v>КОМОДЫ</v>
          </cell>
          <cell r="E117" t="str">
            <v>FBS</v>
          </cell>
          <cell r="F117" t="str">
            <v>Комод City 5 ящиков 400х1059х354</v>
          </cell>
          <cell r="G117" t="str">
            <v>Дуб Крафт золотой</v>
          </cell>
          <cell r="H117" t="str">
            <v>2521897952709</v>
          </cell>
          <cell r="I117" t="str">
            <v>Вакансия</v>
          </cell>
        </row>
        <row r="118">
          <cell r="A118">
            <v>3549</v>
          </cell>
          <cell r="B118" t="str">
            <v>Комод City 5 ящиков Дуб белый Крафт 400х1059х354</v>
          </cell>
          <cell r="C118" t="str">
            <v>Платонова</v>
          </cell>
          <cell r="D118" t="str">
            <v>КОМОДЫ</v>
          </cell>
          <cell r="E118" t="str">
            <v>FBS</v>
          </cell>
          <cell r="F118" t="str">
            <v>Комод City 5 ящиков 400х1059х354</v>
          </cell>
          <cell r="G118" t="str">
            <v>дуб крафт белый</v>
          </cell>
          <cell r="H118" t="str">
            <v>2521897952710</v>
          </cell>
          <cell r="I118" t="str">
            <v>Вакансия</v>
          </cell>
        </row>
        <row r="119">
          <cell r="A119">
            <v>14050</v>
          </cell>
          <cell r="B119" t="str">
            <v>Матрас  "Комфорт Плюс" 140*200*15</v>
          </cell>
          <cell r="C119" t="str">
            <v>Кошкарева</v>
          </cell>
          <cell r="D119" t="str">
            <v>МАТРАСЫ</v>
          </cell>
          <cell r="E119" t="str">
            <v>FBO</v>
          </cell>
          <cell r="F119" t="str">
            <v>Матрас</v>
          </cell>
          <cell r="G119" t="str">
            <v>ткань</v>
          </cell>
          <cell r="H119" t="str">
            <v>2521897952986</v>
          </cell>
          <cell r="I119" t="str">
            <v>Вакансия</v>
          </cell>
        </row>
        <row r="120">
          <cell r="A120">
            <v>14701</v>
          </cell>
          <cell r="B120" t="str">
            <v>Матрац Холкон в съемном стеганном чехле на молнии 160*200*5</v>
          </cell>
          <cell r="C120" t="str">
            <v>Вакансия</v>
          </cell>
          <cell r="D120" t="str">
            <v>МАТРАСЫ</v>
          </cell>
          <cell r="E120" t="str">
            <v>FBS</v>
          </cell>
          <cell r="G120" t="str">
            <v>ткань</v>
          </cell>
          <cell r="H120" t="str">
            <v>2000897922230</v>
          </cell>
          <cell r="I120" t="str">
            <v>Вакансия</v>
          </cell>
        </row>
        <row r="121">
          <cell r="A121">
            <v>14052</v>
          </cell>
          <cell r="B121" t="str">
            <v>Матрас "Комфорт Плюс" 90*200*15</v>
          </cell>
          <cell r="C121" t="str">
            <v>Кошкарева</v>
          </cell>
          <cell r="D121" t="str">
            <v>МАТРАСЫ</v>
          </cell>
          <cell r="E121" t="str">
            <v>FBO</v>
          </cell>
          <cell r="F121" t="str">
            <v>Матрас</v>
          </cell>
          <cell r="G121" t="str">
            <v>ткань</v>
          </cell>
          <cell r="H121" t="str">
            <v>2521897952988</v>
          </cell>
          <cell r="I121" t="str">
            <v>Вакансия</v>
          </cell>
        </row>
        <row r="122">
          <cell r="A122">
            <v>14054</v>
          </cell>
          <cell r="B122" t="str">
            <v>Матрас "Комфорт" 160*200*18</v>
          </cell>
          <cell r="C122" t="str">
            <v>Кошкарева</v>
          </cell>
          <cell r="D122" t="str">
            <v>МАТРАСЫ</v>
          </cell>
          <cell r="E122" t="str">
            <v>FBO</v>
          </cell>
          <cell r="F122" t="str">
            <v>Матрас</v>
          </cell>
          <cell r="G122" t="str">
            <v>ткань</v>
          </cell>
          <cell r="H122" t="str">
            <v>2521897952990</v>
          </cell>
          <cell r="I122" t="str">
            <v>Вакансия</v>
          </cell>
        </row>
        <row r="123">
          <cell r="A123" t="str">
            <v>MK142010102</v>
          </cell>
          <cell r="B123" t="str">
            <v>Комод Capri 6 ящиков ЛДСП Дуб Вотан/Ткань Capri 22, Черн. металл. 800х736(h)х292</v>
          </cell>
          <cell r="C123" t="str">
            <v>Вакансия</v>
          </cell>
          <cell r="D123" t="str">
            <v>КОМОДЫ</v>
          </cell>
          <cell r="E123" t="str">
            <v>FBS</v>
          </cell>
          <cell r="G123" t="str">
            <v>ЛДСП Дуб Вотан, Черн. металл.</v>
          </cell>
          <cell r="H123" t="str">
            <v>2521897952756</v>
          </cell>
          <cell r="I123" t="str">
            <v>Вакансия</v>
          </cell>
        </row>
        <row r="124">
          <cell r="A124" t="str">
            <v>MK000330501</v>
          </cell>
          <cell r="B124" t="str">
            <v>Шкаф комод Frame ЛДСП Дуб Крафт золотой, Черный металл. 700х910(h)х300</v>
          </cell>
          <cell r="C124" t="str">
            <v>Ратникова</v>
          </cell>
          <cell r="D124" t="str">
            <v>КОМОДЫ</v>
          </cell>
          <cell r="E124" t="str">
            <v>FBS</v>
          </cell>
          <cell r="F124" t="str">
            <v>Шкаф комод Frame 700х910(h)х300</v>
          </cell>
          <cell r="G124" t="str">
            <v>ЛДСП Дуб Крафт золотой, Черн. металл.</v>
          </cell>
          <cell r="H124" t="str">
            <v>2521897952735</v>
          </cell>
          <cell r="I124" t="str">
            <v>Вакансия</v>
          </cell>
        </row>
        <row r="125">
          <cell r="A125" t="str">
            <v>MK000330601</v>
          </cell>
          <cell r="B125" t="str">
            <v>Шкаф комод Frame ЛДСП Дуб Крафт белый, Черный металл. 700х910(h)х300</v>
          </cell>
          <cell r="C125" t="str">
            <v>Ратникова</v>
          </cell>
          <cell r="D125" t="str">
            <v>КОМОДЫ</v>
          </cell>
          <cell r="E125" t="str">
            <v>FBS</v>
          </cell>
          <cell r="F125" t="str">
            <v>Шкаф комод Frame 700х910(h)х300</v>
          </cell>
          <cell r="G125" t="str">
            <v>ЛДСП Дуб Крафт белый, Черн. металл.</v>
          </cell>
          <cell r="H125" t="str">
            <v>2521897952736</v>
          </cell>
          <cell r="I125" t="str">
            <v>Вакансия</v>
          </cell>
        </row>
        <row r="126">
          <cell r="A126">
            <v>3452</v>
          </cell>
          <cell r="B126" t="str">
            <v>Комод стеллаж Neoletta 2х дверн. Белое тиснение/Дуб Вотан 650х996(h)х354</v>
          </cell>
          <cell r="C126" t="str">
            <v>Вакансия</v>
          </cell>
          <cell r="D126" t="str">
            <v>КОМОДЫ</v>
          </cell>
          <cell r="E126" t="str">
            <v>FBS</v>
          </cell>
          <cell r="G126" t="str">
            <v>Белое тиснение/Дуб Вотан</v>
          </cell>
          <cell r="H126" t="str">
            <v>2521897952678</v>
          </cell>
          <cell r="I126" t="str">
            <v>Вакансия</v>
          </cell>
        </row>
        <row r="127">
          <cell r="A127">
            <v>2478</v>
          </cell>
          <cell r="B127" t="str">
            <v>Пуф Николь Плюс Бодега темн/Экокожа Бежевый 640х470х370</v>
          </cell>
          <cell r="C127" t="str">
            <v>Вакансия</v>
          </cell>
          <cell r="D127" t="str">
            <v>ОБУВНИЦЫ</v>
          </cell>
          <cell r="E127" t="str">
            <v>FBO</v>
          </cell>
          <cell r="G127" t="str">
            <v>комбин</v>
          </cell>
          <cell r="H127">
            <v>0</v>
          </cell>
          <cell r="I127" t="str">
            <v>Вакансия</v>
          </cell>
        </row>
        <row r="128">
          <cell r="A128">
            <v>2566</v>
          </cell>
          <cell r="B128" t="str">
            <v>Обувница Ультра Белое тиснение 578х423х350</v>
          </cell>
          <cell r="C128" t="str">
            <v>Вакансия</v>
          </cell>
          <cell r="D128" t="str">
            <v>ОБУВНИЦЫ</v>
          </cell>
          <cell r="E128" t="str">
            <v>FBO</v>
          </cell>
          <cell r="G128" t="str">
            <v>Белое тиснение</v>
          </cell>
          <cell r="H128">
            <v>0</v>
          </cell>
          <cell r="I128" t="str">
            <v>Вакансия</v>
          </cell>
        </row>
        <row r="129">
          <cell r="A129">
            <v>2540</v>
          </cell>
          <cell r="B129" t="str">
            <v>Обувница Ультра Венге 578х423х350</v>
          </cell>
          <cell r="C129" t="str">
            <v>Вакансия</v>
          </cell>
          <cell r="D129" t="str">
            <v>ОБУВНИЦЫ</v>
          </cell>
          <cell r="E129" t="str">
            <v>FBO</v>
          </cell>
          <cell r="G129" t="str">
            <v>Венге</v>
          </cell>
          <cell r="H129">
            <v>0</v>
          </cell>
          <cell r="I129" t="str">
            <v>Вакансия</v>
          </cell>
        </row>
        <row r="130">
          <cell r="A130">
            <v>3062</v>
          </cell>
          <cell r="B130" t="str">
            <v>Стеллаж Quattro 4 секции Венге 362х1396х280</v>
          </cell>
          <cell r="C130" t="str">
            <v>Зимакова</v>
          </cell>
          <cell r="D130" t="str">
            <v>СТЕЛЛАЖИ</v>
          </cell>
          <cell r="E130" t="str">
            <v>FBO</v>
          </cell>
          <cell r="F130" t="str">
            <v>Стеллаж Quattro 4 секции  362х1396х280</v>
          </cell>
          <cell r="G130" t="str">
            <v>Венге</v>
          </cell>
          <cell r="H130" t="str">
            <v>2521897952401</v>
          </cell>
          <cell r="I130" t="str">
            <v>Вакансия</v>
          </cell>
        </row>
        <row r="131">
          <cell r="A131">
            <v>2492</v>
          </cell>
          <cell r="B131" t="str">
            <v>Стол дошкольника для творчества Белое тиснение 678х750х400</v>
          </cell>
          <cell r="C131" t="str">
            <v>Перепечаева</v>
          </cell>
          <cell r="D131" t="str">
            <v>СТОЛЫ</v>
          </cell>
          <cell r="E131" t="str">
            <v>FBO</v>
          </cell>
          <cell r="F131" t="str">
            <v>Стол дошкольника для творчества  678х750х400</v>
          </cell>
          <cell r="G131" t="str">
            <v>Белое тиснение</v>
          </cell>
          <cell r="H131" t="str">
            <v>2520000000954</v>
          </cell>
          <cell r="I131" t="str">
            <v>Вакансия</v>
          </cell>
        </row>
        <row r="132">
          <cell r="A132">
            <v>3626</v>
          </cell>
          <cell r="B132" t="str">
            <v>Обувница Ultra вертикальная 1 секция Дуб сонома/Белое тиснение 532х374х170</v>
          </cell>
          <cell r="C132" t="str">
            <v xml:space="preserve">Петрова </v>
          </cell>
          <cell r="D132" t="str">
            <v>ОБУВНИЦЫ</v>
          </cell>
          <cell r="E132" t="str">
            <v>FBO</v>
          </cell>
          <cell r="F132" t="str">
            <v>Обувница Ultra вертикальная 1 секция  532х374х170</v>
          </cell>
          <cell r="G132" t="str">
            <v>дуб сонома/белое тиснение</v>
          </cell>
          <cell r="H132" t="str">
            <v>2521897953069</v>
          </cell>
          <cell r="I132" t="str">
            <v>Вакансия</v>
          </cell>
        </row>
        <row r="133">
          <cell r="A133">
            <v>2926</v>
          </cell>
          <cell r="B133" t="str">
            <v>Обувница-стеллаж Ультра Венге  266х992х318</v>
          </cell>
          <cell r="C133" t="str">
            <v>Вакансия</v>
          </cell>
          <cell r="D133" t="str">
            <v>ОБУВНИЦЫ</v>
          </cell>
          <cell r="E133" t="str">
            <v>FBS</v>
          </cell>
          <cell r="G133" t="str">
            <v>Венге</v>
          </cell>
          <cell r="H133">
            <v>0</v>
          </cell>
          <cell r="I133" t="str">
            <v>Вакансия</v>
          </cell>
        </row>
        <row r="134">
          <cell r="A134">
            <v>2605</v>
          </cell>
          <cell r="B134" t="str">
            <v>Стеллаж с открытыми полками Ультра Дуб сонома 600х800х230</v>
          </cell>
          <cell r="C134" t="str">
            <v>Зимакова</v>
          </cell>
          <cell r="D134" t="str">
            <v>СТЕЛЛАЖИ</v>
          </cell>
          <cell r="E134" t="str">
            <v>FBO</v>
          </cell>
          <cell r="F134" t="str">
            <v>Стеллаж с открытыми полками Ультра 600х800х230</v>
          </cell>
          <cell r="G134" t="str">
            <v>Дуб сонома</v>
          </cell>
          <cell r="H134" t="str">
            <v>2520000000428</v>
          </cell>
          <cell r="I134" t="str">
            <v>Вакансия</v>
          </cell>
        </row>
        <row r="135">
          <cell r="A135">
            <v>2460</v>
          </cell>
          <cell r="B135" t="str">
            <v>Тумба для обуви Дуб сонома/Кожзам коричневый 1042х500х295</v>
          </cell>
          <cell r="C135" t="str">
            <v>Вакансия</v>
          </cell>
          <cell r="D135" t="str">
            <v>ОБУВНИЦЫ</v>
          </cell>
          <cell r="E135" t="str">
            <v>FBS</v>
          </cell>
          <cell r="G135" t="str">
            <v>Дуб сонома</v>
          </cell>
          <cell r="H135" t="str">
            <v>2520000001418</v>
          </cell>
          <cell r="I135" t="str">
            <v>Вакансия</v>
          </cell>
        </row>
        <row r="136">
          <cell r="A136" t="str">
            <v>MK00047</v>
          </cell>
          <cell r="B136" t="str">
            <v>Обувница этажерка Frame ЛДСП Белое тиснение, Черн. металл. 900х900х282</v>
          </cell>
          <cell r="C136" t="str">
            <v xml:space="preserve">Петрова </v>
          </cell>
          <cell r="D136" t="str">
            <v>ОБУВНИЦЫ</v>
          </cell>
          <cell r="E136" t="str">
            <v>FBS</v>
          </cell>
          <cell r="F136" t="str">
            <v>Обувница этажерка Frame  900х900х282</v>
          </cell>
          <cell r="G136" t="str">
            <v xml:space="preserve">ЛДСП Белое тиснение, Черн. металл. </v>
          </cell>
          <cell r="H136" t="str">
            <v>2521897952663</v>
          </cell>
          <cell r="I136" t="str">
            <v>Вакансия</v>
          </cell>
        </row>
        <row r="137">
          <cell r="A137" t="str">
            <v>MK00036</v>
          </cell>
          <cell r="B137" t="str">
            <v>Тумба Tokyo ЛДСП Белое тиснение, Черн. металл. 450х470(h)х300</v>
          </cell>
          <cell r="C137" t="str">
            <v>Вакансия</v>
          </cell>
          <cell r="D137" t="str">
            <v>ТУМБЫ ПРИКРОВАТНЫЕ</v>
          </cell>
          <cell r="E137" t="str">
            <v>FBS</v>
          </cell>
          <cell r="F137" t="str">
            <v>Тумба Tokyo ЛДСП 450х470х300</v>
          </cell>
          <cell r="G137" t="str">
            <v>Белое тиснение</v>
          </cell>
          <cell r="H137" t="str">
            <v>2521897952998</v>
          </cell>
          <cell r="I137" t="str">
            <v>Вакансия</v>
          </cell>
        </row>
        <row r="138">
          <cell r="A138">
            <v>29002</v>
          </cell>
          <cell r="B138" t="str">
            <v>Шкаф-комод Ультра 2х дверный Бетон/белое тиснение</v>
          </cell>
          <cell r="C138" t="str">
            <v>Ратникова</v>
          </cell>
          <cell r="D138" t="str">
            <v>КОМОДЫ</v>
          </cell>
          <cell r="E138" t="str">
            <v>FBO</v>
          </cell>
          <cell r="F138" t="str">
            <v>Шкаф-комод Ультра 2-х дверный 602х701х304</v>
          </cell>
          <cell r="G138" t="str">
            <v>Бетон/Белое тиснение</v>
          </cell>
          <cell r="H138" t="str">
            <v>2521897953122</v>
          </cell>
          <cell r="I138" t="str">
            <v>Вакансия</v>
          </cell>
        </row>
        <row r="139">
          <cell r="A139">
            <v>778</v>
          </cell>
          <cell r="B139" t="str">
            <v>Обувница-стеллаж  Лайт Плюс 50х125х32 Дуб сонома</v>
          </cell>
          <cell r="C139" t="str">
            <v>Вакансия</v>
          </cell>
          <cell r="D139" t="str">
            <v>ОБУВНИЦЫ</v>
          </cell>
          <cell r="E139" t="str">
            <v>FBS</v>
          </cell>
          <cell r="G139" t="str">
            <v>Дуб сонома</v>
          </cell>
          <cell r="H139" t="str">
            <v>2521897952490</v>
          </cell>
          <cell r="I139" t="str">
            <v>Вакансия</v>
          </cell>
        </row>
        <row r="140">
          <cell r="A140">
            <v>779</v>
          </cell>
          <cell r="B140" t="str">
            <v>Обувница вертикальная Мальта Белое тиснение 53х82х22</v>
          </cell>
          <cell r="C140" t="str">
            <v>Вакансия</v>
          </cell>
          <cell r="D140" t="str">
            <v>ОБУВНИЦЫ</v>
          </cell>
          <cell r="E140" t="str">
            <v>FBO</v>
          </cell>
          <cell r="G140" t="str">
            <v>Белое тиснение</v>
          </cell>
          <cell r="H140" t="str">
            <v>2521897952491</v>
          </cell>
          <cell r="I140" t="str">
            <v>Вакансия</v>
          </cell>
        </row>
        <row r="141">
          <cell r="A141">
            <v>1355363</v>
          </cell>
          <cell r="B141" t="str">
            <v>Комод Malta Plus (750х719х392) Дуб сонома/белое тиснение</v>
          </cell>
          <cell r="C141" t="str">
            <v>Платонова</v>
          </cell>
          <cell r="D141" t="str">
            <v>КОМОДЫ</v>
          </cell>
          <cell r="E141" t="str">
            <v>FBO</v>
          </cell>
          <cell r="F141" t="str">
            <v>Комод Malta Plus 750х719х392</v>
          </cell>
          <cell r="G141" t="str">
            <v>дуб сонома/белое тиснение</v>
          </cell>
          <cell r="H141">
            <v>0</v>
          </cell>
          <cell r="I141" t="str">
            <v>Вакансия</v>
          </cell>
        </row>
        <row r="142">
          <cell r="A142">
            <v>7791</v>
          </cell>
          <cell r="B142" t="str">
            <v>Обувница вертикальная Мальта Венге 53х82х22</v>
          </cell>
          <cell r="C142" t="str">
            <v>Вакансия</v>
          </cell>
          <cell r="D142" t="str">
            <v>ОБУВНИЦЫ</v>
          </cell>
          <cell r="E142" t="str">
            <v>FBO</v>
          </cell>
          <cell r="G142" t="str">
            <v>Венге</v>
          </cell>
          <cell r="H142">
            <v>0</v>
          </cell>
          <cell r="I142" t="str">
            <v>Вакансия</v>
          </cell>
        </row>
        <row r="143">
          <cell r="A143">
            <v>29970</v>
          </cell>
          <cell r="B143" t="str">
            <v>Комод Прага 3 ящика малый бетон</v>
          </cell>
          <cell r="C143" t="str">
            <v>Ратникова</v>
          </cell>
          <cell r="D143" t="str">
            <v>КОМОДЫ</v>
          </cell>
          <cell r="E143" t="str">
            <v>FBO</v>
          </cell>
          <cell r="F143" t="str">
            <v>Комод Прага 3 ящика малый 400х732х410</v>
          </cell>
          <cell r="G143" t="str">
            <v>Бетон</v>
          </cell>
          <cell r="H143" t="str">
            <v>2521897953130</v>
          </cell>
          <cell r="I143" t="str">
            <v>Вакансия</v>
          </cell>
        </row>
        <row r="144">
          <cell r="A144" t="str">
            <v>MK00039</v>
          </cell>
          <cell r="B144" t="str">
            <v>Стеллаж Tokyo ЛДСП Белое тиснение,Черн. металл.</v>
          </cell>
          <cell r="C144" t="str">
            <v>Зимакова</v>
          </cell>
          <cell r="D144" t="str">
            <v>СТЕЛЛАЖИ</v>
          </cell>
          <cell r="E144" t="str">
            <v>FBS</v>
          </cell>
          <cell r="F144" t="str">
            <v>Стеллаж Tokyo</v>
          </cell>
          <cell r="G144" t="str">
            <v xml:space="preserve">ЛДСП Белое тиснение, Черн. металл. </v>
          </cell>
          <cell r="H144" t="str">
            <v>2521897953338</v>
          </cell>
          <cell r="I144" t="str">
            <v>Вакансия</v>
          </cell>
        </row>
        <row r="145">
          <cell r="A145">
            <v>2604</v>
          </cell>
          <cell r="B145" t="str">
            <v>Стеллаж с открытыми полками Ультра Венге 600х800х230</v>
          </cell>
          <cell r="C145" t="str">
            <v>Зимакова</v>
          </cell>
          <cell r="D145" t="str">
            <v>СТЕЛЛАЖИ</v>
          </cell>
          <cell r="E145" t="str">
            <v>FBO</v>
          </cell>
          <cell r="F145" t="str">
            <v>Стеллаж с открытыми полками Ультра 600х800х230</v>
          </cell>
          <cell r="G145" t="str">
            <v>Венге</v>
          </cell>
          <cell r="H145" t="str">
            <v>2520000000411</v>
          </cell>
          <cell r="I145" t="str">
            <v>Вакансия</v>
          </cell>
        </row>
        <row r="146">
          <cell r="A146">
            <v>3625</v>
          </cell>
          <cell r="B146" t="str">
            <v>Обувница Ultra вертикальная 1 секция Дуб сонома 532х374х170</v>
          </cell>
          <cell r="C146" t="str">
            <v xml:space="preserve">Петрова </v>
          </cell>
          <cell r="D146" t="str">
            <v>ОБУВНИЦЫ</v>
          </cell>
          <cell r="E146" t="str">
            <v>FBO</v>
          </cell>
          <cell r="F146" t="str">
            <v>Обувница Ultra вертикальная 1 секция  532х374х170</v>
          </cell>
          <cell r="G146" t="str">
            <v>Дуб сонома</v>
          </cell>
          <cell r="H146" t="str">
            <v>2521897953068</v>
          </cell>
          <cell r="I146" t="str">
            <v>Вакансия</v>
          </cell>
        </row>
        <row r="147">
          <cell r="A147">
            <v>7794</v>
          </cell>
          <cell r="B147" t="str">
            <v>Обувница Neoletta Дуб сонома/Белое тиснение</v>
          </cell>
          <cell r="C147" t="str">
            <v xml:space="preserve">Петрова </v>
          </cell>
          <cell r="D147" t="str">
            <v>ОБУВНИЦЫ</v>
          </cell>
          <cell r="E147" t="str">
            <v>FBS</v>
          </cell>
          <cell r="F147" t="str">
            <v xml:space="preserve">Обувница Neoletta </v>
          </cell>
          <cell r="G147" t="str">
            <v>дуб сонома/белое тиснение</v>
          </cell>
          <cell r="H147" t="str">
            <v>2521897952664</v>
          </cell>
          <cell r="I147" t="str">
            <v>Вакансия</v>
          </cell>
        </row>
        <row r="148">
          <cell r="A148">
            <v>2504</v>
          </cell>
          <cell r="B148" t="str">
            <v>Тумба прикроватная Ультра Венге 430х410х330</v>
          </cell>
          <cell r="C148" t="str">
            <v>Кошкарева</v>
          </cell>
          <cell r="D148" t="str">
            <v>ТУМБЫ ПРИКРОВАТНЫЕ</v>
          </cell>
          <cell r="E148" t="str">
            <v>FBO</v>
          </cell>
          <cell r="F148" t="str">
            <v>Тумба прикроватная Ультра 430х410х330</v>
          </cell>
          <cell r="G148" t="str">
            <v>Венге</v>
          </cell>
          <cell r="H148" t="str">
            <v>2520000000176</v>
          </cell>
          <cell r="I148" t="str">
            <v>Вакансия</v>
          </cell>
        </row>
        <row r="149">
          <cell r="A149">
            <v>135582</v>
          </cell>
          <cell r="B149" t="str">
            <v>Обувница вертикальная Мальта Лайт Белое тиснение 53х82х22</v>
          </cell>
          <cell r="C149" t="str">
            <v xml:space="preserve">Петрова </v>
          </cell>
          <cell r="D149" t="str">
            <v>ОБУВНИЦЫ</v>
          </cell>
          <cell r="E149" t="str">
            <v>FBO</v>
          </cell>
          <cell r="F149" t="str">
            <v>Обувница вертикальная Мальта Лайт 53х82х22</v>
          </cell>
          <cell r="G149" t="str">
            <v>Белое тиснение</v>
          </cell>
          <cell r="H149" t="str">
            <v>2521897952910</v>
          </cell>
          <cell r="I149" t="str">
            <v>Вакансия</v>
          </cell>
        </row>
        <row r="150">
          <cell r="A150">
            <v>14017</v>
          </cell>
          <cell r="B150" t="str">
            <v>Стеллаж Комфорт Белое тиснение</v>
          </cell>
          <cell r="C150" t="str">
            <v>Зимакова</v>
          </cell>
          <cell r="D150" t="str">
            <v>СТЕЛЛАЖИ</v>
          </cell>
          <cell r="E150" t="str">
            <v>FBO</v>
          </cell>
          <cell r="F150" t="str">
            <v xml:space="preserve">Стеллаж Комфорт </v>
          </cell>
          <cell r="G150" t="str">
            <v>Белое тиснение</v>
          </cell>
          <cell r="H150" t="str">
            <v>2521897952742</v>
          </cell>
          <cell r="I150" t="str">
            <v>Вакансия</v>
          </cell>
        </row>
        <row r="151">
          <cell r="A151">
            <v>1355344</v>
          </cell>
          <cell r="B151" t="str">
            <v>Комод Ультра Серия 2  Рокфорд светлый</v>
          </cell>
          <cell r="C151" t="str">
            <v>Платонова</v>
          </cell>
          <cell r="D151" t="str">
            <v>КОМОДЫ</v>
          </cell>
          <cell r="E151" t="str">
            <v>FBO</v>
          </cell>
          <cell r="F151" t="str">
            <v>Комод Ультра (0,750х0,729х0,330)</v>
          </cell>
          <cell r="G151" t="str">
            <v>рокфорд</v>
          </cell>
          <cell r="H151">
            <v>0</v>
          </cell>
          <cell r="I151" t="str">
            <v>Вакансия</v>
          </cell>
        </row>
        <row r="152">
          <cell r="A152">
            <v>2494</v>
          </cell>
          <cell r="B152" t="str">
            <v>Стол дошкольника для творчества Дуб сонома 678х750х400</v>
          </cell>
          <cell r="C152" t="str">
            <v>Перепечаева</v>
          </cell>
          <cell r="D152" t="str">
            <v>СТОЛЫ</v>
          </cell>
          <cell r="E152" t="str">
            <v>FBO</v>
          </cell>
          <cell r="F152" t="str">
            <v>Стол дошкольника для творчества  678х750х400</v>
          </cell>
          <cell r="G152" t="str">
            <v>Дуб сонома</v>
          </cell>
          <cell r="H152" t="str">
            <v>2520000000978</v>
          </cell>
          <cell r="I152" t="str">
            <v>Вакансия</v>
          </cell>
        </row>
        <row r="153">
          <cell r="A153" t="str">
            <v>MK00028</v>
          </cell>
          <cell r="B153" t="str">
            <v>Обувница этажерка Frame ЛДСП Дуб Вотан, Черн. металл. 900х900х282</v>
          </cell>
          <cell r="C153" t="str">
            <v xml:space="preserve">Петрова </v>
          </cell>
          <cell r="D153" t="str">
            <v>ОБУВНИЦЫ</v>
          </cell>
          <cell r="E153" t="str">
            <v>FBS</v>
          </cell>
          <cell r="F153" t="str">
            <v>Обувница этажерка Frame  900х900х282</v>
          </cell>
          <cell r="G153" t="str">
            <v>ЛДСП Дуб Вотан, Черн. металл.</v>
          </cell>
          <cell r="H153" t="str">
            <v>2521897952612</v>
          </cell>
          <cell r="I153" t="str">
            <v>Вакансия</v>
          </cell>
        </row>
        <row r="154">
          <cell r="A154">
            <v>1439</v>
          </cell>
          <cell r="B154" t="str">
            <v>Коробка-куб беж/шокол. 27х27х27</v>
          </cell>
          <cell r="C154" t="str">
            <v>Вакансия</v>
          </cell>
          <cell r="D154" t="str">
            <v>КОРОБКА</v>
          </cell>
          <cell r="E154" t="str">
            <v>FBO</v>
          </cell>
          <cell r="G154">
            <v>0</v>
          </cell>
          <cell r="H154" t="str">
            <v>2520000006119</v>
          </cell>
          <cell r="I154" t="str">
            <v>Вакансия</v>
          </cell>
        </row>
        <row r="155">
          <cell r="A155">
            <v>3623</v>
          </cell>
          <cell r="B155" t="str">
            <v>Обувница Ultra вертикальная 1 секция Ателье светлое/Белое тиснение 532х374х170</v>
          </cell>
          <cell r="C155" t="str">
            <v xml:space="preserve">Петрова </v>
          </cell>
          <cell r="D155" t="str">
            <v>ОБУВНИЦЫ</v>
          </cell>
          <cell r="E155" t="str">
            <v>FBO</v>
          </cell>
          <cell r="F155" t="str">
            <v>Обувница Ultra вертикальная 1 секция  532х374х170</v>
          </cell>
          <cell r="G155" t="str">
            <v>Бетон/Белое тиснение</v>
          </cell>
          <cell r="H155" t="str">
            <v>2521897953066</v>
          </cell>
          <cell r="I155" t="str">
            <v>Вакансия</v>
          </cell>
        </row>
        <row r="156">
          <cell r="A156">
            <v>20039</v>
          </cell>
          <cell r="B156" t="str">
            <v>Коробка-куб шотл. клетка 27х27х27</v>
          </cell>
          <cell r="C156" t="str">
            <v>Вакансия</v>
          </cell>
          <cell r="D156" t="str">
            <v>КОРОБКА</v>
          </cell>
          <cell r="E156" t="str">
            <v>FBO</v>
          </cell>
          <cell r="G156">
            <v>0</v>
          </cell>
          <cell r="H156" t="str">
            <v>2520000006120</v>
          </cell>
          <cell r="I156" t="str">
            <v>Вакансия</v>
          </cell>
        </row>
        <row r="157">
          <cell r="A157" t="str">
            <v>MK00045</v>
          </cell>
          <cell r="B157" t="str">
            <v>Тумба под ТВ Frame ЛДСП Белое тиснение, черн. Металл. 1100х420х290</v>
          </cell>
          <cell r="C157" t="str">
            <v>Мисесина</v>
          </cell>
          <cell r="D157" t="str">
            <v>ТУМБЫ под ТВ</v>
          </cell>
          <cell r="E157" t="str">
            <v>FBS</v>
          </cell>
          <cell r="F157" t="str">
            <v>Тумба под ТВ Frame 1100х420х290</v>
          </cell>
          <cell r="G157" t="str">
            <v xml:space="preserve">ЛДСП Белое тиснение, Черн. металл. </v>
          </cell>
          <cell r="H157" t="str">
            <v>2521897953310</v>
          </cell>
          <cell r="I157" t="str">
            <v>Вакансия</v>
          </cell>
        </row>
        <row r="158">
          <cell r="A158" t="str">
            <v>ПШ14204</v>
          </cell>
          <cell r="B158" t="str">
            <v>Органайзер ткань Capri №13 Комод Capri 6 ящ. 360х190(h)х280</v>
          </cell>
          <cell r="C158" t="str">
            <v>Вакансия</v>
          </cell>
          <cell r="D158" t="str">
            <v>ОРГАНАЙЗЕР</v>
          </cell>
          <cell r="E158" t="str">
            <v>FBS</v>
          </cell>
          <cell r="G158" t="str">
            <v>ткань</v>
          </cell>
          <cell r="H158" t="str">
            <v>2521897952893</v>
          </cell>
          <cell r="I158" t="str">
            <v>Вакансия</v>
          </cell>
        </row>
        <row r="159">
          <cell r="A159">
            <v>3582</v>
          </cell>
          <cell r="B159" t="str">
            <v>Обувница стеллаж Ultra Lite Белое тиснение</v>
          </cell>
          <cell r="C159" t="str">
            <v xml:space="preserve">Петрова </v>
          </cell>
          <cell r="D159" t="str">
            <v>ОБУВНИЦЫ</v>
          </cell>
          <cell r="E159" t="str">
            <v>FBO</v>
          </cell>
          <cell r="F159" t="str">
            <v xml:space="preserve">Обувница стеллаж Ultra Lite </v>
          </cell>
          <cell r="G159" t="str">
            <v>Белое тиснение</v>
          </cell>
          <cell r="H159" t="str">
            <v>2521897953180</v>
          </cell>
          <cell r="I159" t="str">
            <v>Вакансия</v>
          </cell>
        </row>
        <row r="160">
          <cell r="A160" t="str">
            <v>М0763</v>
          </cell>
          <cell r="B160" t="str">
            <v>Кресло-кровать Найс Компакт Велюр Бель Латте 780х820х900</v>
          </cell>
          <cell r="C160" t="str">
            <v>Вакансия</v>
          </cell>
          <cell r="D160" t="str">
            <v>КРЕСЛО-КРОВАТЬ</v>
          </cell>
          <cell r="E160" t="str">
            <v xml:space="preserve">СКГТ </v>
          </cell>
          <cell r="G160" t="str">
            <v>Велюр</v>
          </cell>
          <cell r="H160" t="str">
            <v>2520000000589</v>
          </cell>
          <cell r="I160" t="str">
            <v>Вакансия</v>
          </cell>
        </row>
        <row r="161">
          <cell r="A161" t="str">
            <v>М0761</v>
          </cell>
          <cell r="B161" t="str">
            <v>Кресло-кровать Найс Компакт Ткань Savanna Plus Lagoon 780х820х900</v>
          </cell>
          <cell r="C161" t="str">
            <v>Вакансия</v>
          </cell>
          <cell r="D161" t="str">
            <v>КРЕСЛО-КРОВАТЬ</v>
          </cell>
          <cell r="E161" t="str">
            <v xml:space="preserve">СКГТ </v>
          </cell>
          <cell r="G161" t="str">
            <v>ткань</v>
          </cell>
          <cell r="H161">
            <v>0</v>
          </cell>
          <cell r="I161" t="str">
            <v>Вакансия</v>
          </cell>
        </row>
        <row r="162">
          <cell r="A162" t="str">
            <v>М0762</v>
          </cell>
          <cell r="B162" t="str">
            <v>Кресло-кровать Найс Компакт Ткань Savanna Plus Yellow 780х820х900</v>
          </cell>
          <cell r="C162" t="str">
            <v>Вакансия</v>
          </cell>
          <cell r="D162" t="str">
            <v>КРЕСЛО-КРОВАТЬ</v>
          </cell>
          <cell r="E162" t="str">
            <v xml:space="preserve">СКГТ </v>
          </cell>
          <cell r="G162" t="str">
            <v>ткань</v>
          </cell>
          <cell r="H162" t="str">
            <v>2520000000602</v>
          </cell>
          <cell r="I162" t="str">
            <v>Вакансия</v>
          </cell>
        </row>
        <row r="163">
          <cell r="A163" t="str">
            <v>М0766</v>
          </cell>
          <cell r="B163" t="str">
            <v>Кресло-кровать Найс Компакт Ткань MONACO 780х820х900</v>
          </cell>
          <cell r="C163" t="str">
            <v>Вакансия</v>
          </cell>
          <cell r="D163" t="str">
            <v>КРЕСЛО-КРОВАТЬ</v>
          </cell>
          <cell r="E163" t="str">
            <v xml:space="preserve">СКГТ </v>
          </cell>
          <cell r="G163" t="str">
            <v>ткань</v>
          </cell>
          <cell r="H163" t="str">
            <v>2521897952587</v>
          </cell>
          <cell r="I163" t="str">
            <v>Вакансия</v>
          </cell>
        </row>
        <row r="164">
          <cell r="A164" t="str">
            <v>М0767</v>
          </cell>
          <cell r="B164" t="str">
            <v>Кресло-кровать Найс Компакт Велюр Neo 05</v>
          </cell>
          <cell r="C164" t="str">
            <v>Вакансия</v>
          </cell>
          <cell r="D164" t="str">
            <v>КРЕСЛО-КРОВАТЬ</v>
          </cell>
          <cell r="E164" t="str">
            <v>СКГТ (ОЗОН)</v>
          </cell>
          <cell r="G164" t="str">
            <v>Велюр</v>
          </cell>
          <cell r="H164" t="str">
            <v>2521897952539</v>
          </cell>
          <cell r="I164" t="str">
            <v>Вакансия</v>
          </cell>
        </row>
        <row r="165">
          <cell r="A165">
            <v>2610</v>
          </cell>
          <cell r="B165" t="str">
            <v>Полка книжная Ультра Дуб сонома 1150х520х200</v>
          </cell>
          <cell r="C165" t="str">
            <v xml:space="preserve">Петрова </v>
          </cell>
          <cell r="D165" t="str">
            <v>ПОЛКИ</v>
          </cell>
          <cell r="E165" t="str">
            <v>FBS</v>
          </cell>
          <cell r="F165" t="str">
            <v>Полка книжная Ультра 1150х520х200</v>
          </cell>
          <cell r="G165" t="str">
            <v>Дуб сонома</v>
          </cell>
          <cell r="H165" t="str">
            <v>2520000001531</v>
          </cell>
          <cell r="I165" t="str">
            <v>Вакансия</v>
          </cell>
        </row>
        <row r="166">
          <cell r="A166">
            <v>2965</v>
          </cell>
          <cell r="B166" t="str">
            <v>Полка навесная Zett Венге 680х532х180</v>
          </cell>
          <cell r="C166" t="str">
            <v xml:space="preserve">Петрова </v>
          </cell>
          <cell r="D166" t="str">
            <v>ПОЛКИ</v>
          </cell>
          <cell r="E166" t="str">
            <v>FBO</v>
          </cell>
          <cell r="F166" t="str">
            <v>Полка навесная Zett  680х532х180</v>
          </cell>
          <cell r="G166" t="str">
            <v>Венге</v>
          </cell>
          <cell r="H166" t="str">
            <v>2520000002176</v>
          </cell>
          <cell r="I166" t="str">
            <v>Вакансия</v>
          </cell>
        </row>
        <row r="167">
          <cell r="A167" t="str">
            <v>М0134</v>
          </cell>
          <cell r="B167" t="str">
            <v xml:space="preserve">Кресло-мешок Груша Медиум ткань Savanna Green </v>
          </cell>
          <cell r="C167" t="str">
            <v>Вакансия</v>
          </cell>
          <cell r="D167" t="str">
            <v>КРЕСЛО-МЕШОК</v>
          </cell>
          <cell r="E167" t="str">
            <v xml:space="preserve">СКГТ </v>
          </cell>
          <cell r="G167" t="str">
            <v>ткань</v>
          </cell>
          <cell r="H167">
            <v>0</v>
          </cell>
          <cell r="I167" t="str">
            <v>Вакансия</v>
          </cell>
        </row>
        <row r="168">
          <cell r="A168" t="str">
            <v>М0132</v>
          </cell>
          <cell r="B168" t="str">
            <v xml:space="preserve">Кресло-мешок Груша Медиум ткань Savanna Plus Lagoon </v>
          </cell>
          <cell r="C168" t="str">
            <v>Вакансия</v>
          </cell>
          <cell r="D168" t="str">
            <v>КРЕСЛО-МЕШОК</v>
          </cell>
          <cell r="E168" t="str">
            <v xml:space="preserve">СКГТ </v>
          </cell>
          <cell r="G168" t="str">
            <v>ткань</v>
          </cell>
          <cell r="H168">
            <v>0</v>
          </cell>
          <cell r="I168" t="str">
            <v>Вакансия</v>
          </cell>
        </row>
        <row r="169">
          <cell r="A169" t="str">
            <v>М0133</v>
          </cell>
          <cell r="B169" t="str">
            <v>Кресло-мешок Груша Медиум ткань Savanna Plus Yellow</v>
          </cell>
          <cell r="C169" t="str">
            <v>Вакансия</v>
          </cell>
          <cell r="D169" t="str">
            <v>КРЕСЛО-МЕШОК</v>
          </cell>
          <cell r="E169" t="str">
            <v xml:space="preserve">СКГТ </v>
          </cell>
          <cell r="G169" t="str">
            <v>ткань</v>
          </cell>
          <cell r="H169" t="str">
            <v>2520000000657</v>
          </cell>
          <cell r="I169" t="str">
            <v>Вакансия</v>
          </cell>
        </row>
        <row r="170">
          <cell r="A170" t="str">
            <v>М0135</v>
          </cell>
          <cell r="B170" t="str">
            <v>Кресло-мешок Груша Медиум ткань Savanna Веrry</v>
          </cell>
          <cell r="C170" t="str">
            <v>Вакансия</v>
          </cell>
          <cell r="D170" t="str">
            <v>КРЕСЛО-МЕШОК</v>
          </cell>
          <cell r="E170" t="str">
            <v xml:space="preserve">СКГТ </v>
          </cell>
          <cell r="G170" t="str">
            <v>ткань</v>
          </cell>
          <cell r="H170">
            <v>0</v>
          </cell>
          <cell r="I170" t="str">
            <v>Вакансия</v>
          </cell>
        </row>
        <row r="171">
          <cell r="A171" t="str">
            <v>М0121</v>
          </cell>
          <cell r="B171" t="str">
            <v xml:space="preserve">Кресло-мешок Груша Мини велюр Газета Милк </v>
          </cell>
          <cell r="C171" t="str">
            <v>Вакансия</v>
          </cell>
          <cell r="D171" t="str">
            <v>КРЕСЛО-МЕШОК</v>
          </cell>
          <cell r="E171" t="str">
            <v>FBS</v>
          </cell>
          <cell r="G171" t="str">
            <v>Велюр</v>
          </cell>
          <cell r="H171">
            <v>0</v>
          </cell>
          <cell r="I171" t="str">
            <v>Вакансия</v>
          </cell>
        </row>
        <row r="172">
          <cell r="A172" t="str">
            <v>М0127</v>
          </cell>
          <cell r="B172" t="str">
            <v>Кресло-мешок Груша Мини ткань Savanna Green</v>
          </cell>
          <cell r="C172" t="str">
            <v>Вакансия</v>
          </cell>
          <cell r="D172" t="str">
            <v>КРЕСЛО-МЕШОК</v>
          </cell>
          <cell r="E172" t="str">
            <v>FBS</v>
          </cell>
          <cell r="G172" t="str">
            <v>ткань</v>
          </cell>
          <cell r="H172">
            <v>0</v>
          </cell>
          <cell r="I172" t="str">
            <v>Вакансия</v>
          </cell>
        </row>
        <row r="173">
          <cell r="A173" t="str">
            <v>М0125</v>
          </cell>
          <cell r="B173" t="str">
            <v>Кресло-мешок Груша Мини ткань Savanna Plus Lagoon</v>
          </cell>
          <cell r="C173" t="str">
            <v>Вакансия</v>
          </cell>
          <cell r="D173" t="str">
            <v>КРЕСЛО-МЕШОК</v>
          </cell>
          <cell r="E173" t="str">
            <v>FBS</v>
          </cell>
          <cell r="G173" t="str">
            <v>ткань</v>
          </cell>
          <cell r="H173">
            <v>0</v>
          </cell>
          <cell r="I173" t="str">
            <v>Вакансия</v>
          </cell>
        </row>
        <row r="174">
          <cell r="A174">
            <v>9402</v>
          </cell>
          <cell r="B174" t="str">
            <v>Полка навесная ПЛ3 1050*600*180</v>
          </cell>
          <cell r="C174" t="str">
            <v>Вакансия</v>
          </cell>
          <cell r="D174" t="str">
            <v>ПОЛКИ</v>
          </cell>
          <cell r="E174" t="str">
            <v>FBO</v>
          </cell>
          <cell r="G174">
            <v>0</v>
          </cell>
          <cell r="H174" t="str">
            <v>2520000002162</v>
          </cell>
          <cell r="I174" t="str">
            <v>Вакансия</v>
          </cell>
        </row>
        <row r="175">
          <cell r="A175" t="str">
            <v>М0128</v>
          </cell>
          <cell r="B175" t="str">
            <v>Кресло-мешок Груша Мини ткань Savanna Веrry</v>
          </cell>
          <cell r="C175" t="str">
            <v>Вакансия</v>
          </cell>
          <cell r="D175" t="str">
            <v>КРЕСЛО-МЕШОК</v>
          </cell>
          <cell r="E175" t="str">
            <v>FBS</v>
          </cell>
          <cell r="G175" t="str">
            <v>ткань</v>
          </cell>
          <cell r="H175">
            <v>0</v>
          </cell>
          <cell r="I175" t="str">
            <v>Вакансия</v>
          </cell>
        </row>
        <row r="176">
          <cell r="A176">
            <v>2652</v>
          </cell>
          <cell r="B176" t="str">
            <v>Полка угловая навесная Белое тиснение 250х1388х250</v>
          </cell>
          <cell r="C176" t="str">
            <v xml:space="preserve">Петрова </v>
          </cell>
          <cell r="D176" t="str">
            <v>ПОЛКИ</v>
          </cell>
          <cell r="E176" t="str">
            <v>FBO</v>
          </cell>
          <cell r="F176" t="str">
            <v>Полка угловая навесная  250х1388х250</v>
          </cell>
          <cell r="G176" t="str">
            <v>Белое тиснение</v>
          </cell>
          <cell r="H176" t="str">
            <v>2520000001616</v>
          </cell>
          <cell r="I176" t="str">
            <v>Вакансия</v>
          </cell>
        </row>
        <row r="177">
          <cell r="A177">
            <v>2624</v>
          </cell>
          <cell r="B177" t="str">
            <v>Полка угловая навесная Венге 250х1388х250</v>
          </cell>
          <cell r="C177" t="str">
            <v xml:space="preserve">Петрова </v>
          </cell>
          <cell r="D177" t="str">
            <v>ПОЛКИ</v>
          </cell>
          <cell r="E177" t="str">
            <v>FBO</v>
          </cell>
          <cell r="F177" t="str">
            <v>Полка угловая навесная  250х1388х250</v>
          </cell>
          <cell r="G177" t="str">
            <v>Венге</v>
          </cell>
          <cell r="H177" t="str">
            <v>2520000001630</v>
          </cell>
          <cell r="I177" t="str">
            <v>Вакансия</v>
          </cell>
        </row>
        <row r="178">
          <cell r="A178">
            <v>2482</v>
          </cell>
          <cell r="B178" t="str">
            <v>Полка угловая навесная Дуб сонома 250х1388х250</v>
          </cell>
          <cell r="C178" t="str">
            <v xml:space="preserve">Петрова </v>
          </cell>
          <cell r="D178" t="str">
            <v>ПОЛКИ</v>
          </cell>
          <cell r="E178" t="str">
            <v>FBO</v>
          </cell>
          <cell r="F178" t="str">
            <v>Полка угловая навесная  250х1388х250</v>
          </cell>
          <cell r="G178" t="str">
            <v>Дуб сонома</v>
          </cell>
          <cell r="H178" t="str">
            <v>2520000001647</v>
          </cell>
          <cell r="I178" t="str">
            <v>Вакансия</v>
          </cell>
        </row>
        <row r="179">
          <cell r="A179">
            <v>4001</v>
          </cell>
          <cell r="B179" t="str">
            <v>Матрац вата+РВ усиленная набивка 90*190</v>
          </cell>
          <cell r="C179" t="str">
            <v>Вакансия</v>
          </cell>
          <cell r="D179" t="str">
            <v>МАТРАСЫ</v>
          </cell>
          <cell r="E179" t="str">
            <v xml:space="preserve">СКГТ </v>
          </cell>
          <cell r="G179" t="str">
            <v>ткань</v>
          </cell>
          <cell r="H179" t="str">
            <v>2520000006115</v>
          </cell>
          <cell r="I179" t="str">
            <v>Вакансия</v>
          </cell>
        </row>
        <row r="180">
          <cell r="A180">
            <v>4003</v>
          </cell>
          <cell r="B180" t="str">
            <v>Матрац поролоновый в съемном стеганном чехле на молнии 140*200*8</v>
          </cell>
          <cell r="C180" t="str">
            <v>Вакансия</v>
          </cell>
          <cell r="D180" t="str">
            <v>МАТРАСЫ</v>
          </cell>
          <cell r="E180" t="str">
            <v>FBS</v>
          </cell>
          <cell r="G180">
            <v>0</v>
          </cell>
          <cell r="H180" t="str">
            <v>2520000006117</v>
          </cell>
          <cell r="I180" t="str">
            <v>Вакансия</v>
          </cell>
        </row>
        <row r="181">
          <cell r="A181">
            <v>4002</v>
          </cell>
          <cell r="B181" t="str">
            <v>Матрац поролоновый в съемном стеганном чехле на молнии 90*200*8</v>
          </cell>
          <cell r="C181" t="str">
            <v>Вакансия</v>
          </cell>
          <cell r="D181" t="str">
            <v>МАТРАСЫ</v>
          </cell>
          <cell r="E181" t="str">
            <v>FBS</v>
          </cell>
          <cell r="G181" t="str">
            <v>ткань</v>
          </cell>
          <cell r="H181" t="str">
            <v>2520000006116</v>
          </cell>
          <cell r="I181" t="str">
            <v>Вакансия</v>
          </cell>
        </row>
        <row r="182">
          <cell r="A182">
            <v>14702</v>
          </cell>
          <cell r="B182" t="str">
            <v>Матрац ППУ в непромокаемом чехле их медицинской клеенки на молнии</v>
          </cell>
          <cell r="C182" t="str">
            <v>Вакансия</v>
          </cell>
          <cell r="D182" t="str">
            <v>МАТРАСЫ</v>
          </cell>
          <cell r="E182" t="str">
            <v>FBS</v>
          </cell>
          <cell r="G182">
            <v>0</v>
          </cell>
          <cell r="H182" t="str">
            <v>2000897922247</v>
          </cell>
          <cell r="I182" t="str">
            <v>Вакансия</v>
          </cell>
        </row>
        <row r="183">
          <cell r="A183">
            <v>14699</v>
          </cell>
          <cell r="B183" t="str">
            <v>Матрац Холкон в съемном стеганном чехле на молнии 120*200*5</v>
          </cell>
          <cell r="C183" t="str">
            <v>Вакансия</v>
          </cell>
          <cell r="D183" t="str">
            <v>МАТРАСЫ</v>
          </cell>
          <cell r="E183" t="str">
            <v>FBS</v>
          </cell>
          <cell r="G183" t="str">
            <v>ткань</v>
          </cell>
          <cell r="H183" t="str">
            <v>2000897922216</v>
          </cell>
          <cell r="I183" t="str">
            <v>Вакансия</v>
          </cell>
        </row>
        <row r="184">
          <cell r="A184">
            <v>14700</v>
          </cell>
          <cell r="B184" t="str">
            <v>Матрац Холкон в съемном стеганном чехле на молнии 140*200*5</v>
          </cell>
          <cell r="C184" t="str">
            <v>Вакансия</v>
          </cell>
          <cell r="D184" t="str">
            <v>МАТРАСЫ</v>
          </cell>
          <cell r="E184" t="str">
            <v>FBS</v>
          </cell>
          <cell r="G184" t="str">
            <v>ткань</v>
          </cell>
          <cell r="H184" t="str">
            <v>2000897922223</v>
          </cell>
          <cell r="I184" t="str">
            <v>Вакансия</v>
          </cell>
        </row>
        <row r="185">
          <cell r="A185">
            <v>915400</v>
          </cell>
          <cell r="B185" t="str">
            <v>Полка Школьник Венге Цаво</v>
          </cell>
          <cell r="C185" t="str">
            <v>Вакансия</v>
          </cell>
          <cell r="D185" t="str">
            <v>ПОЛКИ</v>
          </cell>
          <cell r="E185" t="str">
            <v>FBS</v>
          </cell>
          <cell r="G185" t="str">
            <v>Венге</v>
          </cell>
          <cell r="H185" t="str">
            <v>2521897952402</v>
          </cell>
          <cell r="I185" t="str">
            <v>Вакансия</v>
          </cell>
        </row>
        <row r="186">
          <cell r="A186">
            <v>4008</v>
          </cell>
          <cell r="B186" t="str">
            <v>Матрац Холкон в съемном стеганном чехле на молнии 60*140*5</v>
          </cell>
          <cell r="C186" t="str">
            <v>Вакансия</v>
          </cell>
          <cell r="D186" t="str">
            <v>МАТРАСЫ</v>
          </cell>
          <cell r="E186" t="str">
            <v>FBS</v>
          </cell>
          <cell r="G186">
            <v>0</v>
          </cell>
          <cell r="H186" t="str">
            <v>2520897927270</v>
          </cell>
          <cell r="I186" t="str">
            <v>Вакансия</v>
          </cell>
        </row>
        <row r="187">
          <cell r="A187">
            <v>4007</v>
          </cell>
          <cell r="B187" t="str">
            <v>Матрац Холкон в съемном стеганном чехле на молнии 70*200*5</v>
          </cell>
          <cell r="C187" t="str">
            <v>Вакансия</v>
          </cell>
          <cell r="D187" t="str">
            <v>МАТРАСЫ</v>
          </cell>
          <cell r="E187" t="str">
            <v>FBS</v>
          </cell>
          <cell r="G187">
            <v>0</v>
          </cell>
          <cell r="H187" t="str">
            <v>2520897927269</v>
          </cell>
          <cell r="I187" t="str">
            <v>Вакансия</v>
          </cell>
        </row>
        <row r="188">
          <cell r="A188">
            <v>4009</v>
          </cell>
          <cell r="B188" t="str">
            <v>Матрас ватный (Реген.волокно,усил набивка) 90х190</v>
          </cell>
          <cell r="C188" t="str">
            <v>Вакансия</v>
          </cell>
          <cell r="D188" t="str">
            <v>МАТРАСЫ</v>
          </cell>
          <cell r="E188" t="str">
            <v>FBS</v>
          </cell>
          <cell r="G188">
            <v>0</v>
          </cell>
          <cell r="H188">
            <v>0</v>
          </cell>
          <cell r="I188" t="str">
            <v>Вакансия</v>
          </cell>
        </row>
        <row r="189">
          <cell r="A189">
            <v>14698</v>
          </cell>
          <cell r="B189" t="str">
            <v>Матрац Холкон в съемном стеганном чехле на молнии 90*200*5</v>
          </cell>
          <cell r="C189" t="str">
            <v>Вакансия</v>
          </cell>
          <cell r="D189" t="str">
            <v>МАТРАСЫ</v>
          </cell>
          <cell r="E189" t="str">
            <v>FBS</v>
          </cell>
          <cell r="G189" t="str">
            <v>ткань</v>
          </cell>
          <cell r="H189" t="str">
            <v>2000897922209</v>
          </cell>
          <cell r="I189" t="str">
            <v>Вакансия</v>
          </cell>
        </row>
        <row r="190">
          <cell r="A190">
            <v>9501</v>
          </cell>
          <cell r="B190" t="str">
            <v>Полка Ницца Белое тиснение</v>
          </cell>
          <cell r="C190" t="str">
            <v xml:space="preserve">Петрова </v>
          </cell>
          <cell r="D190" t="str">
            <v>ПОЛКИ</v>
          </cell>
          <cell r="E190" t="str">
            <v>FBO</v>
          </cell>
          <cell r="F190" t="str">
            <v xml:space="preserve">Полка Ницца </v>
          </cell>
          <cell r="G190" t="str">
            <v>Белое тиснение</v>
          </cell>
          <cell r="H190" t="str">
            <v>2521897952782</v>
          </cell>
          <cell r="I190" t="str">
            <v>Вакансия</v>
          </cell>
        </row>
        <row r="191">
          <cell r="A191">
            <v>14051</v>
          </cell>
          <cell r="B191" t="str">
            <v>Матрас "Комфорт Плюс" 160*200*15</v>
          </cell>
          <cell r="C191" t="str">
            <v>Кошкарева</v>
          </cell>
          <cell r="D191" t="str">
            <v>МАТРАСЫ</v>
          </cell>
          <cell r="E191" t="str">
            <v>FBO</v>
          </cell>
          <cell r="F191" t="str">
            <v>Матрас</v>
          </cell>
          <cell r="G191" t="str">
            <v>ткань</v>
          </cell>
          <cell r="H191" t="str">
            <v>2521897952987</v>
          </cell>
          <cell r="I191" t="str">
            <v>Вакансия</v>
          </cell>
        </row>
        <row r="192">
          <cell r="A192">
            <v>9503</v>
          </cell>
          <cell r="B192" t="str">
            <v>Полка Ницца Дуб сонома</v>
          </cell>
          <cell r="C192" t="str">
            <v xml:space="preserve">Петрова </v>
          </cell>
          <cell r="D192" t="str">
            <v>ПОЛКИ</v>
          </cell>
          <cell r="E192" t="str">
            <v>FBO</v>
          </cell>
          <cell r="F192" t="str">
            <v xml:space="preserve">Полка Ницца </v>
          </cell>
          <cell r="G192" t="str">
            <v>Дуб сонома</v>
          </cell>
          <cell r="H192" t="str">
            <v>2521897952784</v>
          </cell>
          <cell r="I192" t="str">
            <v>Вакансия</v>
          </cell>
        </row>
        <row r="193">
          <cell r="A193">
            <v>14053</v>
          </cell>
          <cell r="B193" t="str">
            <v>Матрас "Комфорт"  140*200*18</v>
          </cell>
          <cell r="C193" t="str">
            <v>Кошкарева</v>
          </cell>
          <cell r="D193" t="str">
            <v>МАТРАСЫ</v>
          </cell>
          <cell r="E193" t="str">
            <v>FBO</v>
          </cell>
          <cell r="F193" t="str">
            <v>Матрас</v>
          </cell>
          <cell r="G193" t="str">
            <v>ткань</v>
          </cell>
          <cell r="H193" t="str">
            <v>2521897952989</v>
          </cell>
          <cell r="I193" t="str">
            <v>Вакансия</v>
          </cell>
        </row>
        <row r="194">
          <cell r="A194">
            <v>9702</v>
          </cell>
          <cell r="B194" t="str">
            <v>Полка маникюрная Blues Дуб сонома</v>
          </cell>
          <cell r="C194" t="str">
            <v xml:space="preserve">Петрова </v>
          </cell>
          <cell r="D194" t="str">
            <v>ПОЛКИ</v>
          </cell>
          <cell r="E194" t="str">
            <v>FBO</v>
          </cell>
          <cell r="F194" t="str">
            <v xml:space="preserve">Полка маникюрная Blues </v>
          </cell>
          <cell r="G194" t="str">
            <v>Дуб сонома</v>
          </cell>
          <cell r="H194" t="str">
            <v>2521897952921</v>
          </cell>
          <cell r="I194" t="str">
            <v>Вакансия</v>
          </cell>
        </row>
        <row r="195">
          <cell r="A195">
            <v>14055</v>
          </cell>
          <cell r="B195" t="str">
            <v>Матрас "Комфорт" 90*200*18</v>
          </cell>
          <cell r="C195" t="str">
            <v>Кошкарева</v>
          </cell>
          <cell r="D195" t="str">
            <v>МАТРАСЫ</v>
          </cell>
          <cell r="E195" t="str">
            <v>FBO</v>
          </cell>
          <cell r="F195" t="str">
            <v>Матрас</v>
          </cell>
          <cell r="G195" t="str">
            <v>ткань</v>
          </cell>
          <cell r="H195" t="str">
            <v>2521897952991</v>
          </cell>
          <cell r="I195" t="str">
            <v>Вакансия</v>
          </cell>
        </row>
        <row r="196">
          <cell r="A196">
            <v>14064</v>
          </cell>
          <cell r="B196" t="str">
            <v>Матрас Organic Compact 140*200 (скрутка)</v>
          </cell>
          <cell r="C196" t="str">
            <v>Кошкарева</v>
          </cell>
          <cell r="D196" t="str">
            <v>МАТРАСЫ</v>
          </cell>
          <cell r="E196" t="str">
            <v>FBO</v>
          </cell>
          <cell r="F196" t="str">
            <v>Матрас</v>
          </cell>
          <cell r="G196" t="str">
            <v>ткань</v>
          </cell>
          <cell r="H196" t="str">
            <v>2521897953203</v>
          </cell>
          <cell r="I196" t="str">
            <v>Вакансия</v>
          </cell>
        </row>
        <row r="197">
          <cell r="A197">
            <v>14065</v>
          </cell>
          <cell r="B197" t="str">
            <v>Матрас Organic Compact 160*200 (скрутка)</v>
          </cell>
          <cell r="C197" t="str">
            <v>Кошкарева</v>
          </cell>
          <cell r="D197" t="str">
            <v>МАТРАСЫ</v>
          </cell>
          <cell r="E197" t="str">
            <v>FBO</v>
          </cell>
          <cell r="F197" t="str">
            <v>Матрас</v>
          </cell>
          <cell r="G197" t="str">
            <v>ткань</v>
          </cell>
          <cell r="H197" t="str">
            <v>2521897953204</v>
          </cell>
          <cell r="I197" t="str">
            <v>Вакансия</v>
          </cell>
        </row>
        <row r="198">
          <cell r="A198">
            <v>14063</v>
          </cell>
          <cell r="B198" t="str">
            <v>Матрас Organic Compact 90*200 (скрутка)</v>
          </cell>
          <cell r="C198" t="str">
            <v>Кошкарева</v>
          </cell>
          <cell r="D198" t="str">
            <v>МАТРАСЫ</v>
          </cell>
          <cell r="E198" t="str">
            <v>FBO</v>
          </cell>
          <cell r="F198" t="str">
            <v>Матрас</v>
          </cell>
          <cell r="G198" t="str">
            <v>ткань</v>
          </cell>
          <cell r="H198" t="str">
            <v>2521897953202</v>
          </cell>
          <cell r="I198" t="str">
            <v>Вакансия</v>
          </cell>
        </row>
        <row r="199">
          <cell r="A199">
            <v>14066</v>
          </cell>
          <cell r="B199" t="str">
            <v>Матрас Spring Compact 90*200 (скрутка)</v>
          </cell>
          <cell r="C199" t="str">
            <v>Кошкарева</v>
          </cell>
          <cell r="D199" t="str">
            <v>МАТРАСЫ</v>
          </cell>
          <cell r="E199" t="str">
            <v>FBO</v>
          </cell>
          <cell r="F199" t="str">
            <v>Матрас</v>
          </cell>
          <cell r="G199" t="str">
            <v>ткань</v>
          </cell>
          <cell r="H199" t="str">
            <v>2521897953205</v>
          </cell>
          <cell r="I199" t="str">
            <v>Вакансия</v>
          </cell>
        </row>
        <row r="200">
          <cell r="A200">
            <v>14068</v>
          </cell>
          <cell r="B200" t="str">
            <v>Матрас Spring Compact 160*200 (скрутка)</v>
          </cell>
          <cell r="C200" t="str">
            <v>Кошкарева</v>
          </cell>
          <cell r="D200" t="str">
            <v>МАТРАСЫ</v>
          </cell>
          <cell r="E200" t="str">
            <v>FBO</v>
          </cell>
          <cell r="F200" t="str">
            <v>Матрас</v>
          </cell>
          <cell r="G200" t="str">
            <v>ткань</v>
          </cell>
          <cell r="H200">
            <v>0</v>
          </cell>
          <cell r="I200" t="str">
            <v>Вакансия</v>
          </cell>
        </row>
        <row r="201">
          <cell r="A201">
            <v>14067</v>
          </cell>
          <cell r="B201" t="str">
            <v>Матрас Spring Compact 140*200 (скрутка)</v>
          </cell>
          <cell r="C201" t="str">
            <v>Кошкарева</v>
          </cell>
          <cell r="D201" t="str">
            <v>МАТРАСЫ</v>
          </cell>
          <cell r="E201" t="str">
            <v>FBO</v>
          </cell>
          <cell r="F201" t="str">
            <v>Матрас</v>
          </cell>
          <cell r="G201" t="str">
            <v>ткань</v>
          </cell>
          <cell r="H201">
            <v>0</v>
          </cell>
          <cell r="I201" t="str">
            <v>Вакансия</v>
          </cell>
        </row>
        <row r="202">
          <cell r="A202" t="str">
            <v>М0163</v>
          </cell>
          <cell r="B202" t="str">
            <v xml:space="preserve">Пуф Куб СМ темно-серый </v>
          </cell>
          <cell r="C202" t="str">
            <v>Вакансия</v>
          </cell>
          <cell r="D202" t="str">
            <v>ПУФ</v>
          </cell>
          <cell r="E202" t="str">
            <v>FBO</v>
          </cell>
          <cell r="G202" t="str">
            <v>серый</v>
          </cell>
          <cell r="H202">
            <v>0</v>
          </cell>
          <cell r="I202" t="str">
            <v>Вакансия</v>
          </cell>
        </row>
        <row r="203">
          <cell r="A203">
            <v>2479</v>
          </cell>
          <cell r="B203" t="str">
            <v>Пуф Николь Плюс Дуб сонома/Экокожа Бежевый 640х470х370</v>
          </cell>
          <cell r="C203" t="str">
            <v>Вакансия</v>
          </cell>
          <cell r="D203" t="str">
            <v>ОБУВНИЦЫ</v>
          </cell>
          <cell r="E203" t="str">
            <v>FBO</v>
          </cell>
          <cell r="G203" t="str">
            <v>Дуб сонома</v>
          </cell>
          <cell r="H203">
            <v>0</v>
          </cell>
          <cell r="I203" t="str">
            <v>Вакансия</v>
          </cell>
        </row>
        <row r="204">
          <cell r="A204" t="str">
            <v>М0423</v>
          </cell>
          <cell r="B204" t="str">
            <v>Пуф Марсель Ткань Savanna  Plus Lagoon Сп/м 0,6х1,8 600х360х600</v>
          </cell>
          <cell r="C204" t="str">
            <v>Вакансия</v>
          </cell>
          <cell r="D204" t="str">
            <v>ПУФ</v>
          </cell>
          <cell r="E204" t="str">
            <v>FBS</v>
          </cell>
          <cell r="G204" t="str">
            <v>ткань</v>
          </cell>
          <cell r="H204">
            <v>0</v>
          </cell>
          <cell r="I204" t="str">
            <v>Вакансия</v>
          </cell>
        </row>
        <row r="205">
          <cell r="A205" t="str">
            <v>М0422</v>
          </cell>
          <cell r="B205" t="str">
            <v>Пуф Марсель Ткань Savanna Latte Сп/м 0,6х1,8 600х360х600</v>
          </cell>
          <cell r="C205" t="str">
            <v>Вакансия</v>
          </cell>
          <cell r="D205" t="str">
            <v>ПУФ</v>
          </cell>
          <cell r="E205" t="str">
            <v>FBS</v>
          </cell>
          <cell r="G205" t="str">
            <v>ткань</v>
          </cell>
          <cell r="H205" t="str">
            <v>2520000001708</v>
          </cell>
          <cell r="I205" t="str">
            <v>Вакансия</v>
          </cell>
        </row>
        <row r="206">
          <cell r="A206" t="str">
            <v>М0425</v>
          </cell>
          <cell r="B206" t="str">
            <v>Пуф Марсель Ткань Savanna Plus Coral Сп/м 0,6х1,8 600х360х600</v>
          </cell>
          <cell r="C206" t="str">
            <v>Вакансия</v>
          </cell>
          <cell r="D206" t="str">
            <v>ПУФ</v>
          </cell>
          <cell r="E206" t="str">
            <v>FBS</v>
          </cell>
          <cell r="G206" t="str">
            <v>ткань</v>
          </cell>
          <cell r="H206">
            <v>0</v>
          </cell>
          <cell r="I206" t="str">
            <v>Вакансия</v>
          </cell>
        </row>
        <row r="207">
          <cell r="A207">
            <v>2685</v>
          </cell>
          <cell r="B207" t="str">
            <v>Стеллаж Zett средний Белое тиснение 730х899х250</v>
          </cell>
          <cell r="C207" t="str">
            <v>Зимакова</v>
          </cell>
          <cell r="D207" t="str">
            <v>СТЕЛЛАЖИ</v>
          </cell>
          <cell r="E207" t="str">
            <v>FBO</v>
          </cell>
          <cell r="F207" t="str">
            <v>Стеллаж Zett средний 730х899х250</v>
          </cell>
          <cell r="G207" t="str">
            <v>Белое тиснение</v>
          </cell>
          <cell r="H207" t="str">
            <v>2520000000312</v>
          </cell>
          <cell r="I207" t="str">
            <v>Вакансия</v>
          </cell>
        </row>
        <row r="208">
          <cell r="A208" t="str">
            <v>М0421</v>
          </cell>
          <cell r="B208" t="str">
            <v>Пуф Марсель Ткань СМ темно-серый Сп/м 0,6х1,8 600х360х600</v>
          </cell>
          <cell r="C208" t="str">
            <v>Вакансия</v>
          </cell>
          <cell r="D208" t="str">
            <v>ПУФ</v>
          </cell>
          <cell r="E208" t="str">
            <v>FBS</v>
          </cell>
          <cell r="G208" t="str">
            <v>серый</v>
          </cell>
          <cell r="H208" t="str">
            <v>2520000001692</v>
          </cell>
          <cell r="I208" t="str">
            <v>Вакансия</v>
          </cell>
        </row>
        <row r="209">
          <cell r="A209">
            <v>2553</v>
          </cell>
          <cell r="B209" t="str">
            <v>Обувница Ультра Дуб сонома 578х423х350</v>
          </cell>
          <cell r="C209" t="str">
            <v>Вакансия</v>
          </cell>
          <cell r="D209" t="str">
            <v>ОБУВНИЦЫ</v>
          </cell>
          <cell r="E209" t="str">
            <v>FBO</v>
          </cell>
          <cell r="G209" t="str">
            <v>Дуб сонома</v>
          </cell>
          <cell r="H209" t="str">
            <v>2520000001340</v>
          </cell>
          <cell r="I209" t="str">
            <v>Вакансия</v>
          </cell>
        </row>
        <row r="210">
          <cell r="A210">
            <v>2600</v>
          </cell>
          <cell r="B210" t="str">
            <v>Обувница-полка напольная Белое тиснение 632х300х282</v>
          </cell>
          <cell r="C210" t="str">
            <v>Вакансия</v>
          </cell>
          <cell r="D210" t="str">
            <v>ОБУВНИЦЫ</v>
          </cell>
          <cell r="E210" t="str">
            <v>FBO</v>
          </cell>
          <cell r="G210" t="str">
            <v>Белое тиснение</v>
          </cell>
          <cell r="H210">
            <v>0</v>
          </cell>
          <cell r="I210" t="str">
            <v>Вакансия</v>
          </cell>
        </row>
        <row r="211">
          <cell r="A211">
            <v>2601</v>
          </cell>
          <cell r="B211" t="str">
            <v>Обувница-полка напольная Венге 632х300х282</v>
          </cell>
          <cell r="C211" t="str">
            <v>Вакансия</v>
          </cell>
          <cell r="D211" t="str">
            <v>ОБУВНИЦЫ</v>
          </cell>
          <cell r="E211" t="str">
            <v>FBO</v>
          </cell>
          <cell r="G211" t="str">
            <v>Венге</v>
          </cell>
          <cell r="H211">
            <v>0</v>
          </cell>
          <cell r="I211" t="str">
            <v>Вакансия</v>
          </cell>
        </row>
        <row r="212">
          <cell r="A212">
            <v>2602</v>
          </cell>
          <cell r="B212" t="str">
            <v>Обувница-полка напольная Дуб сонома 632х300х283</v>
          </cell>
          <cell r="C212" t="str">
            <v>Вакансия</v>
          </cell>
          <cell r="D212" t="str">
            <v>ОБУВНИЦЫ</v>
          </cell>
          <cell r="E212" t="str">
            <v>FBO</v>
          </cell>
          <cell r="G212" t="str">
            <v>Дуб сонома</v>
          </cell>
          <cell r="H212">
            <v>0</v>
          </cell>
          <cell r="I212" t="str">
            <v>Вакансия</v>
          </cell>
        </row>
        <row r="213">
          <cell r="A213">
            <v>2925</v>
          </cell>
          <cell r="B213" t="str">
            <v>Обувница-стеллаж Ультра Белое тиснение  266х992х318</v>
          </cell>
          <cell r="C213" t="str">
            <v xml:space="preserve">Петрова </v>
          </cell>
          <cell r="D213" t="str">
            <v>ОБУВНИЦЫ</v>
          </cell>
          <cell r="E213" t="str">
            <v>FBS</v>
          </cell>
          <cell r="F213" t="str">
            <v>Обувница-стеллаж Ультра   266х992х318</v>
          </cell>
          <cell r="G213" t="str">
            <v>Белое тиснение</v>
          </cell>
          <cell r="H213" t="str">
            <v>2520000002091</v>
          </cell>
          <cell r="I213" t="str">
            <v>Вакансия</v>
          </cell>
        </row>
        <row r="214">
          <cell r="A214">
            <v>2490</v>
          </cell>
          <cell r="B214" t="str">
            <v>Стеллаж 6 секций Венге 948х648х294</v>
          </cell>
          <cell r="C214" t="str">
            <v>Вакансия</v>
          </cell>
          <cell r="D214" t="str">
            <v>СТЕЛЛАЖИ</v>
          </cell>
          <cell r="E214" t="str">
            <v>FBS</v>
          </cell>
          <cell r="G214" t="str">
            <v>Венге</v>
          </cell>
          <cell r="H214">
            <v>0</v>
          </cell>
          <cell r="I214" t="str">
            <v>Вакансия</v>
          </cell>
        </row>
        <row r="215">
          <cell r="A215">
            <v>2927</v>
          </cell>
          <cell r="B215" t="str">
            <v>Обувница-стеллаж Ультра Дуб сонома 266х992х318</v>
          </cell>
          <cell r="C215" t="str">
            <v>Вакансия</v>
          </cell>
          <cell r="D215" t="str">
            <v>ОБУВНИЦЫ</v>
          </cell>
          <cell r="E215" t="str">
            <v>FBS</v>
          </cell>
          <cell r="G215" t="str">
            <v>Дуб сонома</v>
          </cell>
          <cell r="H215" t="str">
            <v>2520000001489</v>
          </cell>
          <cell r="I215" t="str">
            <v>Вакансия</v>
          </cell>
        </row>
        <row r="216">
          <cell r="A216">
            <v>3000</v>
          </cell>
          <cell r="B216" t="str">
            <v>Стеллаж Bali универсал. Белое тиснение 978х1506х220</v>
          </cell>
          <cell r="C216" t="str">
            <v>Вакансия</v>
          </cell>
          <cell r="D216" t="str">
            <v>СТЕЛЛАЖИ</v>
          </cell>
          <cell r="E216" t="str">
            <v xml:space="preserve">СКГТ </v>
          </cell>
          <cell r="G216" t="str">
            <v>Белое тиснение</v>
          </cell>
          <cell r="H216" t="str">
            <v>2520897922336</v>
          </cell>
          <cell r="I216" t="str">
            <v>Вакансия</v>
          </cell>
        </row>
        <row r="217">
          <cell r="A217">
            <v>2461</v>
          </cell>
          <cell r="B217" t="str">
            <v>Тумба для обуви Дуб сонома/Кожзам коричневый 786х500х295</v>
          </cell>
          <cell r="C217" t="str">
            <v xml:space="preserve">Петрова </v>
          </cell>
          <cell r="D217" t="str">
            <v>ОБУВНИЦЫ</v>
          </cell>
          <cell r="E217" t="str">
            <v>FBO</v>
          </cell>
          <cell r="F217" t="str">
            <v>Тумба для обуви 786х500х295</v>
          </cell>
          <cell r="G217" t="str">
            <v>Дуб сонома</v>
          </cell>
          <cell r="H217" t="str">
            <v>2520000001401</v>
          </cell>
          <cell r="I217" t="str">
            <v>Вакансия</v>
          </cell>
        </row>
        <row r="218">
          <cell r="A218">
            <v>2643</v>
          </cell>
          <cell r="B218" t="str">
            <v>Тумба для обуви Мальта Венге/Орех лион 1054х510х314</v>
          </cell>
          <cell r="C218" t="str">
            <v>Вакансия</v>
          </cell>
          <cell r="D218" t="str">
            <v>ОБУВНИЦЫ</v>
          </cell>
          <cell r="E218" t="str">
            <v>FBS</v>
          </cell>
          <cell r="G218" t="str">
            <v>комбин</v>
          </cell>
          <cell r="H218">
            <v>0</v>
          </cell>
          <cell r="I218" t="str">
            <v>Вакансия</v>
          </cell>
        </row>
        <row r="219">
          <cell r="A219">
            <v>2526</v>
          </cell>
          <cell r="B219" t="str">
            <v>Тумба прикроватная Ультра Белое тиснение 430х410х330</v>
          </cell>
          <cell r="C219" t="str">
            <v>Кошкарева</v>
          </cell>
          <cell r="D219" t="str">
            <v>ТУМБЫ ПРИКРОВАТНЫЕ</v>
          </cell>
          <cell r="E219" t="str">
            <v>FBO</v>
          </cell>
          <cell r="F219" t="str">
            <v>Тумба прикроватная Ультра 430х410х330</v>
          </cell>
          <cell r="G219" t="str">
            <v>Белое тиснение</v>
          </cell>
          <cell r="H219" t="str">
            <v>2520000000169</v>
          </cell>
          <cell r="I219" t="str">
            <v>Вакансия</v>
          </cell>
        </row>
        <row r="220">
          <cell r="A220">
            <v>2477</v>
          </cell>
          <cell r="B220" t="str">
            <v>Тумба для обуви Мальта Дуб сонома/Белый гладкий 1054х510х314</v>
          </cell>
          <cell r="C220" t="str">
            <v>Вакансия</v>
          </cell>
          <cell r="D220" t="str">
            <v>ОБУВНИЦЫ</v>
          </cell>
          <cell r="E220" t="str">
            <v>FBS</v>
          </cell>
          <cell r="G220" t="str">
            <v>Дуб сонома</v>
          </cell>
          <cell r="H220" t="str">
            <v>2520000001449</v>
          </cell>
          <cell r="I220" t="str">
            <v>Вакансия</v>
          </cell>
        </row>
        <row r="221">
          <cell r="A221">
            <v>2476</v>
          </cell>
          <cell r="B221" t="str">
            <v>Тумба для обуви Мальта Дуб сонома/Белый гладкий 614х470х314</v>
          </cell>
          <cell r="C221" t="str">
            <v xml:space="preserve">Петрова </v>
          </cell>
          <cell r="D221" t="str">
            <v>ОБУВНИЦЫ</v>
          </cell>
          <cell r="E221" t="str">
            <v>FBO</v>
          </cell>
          <cell r="F221" t="str">
            <v>Тумба для обуви Мальта  614х470х314</v>
          </cell>
          <cell r="G221" t="str">
            <v>Дуб сонома</v>
          </cell>
          <cell r="H221" t="str">
            <v>2520000001456</v>
          </cell>
          <cell r="I221" t="str">
            <v>Вакансия</v>
          </cell>
        </row>
        <row r="222">
          <cell r="A222">
            <v>2663</v>
          </cell>
          <cell r="B222" t="str">
            <v>Стеллаж Jazz Дуб сонома 600х1800х290</v>
          </cell>
          <cell r="C222" t="str">
            <v>Вакансия</v>
          </cell>
          <cell r="D222" t="str">
            <v>СТЕЛЛАЖИ</v>
          </cell>
          <cell r="E222" t="str">
            <v xml:space="preserve">СКГТ </v>
          </cell>
          <cell r="F222" t="str">
            <v>Стеллаж Jazz</v>
          </cell>
          <cell r="G222" t="str">
            <v>Дуб сонома</v>
          </cell>
          <cell r="H222" t="str">
            <v>2520000000244</v>
          </cell>
          <cell r="I222" t="str">
            <v>Вакансия</v>
          </cell>
        </row>
        <row r="223">
          <cell r="A223">
            <v>2986</v>
          </cell>
          <cell r="B223" t="str">
            <v>Стеллаж Jazz угловой Венге 314х1616х314</v>
          </cell>
          <cell r="C223" t="str">
            <v>Вакансия</v>
          </cell>
          <cell r="D223" t="str">
            <v>СТЕЛЛАЖИ</v>
          </cell>
          <cell r="E223" t="str">
            <v>FBS</v>
          </cell>
          <cell r="F223" t="str">
            <v>Стеллаж Jazz угловой</v>
          </cell>
          <cell r="G223" t="str">
            <v>Венге</v>
          </cell>
          <cell r="H223" t="str">
            <v>2520897922339</v>
          </cell>
          <cell r="I223" t="str">
            <v>Вакансия</v>
          </cell>
        </row>
        <row r="224">
          <cell r="A224">
            <v>2987</v>
          </cell>
          <cell r="B224" t="str">
            <v>Стеллаж Jazz угловой Дуб сонома 314х1616х314</v>
          </cell>
          <cell r="C224" t="str">
            <v>Вакансия</v>
          </cell>
          <cell r="D224" t="str">
            <v>СТЕЛЛАЖИ</v>
          </cell>
          <cell r="E224" t="str">
            <v>FBS</v>
          </cell>
          <cell r="F224" t="str">
            <v>Стеллаж Jazz угловой</v>
          </cell>
          <cell r="G224" t="str">
            <v>Дуб сонома</v>
          </cell>
          <cell r="H224" t="str">
            <v>2520897922340</v>
          </cell>
          <cell r="I224" t="str">
            <v>Вакансия</v>
          </cell>
        </row>
        <row r="225">
          <cell r="A225">
            <v>3006</v>
          </cell>
          <cell r="B225" t="str">
            <v>Стеллаж Jazz универсальный Белое тиснение 1000х1400х250</v>
          </cell>
          <cell r="C225" t="str">
            <v>Вакансия</v>
          </cell>
          <cell r="D225" t="str">
            <v>СТЕЛЛАЖИ</v>
          </cell>
          <cell r="E225" t="str">
            <v>FBS</v>
          </cell>
          <cell r="G225" t="str">
            <v>Белое тиснение</v>
          </cell>
          <cell r="H225" t="str">
            <v>2520897922331</v>
          </cell>
          <cell r="I225" t="str">
            <v>Вакансия</v>
          </cell>
        </row>
        <row r="226">
          <cell r="A226">
            <v>3358</v>
          </cell>
          <cell r="B226" t="str">
            <v>Тумба для обуви Белое тиснение/Кожзам Аламомилк 786х500(h)х295</v>
          </cell>
          <cell r="C226" t="str">
            <v xml:space="preserve">Петрова </v>
          </cell>
          <cell r="D226" t="str">
            <v>ОБУВНИЦЫ</v>
          </cell>
          <cell r="E226" t="str">
            <v>FBO</v>
          </cell>
          <cell r="F226" t="str">
            <v>Тумба для обуви 786х500(h)х295</v>
          </cell>
          <cell r="G226" t="str">
            <v>Белое тиснение</v>
          </cell>
          <cell r="H226" t="str">
            <v>2521897952522</v>
          </cell>
          <cell r="I226" t="str">
            <v>Вакансия</v>
          </cell>
        </row>
        <row r="227">
          <cell r="A227">
            <v>3359</v>
          </cell>
          <cell r="B227" t="str">
            <v>Тумба для обуви Мальта Белое тиснение/Кожзам Аламомилк 614х470(h)х314</v>
          </cell>
          <cell r="C227" t="str">
            <v xml:space="preserve">Петрова </v>
          </cell>
          <cell r="D227" t="str">
            <v>ОБУВНИЦЫ</v>
          </cell>
          <cell r="E227" t="str">
            <v>FBO</v>
          </cell>
          <cell r="F227" t="str">
            <v>Тумба для обуви Мальта  614х470х314</v>
          </cell>
          <cell r="G227" t="str">
            <v>Белое тиснение</v>
          </cell>
          <cell r="H227" t="str">
            <v>2521897952523</v>
          </cell>
          <cell r="I227" t="str">
            <v>Вакансия</v>
          </cell>
        </row>
        <row r="228">
          <cell r="A228">
            <v>3360</v>
          </cell>
          <cell r="B228" t="str">
            <v>Тумба для обуви Мальта Белое тиснение/Кожзам Аламомилк 1054х510(h)х314</v>
          </cell>
          <cell r="C228" t="str">
            <v>Вакансия</v>
          </cell>
          <cell r="D228" t="str">
            <v>ОБУВНИЦЫ</v>
          </cell>
          <cell r="E228" t="str">
            <v>FBS</v>
          </cell>
          <cell r="G228" t="str">
            <v>Белое тиснение</v>
          </cell>
          <cell r="H228" t="str">
            <v>2521897952519</v>
          </cell>
          <cell r="I228" t="str">
            <v>Вакансия</v>
          </cell>
        </row>
        <row r="229">
          <cell r="A229" t="str">
            <v>MK00034</v>
          </cell>
          <cell r="B229" t="str">
            <v>Тумба для обуви Frame Ткань Capri, черн металл. 800х500х300</v>
          </cell>
          <cell r="C229" t="str">
            <v>Вакансия</v>
          </cell>
          <cell r="D229" t="str">
            <v>ОБУВНИЦЫ</v>
          </cell>
          <cell r="E229" t="str">
            <v>FBS</v>
          </cell>
          <cell r="G229" t="str">
            <v>ткань</v>
          </cell>
          <cell r="H229">
            <v>0</v>
          </cell>
          <cell r="I229" t="str">
            <v>Вакансия</v>
          </cell>
        </row>
        <row r="230">
          <cell r="A230">
            <v>2960</v>
          </cell>
          <cell r="B230" t="str">
            <v>Стол  письменный компьютерный угловой Jazz Дуб сонома  1100х750х500/872</v>
          </cell>
          <cell r="C230" t="str">
            <v>Ратникова</v>
          </cell>
          <cell r="D230" t="str">
            <v>СТОЛЫ</v>
          </cell>
          <cell r="E230" t="str">
            <v>FBS</v>
          </cell>
          <cell r="F230" t="str">
            <v>Стол  письменный компьютерный угловой Jazz  1100х750х500/872</v>
          </cell>
          <cell r="G230" t="str">
            <v>Дуб сонома</v>
          </cell>
          <cell r="H230" t="str">
            <v>2520897922335</v>
          </cell>
          <cell r="I230" t="str">
            <v>Вакансия</v>
          </cell>
        </row>
        <row r="231">
          <cell r="A231">
            <v>580333</v>
          </cell>
          <cell r="B231" t="str">
            <v>Стеллаж Mixit 2 Дуб Винченца</v>
          </cell>
          <cell r="C231" t="str">
            <v>Вакансия</v>
          </cell>
          <cell r="D231" t="str">
            <v>СТЕЛЛАЖИ</v>
          </cell>
          <cell r="E231" t="str">
            <v>FBO</v>
          </cell>
          <cell r="G231">
            <v>0</v>
          </cell>
          <cell r="H231" t="str">
            <v>2520897922347</v>
          </cell>
          <cell r="I231" t="str">
            <v>Вакансия</v>
          </cell>
        </row>
        <row r="232">
          <cell r="A232">
            <v>7792</v>
          </cell>
          <cell r="B232" t="str">
            <v>Обувница вертикальная Мальта Дуб сонома 53х82х22</v>
          </cell>
          <cell r="C232" t="str">
            <v>Вакансия</v>
          </cell>
          <cell r="D232" t="str">
            <v>ОБУВНИЦЫ</v>
          </cell>
          <cell r="E232" t="str">
            <v>FBO</v>
          </cell>
          <cell r="G232" t="str">
            <v>Дуб сонома</v>
          </cell>
          <cell r="H232" t="str">
            <v>2521897952580</v>
          </cell>
          <cell r="I232" t="str">
            <v>Вакансия</v>
          </cell>
        </row>
        <row r="233">
          <cell r="A233">
            <v>7793</v>
          </cell>
          <cell r="B233" t="str">
            <v>Обувница вертикальная Мальта Дуб сонома/Белое тиснение 53х82х22</v>
          </cell>
          <cell r="C233" t="str">
            <v>Вакансия</v>
          </cell>
          <cell r="D233" t="str">
            <v>ОБУВНИЦЫ</v>
          </cell>
          <cell r="E233" t="str">
            <v>FBO</v>
          </cell>
          <cell r="G233" t="str">
            <v>дуб сонома/белое тиснение</v>
          </cell>
          <cell r="H233">
            <v>0</v>
          </cell>
          <cell r="I233" t="str">
            <v>Вакансия</v>
          </cell>
        </row>
        <row r="234">
          <cell r="A234" t="str">
            <v>MK1060101</v>
          </cell>
          <cell r="B234" t="str">
            <v>Обувница этажерка Frame с ящиками ЛДСП Дуб Вотан, Черн. металл. 902х866(h)х296</v>
          </cell>
          <cell r="C234" t="str">
            <v xml:space="preserve">Петрова </v>
          </cell>
          <cell r="D234" t="str">
            <v>ОБУВНИЦЫ</v>
          </cell>
          <cell r="E234" t="str">
            <v>FBS</v>
          </cell>
          <cell r="F234" t="str">
            <v>Обувница этажерка Frame с ящиками  902х866(h)х296</v>
          </cell>
          <cell r="G234" t="str">
            <v>ЛДСП Дуб Вотан, Черн. металл.</v>
          </cell>
          <cell r="H234" t="str">
            <v>2521897952636</v>
          </cell>
          <cell r="I234" t="str">
            <v>Вакансия</v>
          </cell>
        </row>
        <row r="235">
          <cell r="A235">
            <v>3137</v>
          </cell>
          <cell r="B235" t="str">
            <v>Стол стеллаж Zett Белое тиснение 1297х1518х400</v>
          </cell>
          <cell r="C235" t="str">
            <v>Кошкарева</v>
          </cell>
          <cell r="D235" t="str">
            <v>СТОЛЫ</v>
          </cell>
          <cell r="E235" t="str">
            <v>FBO</v>
          </cell>
          <cell r="F235" t="str">
            <v xml:space="preserve">Стол стеллаж Zett </v>
          </cell>
          <cell r="G235" t="str">
            <v>Белое тиснение</v>
          </cell>
          <cell r="H235" t="str">
            <v>2521897952375</v>
          </cell>
          <cell r="I235" t="str">
            <v>Вакансия</v>
          </cell>
        </row>
        <row r="236">
          <cell r="A236">
            <v>580327</v>
          </cell>
          <cell r="B236" t="str">
            <v>Стеллаж Mixit 4 Белый</v>
          </cell>
          <cell r="C236" t="str">
            <v>Вакансия</v>
          </cell>
          <cell r="D236" t="str">
            <v>СТЕЛЛАЖИ</v>
          </cell>
          <cell r="E236" t="str">
            <v>FBO</v>
          </cell>
          <cell r="G236" t="str">
            <v>Белое тиснение</v>
          </cell>
          <cell r="H236" t="str">
            <v>2520897922355</v>
          </cell>
          <cell r="I236" t="str">
            <v>Вакансия</v>
          </cell>
        </row>
        <row r="237">
          <cell r="A237">
            <v>3023</v>
          </cell>
          <cell r="B237" t="str">
            <v>Комод City 3 ящика Дуб сонома 700х675х354</v>
          </cell>
          <cell r="C237" t="str">
            <v>Платонова</v>
          </cell>
          <cell r="D237" t="str">
            <v>КОМОДЫ</v>
          </cell>
          <cell r="E237" t="str">
            <v>FBO</v>
          </cell>
          <cell r="F237" t="str">
            <v>Комод City 3 ящика 700х675х354</v>
          </cell>
          <cell r="G237" t="str">
            <v>Дуб сонома</v>
          </cell>
          <cell r="H237" t="str">
            <v>2520897927254</v>
          </cell>
          <cell r="I237" t="str">
            <v>Вакансия</v>
          </cell>
        </row>
        <row r="238">
          <cell r="A238">
            <v>580351</v>
          </cell>
          <cell r="B238" t="str">
            <v>Стеллаж Mixit 4 Серый Графит (Hardy)</v>
          </cell>
          <cell r="C238" t="str">
            <v>Вакансия</v>
          </cell>
          <cell r="D238" t="str">
            <v>СТЕЛЛАЖИ</v>
          </cell>
          <cell r="E238" t="str">
            <v>FBO</v>
          </cell>
          <cell r="G238" t="str">
            <v>графит</v>
          </cell>
          <cell r="H238" t="str">
            <v>2520897922360</v>
          </cell>
          <cell r="I238" t="str">
            <v>Вакансия</v>
          </cell>
        </row>
        <row r="239">
          <cell r="A239">
            <v>3090</v>
          </cell>
          <cell r="B239" t="str">
            <v>Книжный шкаф  Style с 3 дверками Дуб сонома 706х1048х300</v>
          </cell>
          <cell r="C239" t="str">
            <v>Перепечаева</v>
          </cell>
          <cell r="D239" t="str">
            <v>ШКАФЫ</v>
          </cell>
          <cell r="E239" t="str">
            <v>FBS</v>
          </cell>
          <cell r="F239" t="str">
            <v>Книжный шкаф  Style с 3 дверками</v>
          </cell>
          <cell r="G239" t="str">
            <v>Дуб сонома</v>
          </cell>
          <cell r="H239" t="str">
            <v>2521897952391</v>
          </cell>
          <cell r="I239" t="str">
            <v>Вакансия</v>
          </cell>
        </row>
        <row r="240">
          <cell r="A240">
            <v>580352</v>
          </cell>
          <cell r="B240" t="str">
            <v>Стеллаж Mixit 8 Серый Графит</v>
          </cell>
          <cell r="C240" t="str">
            <v>Вакансия</v>
          </cell>
          <cell r="D240" t="str">
            <v>СТЕЛЛАЖИ</v>
          </cell>
          <cell r="E240" t="str">
            <v>FBS</v>
          </cell>
          <cell r="G240" t="str">
            <v>Графит</v>
          </cell>
          <cell r="H240">
            <v>0</v>
          </cell>
          <cell r="I240" t="str">
            <v>Вакансия</v>
          </cell>
        </row>
        <row r="241">
          <cell r="A241">
            <v>3864</v>
          </cell>
          <cell r="B241" t="str">
            <v>Тумба для обуви Мальта Лайт Белая Гладкая 380х425х300</v>
          </cell>
          <cell r="C241" t="str">
            <v xml:space="preserve">Петрова </v>
          </cell>
          <cell r="D241" t="str">
            <v>ОБУВНИЦЫ</v>
          </cell>
          <cell r="E241" t="str">
            <v>FBO</v>
          </cell>
          <cell r="F241" t="str">
            <v>Тумба для обуви Мальта Лайт 380х425х300</v>
          </cell>
          <cell r="G241" t="str">
            <v>Белая гладкая</v>
          </cell>
          <cell r="H241" t="str">
            <v>2521897953252</v>
          </cell>
          <cell r="I241" t="str">
            <v>Вакансия</v>
          </cell>
        </row>
        <row r="242">
          <cell r="A242">
            <v>135586</v>
          </cell>
          <cell r="B242" t="str">
            <v>Обувница вертикальная Мальта Лайт Бетон</v>
          </cell>
          <cell r="C242" t="str">
            <v xml:space="preserve">Петрова </v>
          </cell>
          <cell r="D242" t="str">
            <v>ОБУВНИЦЫ</v>
          </cell>
          <cell r="E242" t="str">
            <v>FBO</v>
          </cell>
          <cell r="F242" t="str">
            <v>Обувница вертикальная Мальта Лайт 53х82х22</v>
          </cell>
          <cell r="G242" t="str">
            <v>Бетон</v>
          </cell>
          <cell r="H242" t="str">
            <v>2521897953023</v>
          </cell>
          <cell r="I242" t="str">
            <v>Вакансия</v>
          </cell>
        </row>
        <row r="243">
          <cell r="A243">
            <v>135587</v>
          </cell>
          <cell r="B243" t="str">
            <v>Обувница вертикальная Мальта Лайт Бетон/ Белое тиснение</v>
          </cell>
          <cell r="C243" t="str">
            <v xml:space="preserve">Петрова </v>
          </cell>
          <cell r="D243" t="str">
            <v>ОБУВНИЦЫ</v>
          </cell>
          <cell r="E243" t="str">
            <v>FBO</v>
          </cell>
          <cell r="F243" t="str">
            <v>Обувница вертикальная Мальта Лайт 53х82х22</v>
          </cell>
          <cell r="G243" t="str">
            <v>Бетон/Белое тиснение</v>
          </cell>
          <cell r="H243" t="str">
            <v>2521897953024</v>
          </cell>
          <cell r="I243" t="str">
            <v>Вакансия</v>
          </cell>
        </row>
        <row r="244">
          <cell r="A244">
            <v>13202</v>
          </cell>
          <cell r="B244" t="str">
            <v>Комод тумба офисная Praga 6 Крафт золотой</v>
          </cell>
          <cell r="C244" t="str">
            <v>Ратникова</v>
          </cell>
          <cell r="D244" t="str">
            <v>КОМОДЫ</v>
          </cell>
          <cell r="E244" t="str">
            <v>FBS</v>
          </cell>
          <cell r="F244" t="str">
            <v xml:space="preserve">Комод тумба офисная Praga 6 </v>
          </cell>
          <cell r="G244" t="str">
            <v>Дуб Крафт золотой</v>
          </cell>
          <cell r="H244" t="str">
            <v>2521897953092</v>
          </cell>
          <cell r="I244" t="str">
            <v>Вакансия</v>
          </cell>
        </row>
        <row r="245">
          <cell r="A245">
            <v>3022</v>
          </cell>
          <cell r="B245" t="str">
            <v>Комод City 3 ящика Венге 700х675х354</v>
          </cell>
          <cell r="C245" t="str">
            <v>Платонова</v>
          </cell>
          <cell r="D245" t="str">
            <v>КОМОДЫ</v>
          </cell>
          <cell r="E245" t="str">
            <v>FBO</v>
          </cell>
          <cell r="F245" t="str">
            <v>Комод City 3 ящика 700х675х354</v>
          </cell>
          <cell r="G245" t="str">
            <v>Венге</v>
          </cell>
          <cell r="H245" t="str">
            <v>2520897922362</v>
          </cell>
          <cell r="I245" t="str">
            <v>Вакансия</v>
          </cell>
        </row>
        <row r="246">
          <cell r="A246">
            <v>3073</v>
          </cell>
          <cell r="B246" t="str">
            <v>Стеллаж Zett Plus Белое тиснение</v>
          </cell>
          <cell r="C246" t="str">
            <v>Зимакова</v>
          </cell>
          <cell r="D246" t="str">
            <v>СТЕЛЛАЖИ</v>
          </cell>
          <cell r="E246" t="str">
            <v xml:space="preserve">СКГТ </v>
          </cell>
          <cell r="F246" t="str">
            <v>Стеллаж Zett Plus</v>
          </cell>
          <cell r="G246" t="str">
            <v>Белое тиснение</v>
          </cell>
          <cell r="H246" t="str">
            <v>2521897952459</v>
          </cell>
          <cell r="I246" t="str">
            <v>Вакансия</v>
          </cell>
        </row>
        <row r="247">
          <cell r="A247">
            <v>2650</v>
          </cell>
          <cell r="B247" t="str">
            <v>Стол компьютерный Мальта 3 ящ. Орех лион/Пельтро 900х730х500</v>
          </cell>
          <cell r="C247" t="str">
            <v>Кошкарева</v>
          </cell>
          <cell r="D247" t="str">
            <v>СТОЛЫ</v>
          </cell>
          <cell r="E247" t="str">
            <v>СКГТ (ОЗОН)</v>
          </cell>
          <cell r="F247" t="str">
            <v>Стол компьютерный Мальта 3 ящ.  900х730х500</v>
          </cell>
          <cell r="G247" t="str">
            <v>дуб крафт золотой/Пельтро</v>
          </cell>
          <cell r="H247" t="str">
            <v>2520000001036</v>
          </cell>
          <cell r="I247" t="str">
            <v>Вакансия</v>
          </cell>
        </row>
        <row r="248">
          <cell r="A248" t="str">
            <v>3756.05/01</v>
          </cell>
          <cell r="B248" t="str">
            <v>Стеллаж Estet Plus Дуб Крафт Золотой 730*1425*220</v>
          </cell>
          <cell r="C248" t="str">
            <v>Загашева</v>
          </cell>
          <cell r="D248" t="str">
            <v>СТЕЛЛАЖИ</v>
          </cell>
          <cell r="E248" t="str">
            <v>FBO</v>
          </cell>
          <cell r="F248" t="str">
            <v>Стеллаж Estet Plus 730*1425*220</v>
          </cell>
          <cell r="G248" t="str">
            <v>Дуб Крафт золотой</v>
          </cell>
          <cell r="H248" t="str">
            <v>2521897953236</v>
          </cell>
          <cell r="I248" t="str">
            <v>Вакансия</v>
          </cell>
        </row>
        <row r="249">
          <cell r="A249">
            <v>2958</v>
          </cell>
          <cell r="B249" t="str">
            <v>Стол  письменный компьютерный угловой Jazz Белое тиснение 1100х750х500/872</v>
          </cell>
          <cell r="C249" t="str">
            <v>Ратникова</v>
          </cell>
          <cell r="D249" t="str">
            <v>СТОЛЫ</v>
          </cell>
          <cell r="E249" t="str">
            <v>FBS</v>
          </cell>
          <cell r="F249" t="str">
            <v>Стол  письменный компьютерный угловой Jazz  1100х750х500/872</v>
          </cell>
          <cell r="G249" t="str">
            <v>Белое тиснение</v>
          </cell>
          <cell r="H249" t="str">
            <v>2520897922358</v>
          </cell>
          <cell r="I249" t="str">
            <v>Вакансия</v>
          </cell>
        </row>
        <row r="250">
          <cell r="A250">
            <v>3079</v>
          </cell>
          <cell r="B250" t="str">
            <v>Стеллаж Style 5 секций Белое тиснение 502х784х254</v>
          </cell>
          <cell r="C250" t="str">
            <v>Вакансия</v>
          </cell>
          <cell r="D250" t="str">
            <v>СТЕЛЛАЖИ</v>
          </cell>
          <cell r="E250" t="str">
            <v>FBS</v>
          </cell>
          <cell r="G250" t="str">
            <v>Белое тиснение</v>
          </cell>
          <cell r="H250" t="str">
            <v>2520897927262</v>
          </cell>
          <cell r="I250" t="str">
            <v>Вакансия</v>
          </cell>
        </row>
        <row r="251">
          <cell r="A251">
            <v>2682</v>
          </cell>
          <cell r="B251" t="str">
            <v>Полка Jazz Белое тиснение 1076х568х200</v>
          </cell>
          <cell r="C251" t="str">
            <v>Вакансия</v>
          </cell>
          <cell r="D251" t="str">
            <v>ПОЛКИ</v>
          </cell>
          <cell r="E251" t="str">
            <v>FBO</v>
          </cell>
          <cell r="G251" t="str">
            <v>Белое тиснение</v>
          </cell>
          <cell r="H251" t="str">
            <v>2520000001487</v>
          </cell>
          <cell r="I251" t="str">
            <v>Вакансия</v>
          </cell>
        </row>
        <row r="252">
          <cell r="A252">
            <v>2683</v>
          </cell>
          <cell r="B252" t="str">
            <v>Полка Jazz Дуб сонома/Белое тиснение 1076х568х200</v>
          </cell>
          <cell r="C252" t="str">
            <v>Вакансия</v>
          </cell>
          <cell r="D252" t="str">
            <v>ПОЛКИ</v>
          </cell>
          <cell r="E252" t="str">
            <v>FBO</v>
          </cell>
          <cell r="G252" t="str">
            <v>Дуб сонома</v>
          </cell>
          <cell r="H252" t="str">
            <v>2520000001494</v>
          </cell>
          <cell r="I252" t="str">
            <v>Вакансия</v>
          </cell>
        </row>
        <row r="253">
          <cell r="A253">
            <v>2978</v>
          </cell>
          <cell r="B253" t="str">
            <v>Тумба Jazz c ящиком Дуб сонома 406х399х342</v>
          </cell>
          <cell r="C253" t="str">
            <v>Кошкарева</v>
          </cell>
          <cell r="D253" t="str">
            <v>ТУМБЫ ПРИКРОВАТНЫЕ</v>
          </cell>
          <cell r="E253" t="str">
            <v>FBO</v>
          </cell>
          <cell r="F253" t="str">
            <v>Тумба Jazz c ящиком 406х399х342</v>
          </cell>
          <cell r="G253" t="str">
            <v>Дуб сонома</v>
          </cell>
          <cell r="H253" t="str">
            <v>2520000001510</v>
          </cell>
          <cell r="I253" t="str">
            <v>Вакансия</v>
          </cell>
        </row>
        <row r="254">
          <cell r="A254">
            <v>2609</v>
          </cell>
          <cell r="B254" t="str">
            <v>Полка книжная Ультра Венге 1150х520х200</v>
          </cell>
          <cell r="C254" t="str">
            <v xml:space="preserve">Петрова </v>
          </cell>
          <cell r="D254" t="str">
            <v>ПОЛКИ</v>
          </cell>
          <cell r="E254" t="str">
            <v>FBS</v>
          </cell>
          <cell r="F254" t="str">
            <v>Полка книжная Ультра 1150х520х200</v>
          </cell>
          <cell r="G254" t="str">
            <v>Венге</v>
          </cell>
          <cell r="H254" t="str">
            <v>2520000001524</v>
          </cell>
          <cell r="I254" t="str">
            <v>Вакансия</v>
          </cell>
        </row>
        <row r="255">
          <cell r="A255">
            <v>9393</v>
          </cell>
          <cell r="B255" t="str">
            <v>Стеллаж Zett Ультра Дуб Белфорт 730х1757х250</v>
          </cell>
          <cell r="C255" t="str">
            <v>Вакансия</v>
          </cell>
          <cell r="D255" t="str">
            <v>СТЕЛЛАЖИ</v>
          </cell>
          <cell r="E255" t="str">
            <v>FBO</v>
          </cell>
          <cell r="G255" t="str">
            <v>дуб белфорт</v>
          </cell>
          <cell r="H255" t="str">
            <v>2520000002144</v>
          </cell>
          <cell r="I255" t="str">
            <v>Вакансия</v>
          </cell>
        </row>
        <row r="256">
          <cell r="A256">
            <v>2964</v>
          </cell>
          <cell r="B256" t="str">
            <v>Полка навесная Zett Белое тиснение 680х532х180</v>
          </cell>
          <cell r="C256" t="str">
            <v xml:space="preserve">Петрова </v>
          </cell>
          <cell r="D256" t="str">
            <v>ПОЛКИ</v>
          </cell>
          <cell r="E256" t="str">
            <v>FBO</v>
          </cell>
          <cell r="F256" t="str">
            <v>Полка навесная Zett  680х532х180</v>
          </cell>
          <cell r="G256" t="str">
            <v>Белое тиснение</v>
          </cell>
          <cell r="H256" t="str">
            <v>2520000002169</v>
          </cell>
          <cell r="I256" t="str">
            <v>Вакансия</v>
          </cell>
        </row>
        <row r="257">
          <cell r="A257">
            <v>2660</v>
          </cell>
          <cell r="B257" t="str">
            <v>Стеллаж Бали прямой Орех лион/Пельтро 800х1600х200</v>
          </cell>
          <cell r="C257" t="str">
            <v>Вакансия</v>
          </cell>
          <cell r="D257" t="str">
            <v>СТЕЛЛАЖИ</v>
          </cell>
          <cell r="E257" t="str">
            <v xml:space="preserve">СКГТ </v>
          </cell>
          <cell r="G257" t="str">
            <v>Орех лион/Пельтро</v>
          </cell>
          <cell r="H257" t="str">
            <v>2520000000350</v>
          </cell>
          <cell r="I257" t="str">
            <v>Вакансия</v>
          </cell>
        </row>
        <row r="258">
          <cell r="A258">
            <v>2966</v>
          </cell>
          <cell r="B258" t="str">
            <v>Полка навесная Zett Дуб сонома 680х532х180</v>
          </cell>
          <cell r="C258" t="str">
            <v xml:space="preserve">Петрова </v>
          </cell>
          <cell r="D258" t="str">
            <v>ПОЛКИ</v>
          </cell>
          <cell r="E258" t="str">
            <v>FBO</v>
          </cell>
          <cell r="F258" t="str">
            <v>Полка навесная Zett  680х532х180</v>
          </cell>
          <cell r="G258" t="str">
            <v>Дуб сонома</v>
          </cell>
          <cell r="H258" t="str">
            <v>2520000002183</v>
          </cell>
          <cell r="I258" t="str">
            <v>Вакансия</v>
          </cell>
        </row>
        <row r="259">
          <cell r="A259">
            <v>2941</v>
          </cell>
          <cell r="B259" t="str">
            <v>Полка навесная Лайт Белое тиснение 786х180х180</v>
          </cell>
          <cell r="C259" t="str">
            <v>Вакансия</v>
          </cell>
          <cell r="D259" t="str">
            <v>ПОЛКИ</v>
          </cell>
          <cell r="E259" t="str">
            <v>FBS</v>
          </cell>
          <cell r="G259" t="str">
            <v>Белое тиснение</v>
          </cell>
          <cell r="H259" t="str">
            <v>2520000001579</v>
          </cell>
          <cell r="I259" t="str">
            <v>Вакансия</v>
          </cell>
        </row>
        <row r="260">
          <cell r="A260">
            <v>2942</v>
          </cell>
          <cell r="B260" t="str">
            <v>Полка навесная Лайт Венге 786х180х180</v>
          </cell>
          <cell r="C260" t="str">
            <v>Вакансия</v>
          </cell>
          <cell r="D260" t="str">
            <v>ПОЛКИ</v>
          </cell>
          <cell r="E260" t="str">
            <v>FBS</v>
          </cell>
          <cell r="G260" t="str">
            <v>Венге</v>
          </cell>
          <cell r="H260" t="str">
            <v>2520000001586</v>
          </cell>
          <cell r="I260" t="str">
            <v>Вакансия</v>
          </cell>
        </row>
        <row r="261">
          <cell r="A261">
            <v>2943</v>
          </cell>
          <cell r="B261" t="str">
            <v>Полка навесная Лайт Дуб сонома 786х180х180</v>
          </cell>
          <cell r="C261" t="str">
            <v>Вакансия</v>
          </cell>
          <cell r="D261" t="str">
            <v>ПОЛКИ</v>
          </cell>
          <cell r="E261" t="str">
            <v>FBS</v>
          </cell>
          <cell r="G261" t="str">
            <v>Дуб сонома</v>
          </cell>
          <cell r="H261" t="str">
            <v>2520000001593</v>
          </cell>
          <cell r="I261" t="str">
            <v>Вакансия</v>
          </cell>
        </row>
        <row r="262">
          <cell r="A262">
            <v>2944</v>
          </cell>
          <cell r="B262" t="str">
            <v>Полка навесная Лайт Пельтро 786х180х180</v>
          </cell>
          <cell r="C262" t="str">
            <v xml:space="preserve">Петрова </v>
          </cell>
          <cell r="D262" t="str">
            <v>ПОЛКИ</v>
          </cell>
          <cell r="E262" t="str">
            <v>FBS</v>
          </cell>
          <cell r="F262" t="str">
            <v>Полка навесная Лайт  786х180х180</v>
          </cell>
          <cell r="G262" t="str">
            <v>Бетон</v>
          </cell>
          <cell r="H262" t="str">
            <v>2520000001609</v>
          </cell>
          <cell r="I262" t="str">
            <v>Вакансия</v>
          </cell>
        </row>
        <row r="263">
          <cell r="A263">
            <v>9400</v>
          </cell>
          <cell r="B263" t="str">
            <v>Полка навесная ПЛ1 850*850*180</v>
          </cell>
          <cell r="C263" t="str">
            <v>Вакансия</v>
          </cell>
          <cell r="D263" t="str">
            <v>ПОЛКИ</v>
          </cell>
          <cell r="E263" t="str">
            <v>FBS</v>
          </cell>
          <cell r="G263">
            <v>0</v>
          </cell>
          <cell r="H263" t="str">
            <v>2520000002160</v>
          </cell>
          <cell r="I263" t="str">
            <v>Вакансия</v>
          </cell>
        </row>
        <row r="264">
          <cell r="A264">
            <v>9401</v>
          </cell>
          <cell r="B264" t="str">
            <v>Полка навесная ПЛ2 1042*1042*180</v>
          </cell>
          <cell r="C264" t="str">
            <v>Вакансия</v>
          </cell>
          <cell r="D264" t="str">
            <v>ПОЛКИ</v>
          </cell>
          <cell r="E264" t="str">
            <v>FBO</v>
          </cell>
          <cell r="G264">
            <v>0</v>
          </cell>
          <cell r="H264" t="str">
            <v>2520000002161</v>
          </cell>
          <cell r="I264" t="str">
            <v>Вакансия</v>
          </cell>
        </row>
        <row r="265">
          <cell r="A265">
            <v>3756</v>
          </cell>
          <cell r="B265" t="str">
            <v>Стеллаж Estet Plus Белое тиснение 730*1425*220</v>
          </cell>
          <cell r="C265" t="str">
            <v>Загашева</v>
          </cell>
          <cell r="D265" t="str">
            <v>СТЕЛЛАЖИ</v>
          </cell>
          <cell r="E265" t="str">
            <v>FBO</v>
          </cell>
          <cell r="F265" t="str">
            <v>Стеллаж Estet Plus 730*1425*220</v>
          </cell>
          <cell r="G265" t="str">
            <v>Белое тиснение</v>
          </cell>
          <cell r="H265" t="str">
            <v>2521897953235</v>
          </cell>
          <cell r="I265" t="str">
            <v>Вакансия</v>
          </cell>
        </row>
        <row r="266">
          <cell r="A266">
            <v>9403</v>
          </cell>
          <cell r="B266" t="str">
            <v>Полка навесная ПЛ4 1050*600*180</v>
          </cell>
          <cell r="C266" t="str">
            <v>Вакансия</v>
          </cell>
          <cell r="D266" t="str">
            <v>ПОЛКИ</v>
          </cell>
          <cell r="E266" t="str">
            <v>FBO</v>
          </cell>
          <cell r="G266">
            <v>0</v>
          </cell>
          <cell r="H266" t="str">
            <v>2520000002163</v>
          </cell>
          <cell r="I266" t="str">
            <v>Вакансия</v>
          </cell>
        </row>
        <row r="267">
          <cell r="A267">
            <v>3299</v>
          </cell>
          <cell r="B267" t="str">
            <v>Тумба Neoletta с ящиком Белое тиснен./Дуб Вотан 400х520(h)х354</v>
          </cell>
          <cell r="C267" t="str">
            <v>Кошкарева</v>
          </cell>
          <cell r="D267" t="str">
            <v>ТУМБЫ ПРИКРОВАТНЫЕ</v>
          </cell>
          <cell r="E267" t="str">
            <v>FBO</v>
          </cell>
          <cell r="F267" t="str">
            <v>Тумба Neoletta 2 ящика 400х520(h)х354</v>
          </cell>
          <cell r="G267" t="str">
            <v>Белое тиснение/Дуб Вотан</v>
          </cell>
          <cell r="H267" t="str">
            <v>2521897952591</v>
          </cell>
          <cell r="I267" t="str">
            <v>Вакансия</v>
          </cell>
        </row>
        <row r="268">
          <cell r="A268">
            <v>2973</v>
          </cell>
          <cell r="B268" t="str">
            <v>Стеллаж-полка Jazz Белое тиснение 978/592х617/1003х224</v>
          </cell>
          <cell r="C268" t="str">
            <v>Зимакова</v>
          </cell>
          <cell r="D268" t="str">
            <v>СТЕЛЛАЖИ</v>
          </cell>
          <cell r="E268" t="str">
            <v>FBS</v>
          </cell>
          <cell r="F268" t="str">
            <v>Стеллаж-полка Jazz  978/592х617/1003х224</v>
          </cell>
          <cell r="G268" t="str">
            <v>Белое тиснение</v>
          </cell>
          <cell r="H268" t="str">
            <v>2520000002190</v>
          </cell>
          <cell r="I268" t="str">
            <v>Вакансия</v>
          </cell>
        </row>
        <row r="269">
          <cell r="A269">
            <v>2974</v>
          </cell>
          <cell r="B269" t="str">
            <v>Стеллаж-полка Jazz Венге 978/592х617/1003х224</v>
          </cell>
          <cell r="C269" t="str">
            <v>Зимакова</v>
          </cell>
          <cell r="D269" t="str">
            <v>СТЕЛЛАЖИ</v>
          </cell>
          <cell r="E269" t="str">
            <v>FBS</v>
          </cell>
          <cell r="F269" t="str">
            <v>Стеллаж-полка Jazz  978/592х617/1003х224</v>
          </cell>
          <cell r="G269" t="str">
            <v>Венге</v>
          </cell>
          <cell r="H269" t="str">
            <v>2520000002206</v>
          </cell>
          <cell r="I269" t="str">
            <v>Вакансия</v>
          </cell>
        </row>
        <row r="270">
          <cell r="A270">
            <v>3054</v>
          </cell>
          <cell r="B270" t="str">
            <v>Полка угловая навесная Черный 250х1388х250</v>
          </cell>
          <cell r="C270" t="str">
            <v xml:space="preserve">Петрова </v>
          </cell>
          <cell r="D270" t="str">
            <v>ПОЛКИ</v>
          </cell>
          <cell r="E270" t="str">
            <v>FBO</v>
          </cell>
          <cell r="F270" t="str">
            <v>Полка угловая навесная  250х1388х250</v>
          </cell>
          <cell r="G270" t="str">
            <v>Черный</v>
          </cell>
          <cell r="H270" t="str">
            <v>2520897922317</v>
          </cell>
          <cell r="I270" t="str">
            <v>Вакансия</v>
          </cell>
        </row>
        <row r="271">
          <cell r="A271">
            <v>4303418</v>
          </cell>
          <cell r="B271" t="str">
            <v>Полка Школьник Дуб сонома</v>
          </cell>
          <cell r="C271" t="str">
            <v>Вакансия</v>
          </cell>
          <cell r="D271" t="str">
            <v>ПОЛКИ</v>
          </cell>
          <cell r="E271" t="str">
            <v>FBS</v>
          </cell>
          <cell r="G271" t="str">
            <v>Дуб сонома</v>
          </cell>
          <cell r="H271" t="str">
            <v>2520897927265</v>
          </cell>
          <cell r="I271" t="str">
            <v>Вакансия</v>
          </cell>
        </row>
        <row r="272">
          <cell r="A272">
            <v>2679</v>
          </cell>
          <cell r="B272" t="str">
            <v>Полки Мальта Комплект Белое тиснение 290/260/230х290/260/230х140</v>
          </cell>
          <cell r="C272" t="str">
            <v>Вакансия</v>
          </cell>
          <cell r="D272" t="str">
            <v>ПОЛКИ</v>
          </cell>
          <cell r="E272" t="str">
            <v>FBO</v>
          </cell>
          <cell r="G272" t="str">
            <v>Белое тиснение</v>
          </cell>
          <cell r="H272" t="str">
            <v>2520000001548</v>
          </cell>
          <cell r="I272" t="str">
            <v>Вакансия</v>
          </cell>
        </row>
        <row r="273">
          <cell r="A273">
            <v>2680</v>
          </cell>
          <cell r="B273" t="str">
            <v>Полки Мальта Комплект Венге 290/260/230х290/260/230х140</v>
          </cell>
          <cell r="C273" t="str">
            <v>Вакансия</v>
          </cell>
          <cell r="D273" t="str">
            <v>ПОЛКИ</v>
          </cell>
          <cell r="E273" t="str">
            <v>FBO</v>
          </cell>
          <cell r="G273" t="str">
            <v>Венге</v>
          </cell>
          <cell r="H273" t="str">
            <v>2520000001555</v>
          </cell>
          <cell r="I273" t="str">
            <v>Вакансия</v>
          </cell>
        </row>
        <row r="274">
          <cell r="A274">
            <v>2681</v>
          </cell>
          <cell r="B274" t="str">
            <v>Полки Мальта Комплект Дуб сонома 290/260/230х290/260/230х140</v>
          </cell>
          <cell r="C274" t="str">
            <v>Вакансия</v>
          </cell>
          <cell r="D274" t="str">
            <v>ПОЛКИ</v>
          </cell>
          <cell r="E274" t="str">
            <v>FBO</v>
          </cell>
          <cell r="G274" t="str">
            <v>Дуб сонома</v>
          </cell>
          <cell r="H274" t="str">
            <v>2520000001562</v>
          </cell>
          <cell r="I274" t="str">
            <v>Вакансия</v>
          </cell>
        </row>
        <row r="275">
          <cell r="A275">
            <v>914600</v>
          </cell>
          <cell r="B275" t="str">
            <v>Полка Школьник Белый</v>
          </cell>
          <cell r="C275" t="str">
            <v>Вакансия</v>
          </cell>
          <cell r="D275" t="str">
            <v>ПОЛКИ</v>
          </cell>
          <cell r="E275" t="str">
            <v>FBS</v>
          </cell>
          <cell r="G275" t="str">
            <v>Белое тиснение</v>
          </cell>
          <cell r="H275" t="str">
            <v>2520897927293</v>
          </cell>
          <cell r="I275" t="str">
            <v>Вакансия</v>
          </cell>
        </row>
        <row r="276">
          <cell r="A276">
            <v>3087</v>
          </cell>
          <cell r="B276" t="str">
            <v>Стеллаж Style 7 секций Дуб сонома  502х1040х254</v>
          </cell>
          <cell r="C276" t="str">
            <v>Вакансия</v>
          </cell>
          <cell r="D276" t="str">
            <v>СТЕЛЛАЖИ</v>
          </cell>
          <cell r="E276" t="str">
            <v>FBS</v>
          </cell>
          <cell r="G276" t="str">
            <v>Дуб сонома</v>
          </cell>
          <cell r="H276" t="str">
            <v>2521897952385</v>
          </cell>
          <cell r="I276" t="str">
            <v>Вакансия</v>
          </cell>
        </row>
        <row r="277">
          <cell r="A277">
            <v>3182</v>
          </cell>
          <cell r="B277" t="str">
            <v>Полка Quattro  Белое тиснение  918х920х250</v>
          </cell>
          <cell r="C277" t="str">
            <v>Вакансия</v>
          </cell>
          <cell r="D277" t="str">
            <v>ПОЛКИ</v>
          </cell>
          <cell r="E277" t="str">
            <v>FBS</v>
          </cell>
          <cell r="G277" t="str">
            <v>Белое тиснение</v>
          </cell>
          <cell r="H277" t="str">
            <v>2521897952480</v>
          </cell>
          <cell r="I277" t="str">
            <v>Вакансия</v>
          </cell>
        </row>
        <row r="278">
          <cell r="A278" t="str">
            <v>MK1110101</v>
          </cell>
          <cell r="B278" t="str">
            <v>Полка стеллаж Tokyo навесная, напольная ЛДСП Дуб Вотан, Черн. металл. 800х608(h)х260</v>
          </cell>
          <cell r="C278" t="str">
            <v xml:space="preserve">Петрова </v>
          </cell>
          <cell r="D278" t="str">
            <v>ПОЛКИ</v>
          </cell>
          <cell r="E278" t="str">
            <v>FBS</v>
          </cell>
          <cell r="F278" t="str">
            <v>Полка стеллаж Tokyo навесная, напольная  800х608(h)х260</v>
          </cell>
          <cell r="G278" t="str">
            <v>ЛДСП Дуб Вотан, Черн. металл.</v>
          </cell>
          <cell r="H278" t="str">
            <v>2521897952643</v>
          </cell>
          <cell r="I278" t="str">
            <v>Вакансия</v>
          </cell>
        </row>
        <row r="279">
          <cell r="A279" t="str">
            <v>MK1020101</v>
          </cell>
          <cell r="B279" t="str">
            <v>Полка навесная, напольная Frame ЛДСП Дуб Вотан, Черн. металл. 670х408(h)х290</v>
          </cell>
          <cell r="C279" t="str">
            <v xml:space="preserve">Петрова </v>
          </cell>
          <cell r="D279" t="str">
            <v>ПОЛКИ</v>
          </cell>
          <cell r="E279" t="str">
            <v>FBS</v>
          </cell>
          <cell r="F279" t="str">
            <v xml:space="preserve">Полка навесная, напольная Frame ЛДСП </v>
          </cell>
          <cell r="G279" t="str">
            <v>ЛДСП Дуб Вотан, Черн. металл.</v>
          </cell>
          <cell r="H279" t="str">
            <v>2521897952660</v>
          </cell>
          <cell r="I279" t="str">
            <v>Вакансия</v>
          </cell>
        </row>
        <row r="280">
          <cell r="A280" t="str">
            <v>MK2000101</v>
          </cell>
          <cell r="B280" t="str">
            <v>Полка стеллаж Tokyo навесная, напольная ЛДСП Дуб Вотан, Черн. металл. 750х608(h)х260</v>
          </cell>
          <cell r="C280" t="str">
            <v xml:space="preserve">Петрова </v>
          </cell>
          <cell r="D280" t="str">
            <v>ПОЛКИ</v>
          </cell>
          <cell r="E280" t="str">
            <v>FBO</v>
          </cell>
          <cell r="F280" t="str">
            <v>Полка стеллаж Tokyo навесная, напольная  750х608(h)х260</v>
          </cell>
          <cell r="G280" t="str">
            <v>ЛДСП Дуб Вотан, Черн. металл.</v>
          </cell>
          <cell r="H280" t="str">
            <v>2521897952843</v>
          </cell>
          <cell r="I280" t="str">
            <v>Вакансия</v>
          </cell>
        </row>
        <row r="281">
          <cell r="A281">
            <v>80217944</v>
          </cell>
          <cell r="B281" t="str">
            <v>Стеллаж Hardy Белый (Hardy)</v>
          </cell>
          <cell r="C281" t="str">
            <v>Вакансия</v>
          </cell>
          <cell r="D281" t="str">
            <v>СТЕЛЛАЖИ</v>
          </cell>
          <cell r="E281" t="str">
            <v xml:space="preserve">СКГТ </v>
          </cell>
          <cell r="G281" t="str">
            <v>Белое тиснение</v>
          </cell>
          <cell r="H281" t="str">
            <v>2520897927294</v>
          </cell>
          <cell r="I281" t="str">
            <v>Вакансия</v>
          </cell>
        </row>
        <row r="282">
          <cell r="A282">
            <v>9502</v>
          </cell>
          <cell r="B282" t="str">
            <v>Полка Ницца Венге</v>
          </cell>
          <cell r="C282" t="str">
            <v xml:space="preserve">Петрова </v>
          </cell>
          <cell r="D282" t="str">
            <v>ПОЛКИ</v>
          </cell>
          <cell r="E282" t="str">
            <v>FBO</v>
          </cell>
          <cell r="F282" t="str">
            <v xml:space="preserve">Полка Ницца </v>
          </cell>
          <cell r="G282" t="str">
            <v>Венге</v>
          </cell>
          <cell r="H282" t="str">
            <v>2521897952783</v>
          </cell>
          <cell r="I282" t="str">
            <v>Вакансия</v>
          </cell>
        </row>
        <row r="283">
          <cell r="A283">
            <v>580354</v>
          </cell>
          <cell r="B283" t="str">
            <v>Стеллаж Mixit 8 Серый Графит/Белый+Кромка БЕЛ(Hardy)</v>
          </cell>
          <cell r="C283" t="str">
            <v>Вакансия</v>
          </cell>
          <cell r="D283" t="str">
            <v>СТЕЛЛАЖИ</v>
          </cell>
          <cell r="E283" t="str">
            <v>FBS</v>
          </cell>
          <cell r="G283" t="str">
            <v>комбин</v>
          </cell>
          <cell r="H283">
            <v>0</v>
          </cell>
          <cell r="I283" t="str">
            <v>Вакансия</v>
          </cell>
        </row>
        <row r="284">
          <cell r="A284">
            <v>9701</v>
          </cell>
          <cell r="B284" t="str">
            <v>Полка маникюрная Blues Белое тиснение</v>
          </cell>
          <cell r="C284" t="str">
            <v xml:space="preserve">Петрова </v>
          </cell>
          <cell r="D284" t="str">
            <v>ПОЛКИ</v>
          </cell>
          <cell r="E284" t="str">
            <v>FBO</v>
          </cell>
          <cell r="F284" t="str">
            <v xml:space="preserve">Полка маникюрная Blues </v>
          </cell>
          <cell r="G284" t="str">
            <v>Белое тиснение</v>
          </cell>
          <cell r="H284" t="str">
            <v>2521897952791</v>
          </cell>
          <cell r="I284" t="str">
            <v>Вакансия</v>
          </cell>
        </row>
        <row r="285">
          <cell r="A285">
            <v>580356</v>
          </cell>
          <cell r="B285" t="str">
            <v>Стеллаж Mixit 9 Серый Графит/БЕЛЫЙ+ кромка БЕЛ (Hardy)</v>
          </cell>
          <cell r="C285" t="str">
            <v>Вакансия</v>
          </cell>
          <cell r="D285" t="str">
            <v>СТЕЛЛАЖИ</v>
          </cell>
          <cell r="E285" t="str">
            <v>СКГТ (ОЗОН)</v>
          </cell>
          <cell r="G285" t="str">
            <v>комбин</v>
          </cell>
          <cell r="H285" t="str">
            <v>2521897952416</v>
          </cell>
          <cell r="I285" t="str">
            <v>Вакансия</v>
          </cell>
        </row>
        <row r="286">
          <cell r="A286">
            <v>9703</v>
          </cell>
          <cell r="B286" t="str">
            <v>Полка маникюрная Blues Венге</v>
          </cell>
          <cell r="C286" t="str">
            <v xml:space="preserve">Петрова </v>
          </cell>
          <cell r="D286" t="str">
            <v>ПОЛКИ</v>
          </cell>
          <cell r="E286" t="str">
            <v>FBO</v>
          </cell>
          <cell r="F286" t="str">
            <v xml:space="preserve">Полка маникюрная Blues </v>
          </cell>
          <cell r="G286" t="str">
            <v>Венге</v>
          </cell>
          <cell r="H286" t="str">
            <v>2521897952922</v>
          </cell>
          <cell r="I286" t="str">
            <v>Вакансия</v>
          </cell>
        </row>
        <row r="287">
          <cell r="A287">
            <v>14020</v>
          </cell>
          <cell r="B287" t="str">
            <v>Полка Комфорт Белое тиснение</v>
          </cell>
          <cell r="C287" t="str">
            <v xml:space="preserve">Петрова </v>
          </cell>
          <cell r="D287" t="str">
            <v>ПОЛКИ</v>
          </cell>
          <cell r="E287" t="str">
            <v>FBO</v>
          </cell>
          <cell r="F287" t="str">
            <v xml:space="preserve">Полка Комфорт </v>
          </cell>
          <cell r="G287" t="str">
            <v>Белое тиснение</v>
          </cell>
          <cell r="H287" t="str">
            <v>2521897952745</v>
          </cell>
          <cell r="I287" t="str">
            <v>Вакансия</v>
          </cell>
        </row>
        <row r="288">
          <cell r="A288" t="str">
            <v>MK1020201</v>
          </cell>
          <cell r="B288" t="str">
            <v>Полка навесная, напольная Frame ЛДСП Белое теснение, Черн. металл</v>
          </cell>
          <cell r="C288" t="str">
            <v xml:space="preserve">Петрова </v>
          </cell>
          <cell r="D288" t="str">
            <v>ПОЛКИ</v>
          </cell>
          <cell r="E288" t="str">
            <v>FBO</v>
          </cell>
          <cell r="F288" t="str">
            <v xml:space="preserve">Полка навесная, напольная Frame ЛДСП </v>
          </cell>
          <cell r="G288" t="str">
            <v xml:space="preserve">ЛДСП Белое тиснение, Черн. металл. </v>
          </cell>
          <cell r="H288" t="str">
            <v>2521897952958</v>
          </cell>
          <cell r="I288" t="str">
            <v>Вакансия</v>
          </cell>
        </row>
        <row r="289">
          <cell r="A289" t="str">
            <v>М0155</v>
          </cell>
          <cell r="B289" t="str">
            <v>Пуф Куб Savana CAMEL 390х400х390</v>
          </cell>
          <cell r="C289" t="str">
            <v>Вакансия</v>
          </cell>
          <cell r="D289" t="str">
            <v>ПУФ</v>
          </cell>
          <cell r="E289" t="str">
            <v>FBO</v>
          </cell>
          <cell r="G289">
            <v>0</v>
          </cell>
          <cell r="H289">
            <v>0</v>
          </cell>
          <cell r="I289" t="str">
            <v>Вакансия</v>
          </cell>
        </row>
        <row r="290">
          <cell r="A290" t="str">
            <v>М0157</v>
          </cell>
          <cell r="B290" t="str">
            <v>Пуф Куб Savana Chokolate 390х400х390</v>
          </cell>
          <cell r="C290" t="str">
            <v>Вакансия</v>
          </cell>
          <cell r="D290" t="str">
            <v>ПУФ</v>
          </cell>
          <cell r="E290" t="str">
            <v>FBO</v>
          </cell>
          <cell r="G290">
            <v>0</v>
          </cell>
          <cell r="H290">
            <v>0</v>
          </cell>
          <cell r="I290" t="str">
            <v>Вакансия</v>
          </cell>
        </row>
        <row r="291">
          <cell r="A291" t="str">
            <v>М0153</v>
          </cell>
          <cell r="B291" t="str">
            <v>Пуф Куб Кожзам коричневый 390х400х390</v>
          </cell>
          <cell r="C291" t="str">
            <v>Вакансия</v>
          </cell>
          <cell r="D291" t="str">
            <v>ПУФ</v>
          </cell>
          <cell r="E291" t="str">
            <v>FBO</v>
          </cell>
          <cell r="G291" t="str">
            <v>коричневый</v>
          </cell>
          <cell r="H291">
            <v>0</v>
          </cell>
          <cell r="I291" t="str">
            <v>Вакансия</v>
          </cell>
        </row>
        <row r="292">
          <cell r="A292" t="str">
            <v>М0162</v>
          </cell>
          <cell r="B292" t="str">
            <v>Пуф Куб светло-серый</v>
          </cell>
          <cell r="C292" t="str">
            <v>Вакансия</v>
          </cell>
          <cell r="D292" t="str">
            <v>ПУФ</v>
          </cell>
          <cell r="E292" t="str">
            <v>FBO</v>
          </cell>
          <cell r="G292" t="str">
            <v>серый</v>
          </cell>
          <cell r="H292">
            <v>0</v>
          </cell>
          <cell r="I292" t="str">
            <v>Вакансия</v>
          </cell>
        </row>
        <row r="293">
          <cell r="A293">
            <v>3180</v>
          </cell>
          <cell r="B293" t="str">
            <v>Стеллаж Labirint Дуб Вотан 1096х1116х250</v>
          </cell>
          <cell r="C293" t="str">
            <v>Вакансия</v>
          </cell>
          <cell r="D293" t="str">
            <v>СТЕЛЛАЖИ</v>
          </cell>
          <cell r="E293" t="str">
            <v xml:space="preserve">СКГТ </v>
          </cell>
          <cell r="G293">
            <v>0</v>
          </cell>
          <cell r="H293" t="str">
            <v>2521897952475</v>
          </cell>
          <cell r="I293" t="str">
            <v>Вакансия</v>
          </cell>
        </row>
        <row r="294">
          <cell r="A294" t="str">
            <v>М0152</v>
          </cell>
          <cell r="B294" t="str">
            <v>Пуф Куб Экокожа Аламо милк 390х400х390</v>
          </cell>
          <cell r="C294" t="str">
            <v>Вакансия</v>
          </cell>
          <cell r="D294" t="str">
            <v>ПУФ</v>
          </cell>
          <cell r="E294" t="str">
            <v>FBO</v>
          </cell>
          <cell r="G294" t="str">
            <v>ткань</v>
          </cell>
          <cell r="H294" t="str">
            <v>2520000001685</v>
          </cell>
          <cell r="I294" t="str">
            <v>Вакансия</v>
          </cell>
        </row>
        <row r="295">
          <cell r="A295">
            <v>3183</v>
          </cell>
          <cell r="B295" t="str">
            <v>Стеллаж Lite Plus  Белое тиснение  916х1572х280</v>
          </cell>
          <cell r="C295" t="str">
            <v>Вакансия</v>
          </cell>
          <cell r="D295" t="str">
            <v>СТЕЛЛАЖИ</v>
          </cell>
          <cell r="E295" t="str">
            <v xml:space="preserve">СКГТ </v>
          </cell>
          <cell r="G295" t="str">
            <v>Белое тиснение</v>
          </cell>
          <cell r="H295" t="str">
            <v>2521897952474</v>
          </cell>
          <cell r="I295" t="str">
            <v>Вакансия</v>
          </cell>
        </row>
        <row r="296">
          <cell r="A296">
            <v>3184</v>
          </cell>
          <cell r="B296" t="str">
            <v>Стеллаж Quattro Plus Белое тиснение/Антрацит 1100х1065х220</v>
          </cell>
          <cell r="C296" t="str">
            <v>Вакансия</v>
          </cell>
          <cell r="D296" t="str">
            <v>СТЕЛЛАЖИ</v>
          </cell>
          <cell r="E296" t="str">
            <v>FBS</v>
          </cell>
          <cell r="G296" t="str">
            <v>комбин</v>
          </cell>
          <cell r="H296" t="str">
            <v>2521897952481</v>
          </cell>
          <cell r="I296" t="str">
            <v>Вакансия</v>
          </cell>
        </row>
        <row r="297">
          <cell r="A297">
            <v>3232</v>
          </cell>
          <cell r="B297" t="str">
            <v>Стеллаж ZettX Белое тиснение /Дуб сонома 750х1380х274</v>
          </cell>
          <cell r="C297" t="str">
            <v>Вакансия</v>
          </cell>
          <cell r="D297" t="str">
            <v>СТЕЛЛАЖИ</v>
          </cell>
          <cell r="E297" t="str">
            <v>FBO</v>
          </cell>
          <cell r="G297" t="str">
            <v>дуб сонома/белое тиснение</v>
          </cell>
          <cell r="H297" t="str">
            <v>2521897952473</v>
          </cell>
          <cell r="I297" t="str">
            <v>Вакансия</v>
          </cell>
        </row>
        <row r="298">
          <cell r="A298" t="str">
            <v>М0424</v>
          </cell>
          <cell r="B298" t="str">
            <v>Пуф Марсель Ткань Savanna Plus DENIM Сп/м 0,6х1,8 600х360х600</v>
          </cell>
          <cell r="C298" t="str">
            <v>Вакансия</v>
          </cell>
          <cell r="D298" t="str">
            <v>ПУФ</v>
          </cell>
          <cell r="E298" t="str">
            <v>FBS</v>
          </cell>
          <cell r="G298" t="str">
            <v>ткань</v>
          </cell>
          <cell r="H298">
            <v>0</v>
          </cell>
          <cell r="I298" t="str">
            <v>Вакансия</v>
          </cell>
        </row>
        <row r="299">
          <cell r="A299">
            <v>3234</v>
          </cell>
          <cell r="B299" t="str">
            <v>Стеллаж Zett Ультра Дуб Вотан 730х1757х250</v>
          </cell>
          <cell r="C299" t="str">
            <v>Вакансия</v>
          </cell>
          <cell r="D299" t="str">
            <v>СТЕЛЛАЖИ</v>
          </cell>
          <cell r="E299" t="str">
            <v>FBO</v>
          </cell>
          <cell r="G299" t="str">
            <v>дуб вотан</v>
          </cell>
          <cell r="H299" t="str">
            <v>2521897952500</v>
          </cell>
          <cell r="I299" t="str">
            <v>Вакансия</v>
          </cell>
        </row>
        <row r="300">
          <cell r="A300" t="str">
            <v>М0509</v>
          </cell>
          <cell r="B300" t="str">
            <v>Пуф Милан комфорт Белый (аламо милк) Экокожа Бодега темн. Ящик 650х425х650</v>
          </cell>
          <cell r="C300" t="str">
            <v>Вакансия</v>
          </cell>
          <cell r="D300" t="str">
            <v>ПУФ</v>
          </cell>
          <cell r="E300" t="str">
            <v xml:space="preserve">СКГТ </v>
          </cell>
          <cell r="G300" t="str">
            <v>комбин</v>
          </cell>
          <cell r="H300">
            <v>0</v>
          </cell>
          <cell r="I300" t="str">
            <v>Вакансия</v>
          </cell>
        </row>
        <row r="301">
          <cell r="A301" t="str">
            <v>М0519</v>
          </cell>
          <cell r="B301" t="str">
            <v>Пуф Милан комфорт Кофе(саванна) ткань Бодега</v>
          </cell>
          <cell r="C301" t="str">
            <v>Вакансия</v>
          </cell>
          <cell r="D301" t="str">
            <v>ПУФ</v>
          </cell>
          <cell r="E301" t="str">
            <v xml:space="preserve">СКГТ </v>
          </cell>
          <cell r="G301" t="str">
            <v>комбин</v>
          </cell>
          <cell r="H301">
            <v>0</v>
          </cell>
          <cell r="I301" t="str">
            <v>Вакансия</v>
          </cell>
        </row>
        <row r="302">
          <cell r="A302" t="str">
            <v>М0518</v>
          </cell>
          <cell r="B302" t="str">
            <v>Пуф Милан Ткань VITAL BITTER/Кожзам бежевый 650х425х650</v>
          </cell>
          <cell r="C302" t="str">
            <v>Вакансия</v>
          </cell>
          <cell r="D302" t="str">
            <v>ПУФ</v>
          </cell>
          <cell r="E302" t="str">
            <v xml:space="preserve">СКГТ </v>
          </cell>
          <cell r="G302" t="str">
            <v>ткань</v>
          </cell>
          <cell r="H302">
            <v>0</v>
          </cell>
          <cell r="I302" t="str">
            <v>Вакансия</v>
          </cell>
        </row>
        <row r="303">
          <cell r="A303">
            <v>2491</v>
          </cell>
          <cell r="B303" t="str">
            <v>Стеллаж 6 секций Белое тиснение 948х648х294</v>
          </cell>
          <cell r="C303" t="str">
            <v>Зимакова</v>
          </cell>
          <cell r="D303" t="str">
            <v>СТЕЛЛАЖИ</v>
          </cell>
          <cell r="E303" t="str">
            <v>FBS</v>
          </cell>
          <cell r="F303" t="str">
            <v>Стеллаж 6 секций 948х648х294</v>
          </cell>
          <cell r="G303" t="str">
            <v>Белое тиснение</v>
          </cell>
          <cell r="H303" t="str">
            <v>2520000000190</v>
          </cell>
          <cell r="I303" t="str">
            <v>Вакансия</v>
          </cell>
        </row>
        <row r="304">
          <cell r="A304">
            <v>9421</v>
          </cell>
          <cell r="B304" t="str">
            <v>Стеллаж угловой Jazz Plus Белый 1780х350х350</v>
          </cell>
          <cell r="C304" t="str">
            <v>Зимакова</v>
          </cell>
          <cell r="D304" t="str">
            <v>СТЕЛЛАЖИ</v>
          </cell>
          <cell r="E304" t="str">
            <v>FBO</v>
          </cell>
          <cell r="F304" t="str">
            <v>Стеллаж угловой Jazz Plus  1746х330х330</v>
          </cell>
          <cell r="G304" t="str">
            <v>Белое тиснение</v>
          </cell>
          <cell r="H304" t="str">
            <v>2521897952525</v>
          </cell>
          <cell r="I304" t="str">
            <v>Вакансия</v>
          </cell>
        </row>
        <row r="305">
          <cell r="A305">
            <v>2489</v>
          </cell>
          <cell r="B305" t="str">
            <v>Стеллаж 6 секций Дуб сонома 948х648х294</v>
          </cell>
          <cell r="C305" t="str">
            <v>Зимакова</v>
          </cell>
          <cell r="D305" t="str">
            <v>СТЕЛЛАЖИ</v>
          </cell>
          <cell r="E305" t="str">
            <v>FBS</v>
          </cell>
          <cell r="F305" t="str">
            <v>Стеллаж 6 секций 948х648х294</v>
          </cell>
          <cell r="G305" t="str">
            <v>Дуб сонома</v>
          </cell>
          <cell r="H305" t="str">
            <v>2520000000213</v>
          </cell>
          <cell r="I305" t="str">
            <v>Вакансия</v>
          </cell>
        </row>
        <row r="306">
          <cell r="A306">
            <v>140001</v>
          </cell>
          <cell r="B306" t="str">
            <v>Стеллаж Ultra lite Белое тиснение</v>
          </cell>
          <cell r="C306" t="str">
            <v>Зимакова</v>
          </cell>
          <cell r="D306" t="str">
            <v>СТЕЛЛАЖИ</v>
          </cell>
          <cell r="E306" t="str">
            <v>FBS</v>
          </cell>
          <cell r="F306" t="str">
            <v>Стеллаж Ultra lite</v>
          </cell>
          <cell r="G306" t="str">
            <v>Белое тиснение</v>
          </cell>
          <cell r="H306" t="str">
            <v>2521897952593</v>
          </cell>
          <cell r="I306" t="str">
            <v>Вакансия</v>
          </cell>
        </row>
        <row r="307">
          <cell r="A307">
            <v>3001</v>
          </cell>
          <cell r="B307" t="str">
            <v>Стеллаж Bali универсал. Венге 978х1506х220</v>
          </cell>
          <cell r="C307" t="str">
            <v>Вакансия</v>
          </cell>
          <cell r="D307" t="str">
            <v>СТЕЛЛАЖИ</v>
          </cell>
          <cell r="E307" t="str">
            <v xml:space="preserve">СКГТ </v>
          </cell>
          <cell r="G307" t="str">
            <v>Венге</v>
          </cell>
          <cell r="H307" t="str">
            <v>2520897922337</v>
          </cell>
          <cell r="I307" t="str">
            <v>Вакансия</v>
          </cell>
        </row>
        <row r="308">
          <cell r="A308">
            <v>3002</v>
          </cell>
          <cell r="B308" t="str">
            <v>Стеллаж Bali универсал. Дуб сонома 978х1506х220</v>
          </cell>
          <cell r="C308" t="str">
            <v>Вакансия</v>
          </cell>
          <cell r="D308" t="str">
            <v>СТЕЛЛАЖИ</v>
          </cell>
          <cell r="E308" t="str">
            <v xml:space="preserve">СКГТ </v>
          </cell>
          <cell r="G308" t="str">
            <v>Дуб сонома</v>
          </cell>
          <cell r="H308" t="str">
            <v>2520897922338</v>
          </cell>
          <cell r="I308" t="str">
            <v>Вакансия</v>
          </cell>
        </row>
        <row r="309">
          <cell r="A309">
            <v>3009</v>
          </cell>
          <cell r="B309" t="str">
            <v>Стеллаж City Белое тиснение 978х1818х220</v>
          </cell>
          <cell r="C309" t="str">
            <v>Вакансия</v>
          </cell>
          <cell r="D309" t="str">
            <v>СТЕЛЛАЖИ</v>
          </cell>
          <cell r="E309" t="str">
            <v xml:space="preserve">СКГТ </v>
          </cell>
          <cell r="G309" t="str">
            <v>Белое тиснение</v>
          </cell>
          <cell r="H309" t="str">
            <v>2520897922369</v>
          </cell>
          <cell r="I309" t="str">
            <v>Вакансия</v>
          </cell>
        </row>
        <row r="310">
          <cell r="A310">
            <v>3010</v>
          </cell>
          <cell r="B310" t="str">
            <v>Стеллаж City Дуб сонома/Белое тиснение 978х1818х220</v>
          </cell>
          <cell r="C310" t="str">
            <v>Вакансия</v>
          </cell>
          <cell r="D310" t="str">
            <v>СТЕЛЛАЖИ</v>
          </cell>
          <cell r="E310" t="str">
            <v>СКГТ (ОЗОН)</v>
          </cell>
          <cell r="G310" t="str">
            <v>Дуб сонома</v>
          </cell>
          <cell r="H310" t="str">
            <v>2520897922334</v>
          </cell>
          <cell r="I310" t="str">
            <v>Вакансия</v>
          </cell>
        </row>
        <row r="311">
          <cell r="A311">
            <v>3011</v>
          </cell>
          <cell r="B311" t="str">
            <v>Стеллаж City Пельтро/Белое тиснение 978х1818х220</v>
          </cell>
          <cell r="C311" t="str">
            <v>Вакансия</v>
          </cell>
          <cell r="D311" t="str">
            <v>СТЕЛЛАЖИ</v>
          </cell>
          <cell r="E311" t="str">
            <v>СКГТ (ОЗОН)</v>
          </cell>
          <cell r="G311" t="str">
            <v>Белое тиснение</v>
          </cell>
          <cell r="H311" t="str">
            <v>2520897927255</v>
          </cell>
          <cell r="I311" t="str">
            <v>Вакансия</v>
          </cell>
        </row>
        <row r="312">
          <cell r="A312">
            <v>2661</v>
          </cell>
          <cell r="B312" t="str">
            <v>Стеллаж Jazz Белое тиснение 600х1800х290</v>
          </cell>
          <cell r="C312" t="str">
            <v>Вакансия</v>
          </cell>
          <cell r="D312" t="str">
            <v>СТЕЛЛАЖИ</v>
          </cell>
          <cell r="E312" t="str">
            <v xml:space="preserve">СКГТ </v>
          </cell>
          <cell r="F312" t="str">
            <v>Стеллаж Jazz</v>
          </cell>
          <cell r="G312" t="str">
            <v>Белое тиснение</v>
          </cell>
          <cell r="H312" t="str">
            <v>2520000000220</v>
          </cell>
          <cell r="I312" t="str">
            <v>Вакансия</v>
          </cell>
        </row>
        <row r="313">
          <cell r="A313">
            <v>2662</v>
          </cell>
          <cell r="B313" t="str">
            <v>Стеллаж Jazz Венге 600х1800х290</v>
          </cell>
          <cell r="C313" t="str">
            <v>Вакансия</v>
          </cell>
          <cell r="D313" t="str">
            <v>СТЕЛЛАЖИ</v>
          </cell>
          <cell r="E313" t="str">
            <v xml:space="preserve">СКГТ </v>
          </cell>
          <cell r="F313" t="str">
            <v>Стеллаж Jazz</v>
          </cell>
          <cell r="G313" t="str">
            <v>Венге</v>
          </cell>
          <cell r="H313">
            <v>0</v>
          </cell>
          <cell r="I313" t="str">
            <v>Вакансия</v>
          </cell>
        </row>
        <row r="314">
          <cell r="A314">
            <v>80217948</v>
          </cell>
          <cell r="B314" t="str">
            <v>Стеллаж Hardy Лайт Дуб Крафт белый (Hardy)</v>
          </cell>
          <cell r="C314" t="str">
            <v>Вакансия</v>
          </cell>
          <cell r="D314" t="str">
            <v>СТЕЛЛАЖИ</v>
          </cell>
          <cell r="E314" t="str">
            <v>FBS</v>
          </cell>
          <cell r="G314" t="str">
            <v>Дуб Крафт Белый</v>
          </cell>
          <cell r="H314" t="str">
            <v>2521897952654</v>
          </cell>
          <cell r="I314" t="str">
            <v>Вакансия</v>
          </cell>
        </row>
        <row r="315">
          <cell r="A315">
            <v>2985</v>
          </cell>
          <cell r="B315" t="str">
            <v>Стеллаж Jazz угловой Белое тиснение 314х1616х314</v>
          </cell>
          <cell r="C315" t="str">
            <v>Вакансия</v>
          </cell>
          <cell r="D315" t="str">
            <v>СТЕЛЛАЖИ</v>
          </cell>
          <cell r="E315" t="str">
            <v>FBS</v>
          </cell>
          <cell r="F315" t="str">
            <v>Стеллаж Jazz угловой</v>
          </cell>
          <cell r="G315" t="str">
            <v>Белое тиснение</v>
          </cell>
          <cell r="H315" t="str">
            <v>2520000001212</v>
          </cell>
          <cell r="I315" t="str">
            <v>Вакансия</v>
          </cell>
        </row>
        <row r="316">
          <cell r="A316">
            <v>80217946</v>
          </cell>
          <cell r="B316" t="str">
            <v>Стеллаж Hardy Лайт с дверками Белый (Hardy)</v>
          </cell>
          <cell r="C316" t="str">
            <v>Вакансия</v>
          </cell>
          <cell r="D316" t="str">
            <v>СТЕЛЛАЖИ</v>
          </cell>
          <cell r="E316" t="str">
            <v>FBS</v>
          </cell>
          <cell r="G316" t="str">
            <v>Белое тиснение</v>
          </cell>
          <cell r="H316" t="str">
            <v>2521897952649</v>
          </cell>
          <cell r="I316" t="str">
            <v>Вакансия</v>
          </cell>
        </row>
        <row r="317">
          <cell r="A317">
            <v>80217949</v>
          </cell>
          <cell r="B317" t="str">
            <v>Стеллаж Hardy Лайт с дверками Дуб Крафт белый  (Hardy)</v>
          </cell>
          <cell r="C317" t="str">
            <v>Вакансия</v>
          </cell>
          <cell r="D317" t="str">
            <v>СТЕЛЛАЖИ</v>
          </cell>
          <cell r="E317" t="str">
            <v>FBS</v>
          </cell>
          <cell r="G317" t="str">
            <v>Дуб Крафт Белый</v>
          </cell>
          <cell r="H317" t="str">
            <v>2521897952655</v>
          </cell>
          <cell r="I317" t="str">
            <v>Вакансия</v>
          </cell>
        </row>
        <row r="318">
          <cell r="A318">
            <v>50217947</v>
          </cell>
          <cell r="B318" t="str">
            <v>Стеллаж Hardy Лайт с дверками Венге (Hardy)</v>
          </cell>
          <cell r="C318" t="str">
            <v>Вакансия</v>
          </cell>
          <cell r="D318" t="str">
            <v>СТЕЛЛАЖИ</v>
          </cell>
          <cell r="E318" t="str">
            <v>FBS</v>
          </cell>
          <cell r="G318" t="str">
            <v>Венге</v>
          </cell>
          <cell r="H318" t="str">
            <v>2521897952650</v>
          </cell>
          <cell r="I318" t="str">
            <v>Вакансия</v>
          </cell>
        </row>
        <row r="319">
          <cell r="A319">
            <v>3007</v>
          </cell>
          <cell r="B319" t="str">
            <v>Стеллаж Jazz универсальный Дуб сонома/ Белое тиснение 1000х1400х250</v>
          </cell>
          <cell r="C319" t="str">
            <v>Вакансия</v>
          </cell>
          <cell r="D319" t="str">
            <v>СТЕЛЛАЖИ</v>
          </cell>
          <cell r="E319" t="str">
            <v>FBS</v>
          </cell>
          <cell r="G319" t="str">
            <v>дуб сонома/белое тиснение</v>
          </cell>
          <cell r="H319">
            <v>0</v>
          </cell>
          <cell r="I319" t="str">
            <v>Вакансия</v>
          </cell>
        </row>
        <row r="320">
          <cell r="A320">
            <v>3008</v>
          </cell>
          <cell r="B320" t="str">
            <v>Стеллаж Jazz универсальный Пельтро/ Белое тиснение 1000х1400х250</v>
          </cell>
          <cell r="C320" t="str">
            <v>Вакансия</v>
          </cell>
          <cell r="D320" t="str">
            <v>СТЕЛЛАЖИ</v>
          </cell>
          <cell r="E320" t="str">
            <v>FBS</v>
          </cell>
          <cell r="G320" t="str">
            <v>комбин</v>
          </cell>
          <cell r="H320" t="str">
            <v>2520897922333</v>
          </cell>
          <cell r="I320" t="str">
            <v>Вакансия</v>
          </cell>
        </row>
        <row r="321">
          <cell r="A321">
            <v>3015</v>
          </cell>
          <cell r="B321" t="str">
            <v>Стеллаж Malta Plus Белое тиснение 696х1584х220</v>
          </cell>
          <cell r="C321" t="str">
            <v>Зимакова</v>
          </cell>
          <cell r="D321" t="str">
            <v>СТЕЛЛАЖИ</v>
          </cell>
          <cell r="E321" t="str">
            <v>FBS</v>
          </cell>
          <cell r="F321" t="str">
            <v>Стеллаж Malta Plus 696х1584х220</v>
          </cell>
          <cell r="G321" t="str">
            <v>Белое тиснение</v>
          </cell>
          <cell r="H321" t="str">
            <v>2521897952699</v>
          </cell>
          <cell r="I321" t="str">
            <v>Вакансия</v>
          </cell>
        </row>
        <row r="322">
          <cell r="A322">
            <v>3016</v>
          </cell>
          <cell r="B322" t="str">
            <v>Стеллаж Malta Plus Венге 696х1584х220</v>
          </cell>
          <cell r="C322" t="str">
            <v>Вакансия</v>
          </cell>
          <cell r="D322" t="str">
            <v>СТЕЛЛАЖИ</v>
          </cell>
          <cell r="E322" t="str">
            <v>FBS</v>
          </cell>
          <cell r="G322" t="str">
            <v>Венге</v>
          </cell>
          <cell r="H322" t="str">
            <v>2520897922327</v>
          </cell>
          <cell r="I322" t="str">
            <v>Вакансия</v>
          </cell>
        </row>
        <row r="323">
          <cell r="A323">
            <v>3017</v>
          </cell>
          <cell r="B323" t="str">
            <v>Стеллаж Malta Plus Дуб сонома 696х1584х220</v>
          </cell>
          <cell r="C323" t="str">
            <v>Вакансия</v>
          </cell>
          <cell r="D323" t="str">
            <v>СТЕЛЛАЖИ</v>
          </cell>
          <cell r="E323" t="str">
            <v>FBS</v>
          </cell>
          <cell r="G323" t="str">
            <v>Дуб сонома</v>
          </cell>
          <cell r="H323" t="str">
            <v>2520897922328</v>
          </cell>
          <cell r="I323" t="str">
            <v>Вакансия</v>
          </cell>
        </row>
        <row r="324">
          <cell r="A324">
            <v>580325</v>
          </cell>
          <cell r="B324" t="str">
            <v>Стеллаж Mixit 2 Белый</v>
          </cell>
          <cell r="C324" t="str">
            <v>Вакансия</v>
          </cell>
          <cell r="D324" t="str">
            <v>СТЕЛЛАЖИ</v>
          </cell>
          <cell r="E324" t="str">
            <v>FBO</v>
          </cell>
          <cell r="G324" t="str">
            <v>Белое тиснение</v>
          </cell>
          <cell r="H324" t="str">
            <v>2520897922346</v>
          </cell>
          <cell r="I324" t="str">
            <v>Вакансия</v>
          </cell>
        </row>
        <row r="325">
          <cell r="A325">
            <v>580349</v>
          </cell>
          <cell r="B325" t="str">
            <v>Стеллаж Mixit 2 Серый Графит</v>
          </cell>
          <cell r="C325" t="str">
            <v>Вакансия</v>
          </cell>
          <cell r="D325" t="str">
            <v>СТЕЛЛАЖИ</v>
          </cell>
          <cell r="E325" t="str">
            <v>FBO</v>
          </cell>
          <cell r="G325" t="str">
            <v>Графит</v>
          </cell>
          <cell r="H325" t="str">
            <v>2520897922348</v>
          </cell>
          <cell r="I325" t="str">
            <v>Вакансия</v>
          </cell>
        </row>
        <row r="326">
          <cell r="A326">
            <v>580326</v>
          </cell>
          <cell r="B326" t="str">
            <v>Стеллаж Mixit 3 Белый (Hardy)</v>
          </cell>
          <cell r="C326" t="str">
            <v>Вакансия</v>
          </cell>
          <cell r="D326" t="str">
            <v>СТЕЛЛАЖИ</v>
          </cell>
          <cell r="E326" t="str">
            <v>FBO</v>
          </cell>
          <cell r="G326" t="str">
            <v>Белое тиснение</v>
          </cell>
          <cell r="H326" t="str">
            <v>2520000002151</v>
          </cell>
          <cell r="I326" t="str">
            <v>Вакансия</v>
          </cell>
        </row>
        <row r="327">
          <cell r="A327">
            <v>580334</v>
          </cell>
          <cell r="B327" t="str">
            <v>Стеллаж Mixit 3 Дуб Винченца</v>
          </cell>
          <cell r="C327" t="str">
            <v>Вакансия</v>
          </cell>
          <cell r="D327" t="str">
            <v>СТЕЛЛАЖИ</v>
          </cell>
          <cell r="E327" t="str">
            <v>FBO</v>
          </cell>
          <cell r="G327">
            <v>0</v>
          </cell>
          <cell r="H327" t="str">
            <v>2520897922349</v>
          </cell>
          <cell r="I327" t="str">
            <v>Вакансия</v>
          </cell>
        </row>
        <row r="328">
          <cell r="A328">
            <v>580350</v>
          </cell>
          <cell r="B328" t="str">
            <v>Стеллаж Mixit 3 Серый Графит</v>
          </cell>
          <cell r="C328" t="str">
            <v>Вакансия</v>
          </cell>
          <cell r="D328" t="str">
            <v>СТЕЛЛАЖИ</v>
          </cell>
          <cell r="E328" t="str">
            <v>FBO</v>
          </cell>
          <cell r="G328" t="str">
            <v>Графит</v>
          </cell>
          <cell r="H328" t="str">
            <v>2520897922350</v>
          </cell>
          <cell r="I328" t="str">
            <v>Вакансия</v>
          </cell>
        </row>
        <row r="329">
          <cell r="A329">
            <v>580335</v>
          </cell>
          <cell r="B329" t="str">
            <v>Стеллаж Mixit 4 Дуб Винченца</v>
          </cell>
          <cell r="C329" t="str">
            <v>Вакансия</v>
          </cell>
          <cell r="D329" t="str">
            <v>СТЕЛЛАЖИ</v>
          </cell>
          <cell r="E329" t="str">
            <v>FBO</v>
          </cell>
          <cell r="G329">
            <v>0</v>
          </cell>
          <cell r="H329" t="str">
            <v>2520897922351</v>
          </cell>
          <cell r="I329" t="str">
            <v>Вакансия</v>
          </cell>
        </row>
        <row r="330">
          <cell r="A330">
            <v>580336</v>
          </cell>
          <cell r="B330" t="str">
            <v>Стеллаж Mixit 8 Дуб Винченца</v>
          </cell>
          <cell r="C330" t="str">
            <v>Вакансия</v>
          </cell>
          <cell r="D330" t="str">
            <v>СТЕЛЛАЖИ</v>
          </cell>
          <cell r="E330" t="str">
            <v>FBS</v>
          </cell>
          <cell r="G330">
            <v>0</v>
          </cell>
          <cell r="H330">
            <v>0</v>
          </cell>
          <cell r="I330" t="str">
            <v>Вакансия</v>
          </cell>
        </row>
        <row r="331">
          <cell r="A331">
            <v>580337</v>
          </cell>
          <cell r="B331" t="str">
            <v>Стеллаж Mixit 9 Дуб Винченца</v>
          </cell>
          <cell r="C331" t="str">
            <v>Вакансия</v>
          </cell>
          <cell r="D331" t="str">
            <v>СТЕЛЛАЖИ</v>
          </cell>
          <cell r="E331" t="str">
            <v xml:space="preserve">СКГТ </v>
          </cell>
          <cell r="G331">
            <v>0</v>
          </cell>
          <cell r="H331">
            <v>0</v>
          </cell>
          <cell r="I331" t="str">
            <v>Вакансия</v>
          </cell>
        </row>
        <row r="332">
          <cell r="A332">
            <v>580353</v>
          </cell>
          <cell r="B332" t="str">
            <v>Стеллаж Mixit 9 Серый Графит</v>
          </cell>
          <cell r="C332" t="str">
            <v>Вакансия</v>
          </cell>
          <cell r="D332" t="str">
            <v>СТЕЛЛАЖИ</v>
          </cell>
          <cell r="E332" t="str">
            <v xml:space="preserve">СКГТ </v>
          </cell>
          <cell r="G332" t="str">
            <v>Графит</v>
          </cell>
          <cell r="H332">
            <v>0</v>
          </cell>
          <cell r="I332" t="str">
            <v>Вакансия</v>
          </cell>
        </row>
        <row r="333">
          <cell r="A333">
            <v>9405</v>
          </cell>
          <cell r="B333" t="str">
            <v>Стеллаж №1 Zett Lite Белфорд 850*1870*288</v>
          </cell>
          <cell r="C333" t="str">
            <v>Зимакова</v>
          </cell>
          <cell r="D333" t="str">
            <v>СТЕЛЛАЖИ</v>
          </cell>
          <cell r="E333" t="str">
            <v>FBS</v>
          </cell>
          <cell r="F333" t="str">
            <v>Стеллаж №1 Zett Lite</v>
          </cell>
          <cell r="G333" t="str">
            <v>дуб белфорт</v>
          </cell>
          <cell r="H333" t="str">
            <v>2520897927278</v>
          </cell>
          <cell r="I333" t="str">
            <v>Вакансия</v>
          </cell>
        </row>
        <row r="334">
          <cell r="A334">
            <v>9398</v>
          </cell>
          <cell r="B334" t="str">
            <v>Стеллаж №1 Zett Lite Белый 850*1870*288</v>
          </cell>
          <cell r="C334" t="str">
            <v>Зимакова</v>
          </cell>
          <cell r="D334" t="str">
            <v>СТЕЛЛАЖИ</v>
          </cell>
          <cell r="E334" t="str">
            <v>FBS</v>
          </cell>
          <cell r="F334" t="str">
            <v>Стеллаж №1 Zett Lite</v>
          </cell>
          <cell r="G334" t="str">
            <v>Белое тиснение</v>
          </cell>
          <cell r="H334" t="str">
            <v>2520000002158</v>
          </cell>
          <cell r="I334" t="str">
            <v>Вакансия</v>
          </cell>
        </row>
        <row r="335">
          <cell r="A335">
            <v>9404</v>
          </cell>
          <cell r="B335" t="str">
            <v>Стеллаж №1 Zett Lite Венге 850*1870*288</v>
          </cell>
          <cell r="C335" t="str">
            <v>Зимакова</v>
          </cell>
          <cell r="D335" t="str">
            <v>СТЕЛЛАЖИ</v>
          </cell>
          <cell r="E335" t="str">
            <v>FBS</v>
          </cell>
          <cell r="F335" t="str">
            <v>Стеллаж №1 Zett Lite</v>
          </cell>
          <cell r="G335" t="str">
            <v>Венге</v>
          </cell>
          <cell r="H335" t="str">
            <v>2520897927277</v>
          </cell>
          <cell r="I335" t="str">
            <v>Вакансия</v>
          </cell>
        </row>
        <row r="336">
          <cell r="A336">
            <v>9406</v>
          </cell>
          <cell r="B336" t="str">
            <v>Стеллаж №1 Zett Lite Дуб сонома 850*1870*288</v>
          </cell>
          <cell r="C336" t="str">
            <v>Зимакова</v>
          </cell>
          <cell r="D336" t="str">
            <v>СТЕЛЛАЖИ</v>
          </cell>
          <cell r="E336" t="str">
            <v>FBS</v>
          </cell>
          <cell r="F336" t="str">
            <v>Стеллаж №1 Zett Lite</v>
          </cell>
          <cell r="G336" t="str">
            <v>Дуб сонома</v>
          </cell>
          <cell r="H336" t="str">
            <v>2520897927279</v>
          </cell>
          <cell r="I336" t="str">
            <v>Вакансия</v>
          </cell>
        </row>
        <row r="337">
          <cell r="A337">
            <v>9399</v>
          </cell>
          <cell r="B337" t="str">
            <v>Стеллаж №2 Белый текстура 680*1770*304</v>
          </cell>
          <cell r="C337" t="str">
            <v>Зимакова</v>
          </cell>
          <cell r="D337" t="str">
            <v>СТЕЛЛАЖИ</v>
          </cell>
          <cell r="E337" t="str">
            <v>СКГТ</v>
          </cell>
          <cell r="F337" t="str">
            <v>Стеллаж №2  680*1770*304</v>
          </cell>
          <cell r="G337" t="str">
            <v>Белое тиснение</v>
          </cell>
          <cell r="H337" t="str">
            <v>2520000002159</v>
          </cell>
          <cell r="I337" t="str">
            <v>Вакансия</v>
          </cell>
        </row>
        <row r="338">
          <cell r="A338">
            <v>3051</v>
          </cell>
          <cell r="B338" t="str">
            <v>Тумба прикроватная Ультра Черный 430х410х330</v>
          </cell>
          <cell r="C338" t="str">
            <v>Кошкарева</v>
          </cell>
          <cell r="D338" t="str">
            <v>ТУМБЫ ПРИКРОВАТНЫЕ</v>
          </cell>
          <cell r="E338" t="str">
            <v>FBO</v>
          </cell>
          <cell r="F338" t="str">
            <v>Тумба прикроватная Ультра 430х410х330</v>
          </cell>
          <cell r="G338" t="str">
            <v>Черный</v>
          </cell>
          <cell r="H338" t="str">
            <v>2520897922320</v>
          </cell>
          <cell r="I338" t="str">
            <v>Вакансия</v>
          </cell>
        </row>
        <row r="339">
          <cell r="A339">
            <v>3085</v>
          </cell>
          <cell r="B339" t="str">
            <v>Стеллаж Style 7 секций Белое тиснение 502х1040х254</v>
          </cell>
          <cell r="C339" t="str">
            <v>Вакансия</v>
          </cell>
          <cell r="D339" t="str">
            <v>СТЕЛЛАЖИ</v>
          </cell>
          <cell r="E339" t="str">
            <v>FBS</v>
          </cell>
          <cell r="G339" t="str">
            <v>Белое тиснение</v>
          </cell>
          <cell r="H339" t="str">
            <v>2520897927260</v>
          </cell>
          <cell r="I339" t="str">
            <v>Вакансия</v>
          </cell>
        </row>
        <row r="340">
          <cell r="A340">
            <v>3082</v>
          </cell>
          <cell r="B340" t="str">
            <v>Стеллаж Style Белое тиснение 1050х1048х284</v>
          </cell>
          <cell r="C340" t="str">
            <v>Вакансия</v>
          </cell>
          <cell r="D340" t="str">
            <v>СТЕЛЛАЖИ</v>
          </cell>
          <cell r="E340" t="str">
            <v xml:space="preserve">СКГТ </v>
          </cell>
          <cell r="G340" t="str">
            <v>Белое тиснение</v>
          </cell>
          <cell r="H340" t="str">
            <v>2520897927258</v>
          </cell>
          <cell r="I340" t="str">
            <v>Вакансия</v>
          </cell>
        </row>
        <row r="341">
          <cell r="A341">
            <v>3004</v>
          </cell>
          <cell r="B341" t="str">
            <v xml:space="preserve">Стол-стеллаж Ultra Венге 1088х1418х400 </v>
          </cell>
          <cell r="C341" t="str">
            <v>Кошкарева</v>
          </cell>
          <cell r="D341" t="str">
            <v>СТОЛЫ</v>
          </cell>
          <cell r="E341" t="str">
            <v>FBO</v>
          </cell>
          <cell r="F341" t="str">
            <v xml:space="preserve">Стол-стеллаж Ultra 1088х1418х400 </v>
          </cell>
          <cell r="G341" t="str">
            <v>Венге</v>
          </cell>
          <cell r="H341" t="str">
            <v>2520897922326</v>
          </cell>
          <cell r="I341" t="str">
            <v>Вакансия</v>
          </cell>
        </row>
        <row r="342">
          <cell r="A342">
            <v>2686</v>
          </cell>
          <cell r="B342" t="str">
            <v>Стеллаж Zett средний Венге 730х899х250</v>
          </cell>
          <cell r="C342" t="str">
            <v>Вакансия</v>
          </cell>
          <cell r="D342" t="str">
            <v>СТЕЛЛАЖИ</v>
          </cell>
          <cell r="E342" t="str">
            <v>FBO</v>
          </cell>
          <cell r="G342" t="str">
            <v>Венге</v>
          </cell>
          <cell r="H342" t="str">
            <v>2520000000329</v>
          </cell>
          <cell r="I342" t="str">
            <v>Вакансия</v>
          </cell>
        </row>
        <row r="343">
          <cell r="A343" t="str">
            <v>3756.06/01</v>
          </cell>
          <cell r="B343" t="str">
            <v>Стеллаж Estet Plus Дуб Крафт Белый 730*1425*220</v>
          </cell>
          <cell r="C343" t="str">
            <v>Загашева</v>
          </cell>
          <cell r="D343" t="str">
            <v>СТЕЛЛАЖИ</v>
          </cell>
          <cell r="E343" t="str">
            <v>FBO</v>
          </cell>
          <cell r="F343" t="str">
            <v>Стеллаж Estet Plus</v>
          </cell>
          <cell r="G343" t="str">
            <v>Дуб Крафт Белый</v>
          </cell>
          <cell r="H343" t="str">
            <v>2521897953237</v>
          </cell>
          <cell r="I343" t="str">
            <v>Вакансия</v>
          </cell>
        </row>
        <row r="344">
          <cell r="A344">
            <v>9803</v>
          </cell>
          <cell r="B344" t="str">
            <v>Стеллаж Ницца Венге</v>
          </cell>
          <cell r="C344" t="str">
            <v>Вакансия</v>
          </cell>
          <cell r="D344" t="str">
            <v>СТЕЛЛАЖИ</v>
          </cell>
          <cell r="E344" t="str">
            <v>FBO</v>
          </cell>
          <cell r="G344" t="str">
            <v>Венге</v>
          </cell>
          <cell r="H344" t="str">
            <v>2521897952931</v>
          </cell>
          <cell r="I344" t="str">
            <v>Вакансия</v>
          </cell>
        </row>
        <row r="345">
          <cell r="A345">
            <v>2671</v>
          </cell>
          <cell r="B345" t="str">
            <v>Стеллаж Бали прямой Дуб сонома/Белое гладкое 800х1600х200</v>
          </cell>
          <cell r="C345" t="str">
            <v>Вакансия</v>
          </cell>
          <cell r="D345" t="str">
            <v>СТЕЛЛАЖИ</v>
          </cell>
          <cell r="E345" t="str">
            <v xml:space="preserve">СКГТ </v>
          </cell>
          <cell r="G345" t="str">
            <v>дуб сонома/белая гладкая</v>
          </cell>
          <cell r="H345" t="str">
            <v>2520000000343</v>
          </cell>
          <cell r="I345" t="str">
            <v>Вакансия</v>
          </cell>
        </row>
        <row r="346">
          <cell r="A346">
            <v>50217945</v>
          </cell>
          <cell r="B346" t="str">
            <v>Стеллаж Hardy Венге (Hardy)</v>
          </cell>
          <cell r="C346" t="str">
            <v>Вакансия</v>
          </cell>
          <cell r="D346" t="str">
            <v>СТЕЛЛАЖИ</v>
          </cell>
          <cell r="E346" t="str">
            <v xml:space="preserve">СКГТ </v>
          </cell>
          <cell r="G346" t="str">
            <v>Венге</v>
          </cell>
          <cell r="H346" t="str">
            <v>2520000002149</v>
          </cell>
          <cell r="I346" t="str">
            <v>Вакансия</v>
          </cell>
        </row>
        <row r="347">
          <cell r="A347">
            <v>2669</v>
          </cell>
          <cell r="B347" t="str">
            <v>Стеллаж Лайт Белое тиснение 450х1150х240</v>
          </cell>
          <cell r="C347" t="str">
            <v>Вакансия</v>
          </cell>
          <cell r="D347" t="str">
            <v>СТЕЛЛАЖИ</v>
          </cell>
          <cell r="E347" t="str">
            <v>FBS</v>
          </cell>
          <cell r="G347" t="str">
            <v>Белое тиснение</v>
          </cell>
          <cell r="H347" t="str">
            <v>2520000000367</v>
          </cell>
          <cell r="I347" t="str">
            <v>Вакансия</v>
          </cell>
        </row>
        <row r="348">
          <cell r="A348">
            <v>2670</v>
          </cell>
          <cell r="B348" t="str">
            <v>Стеллаж Лайт Венге 450х1150х240</v>
          </cell>
          <cell r="C348" t="str">
            <v>Зимакова</v>
          </cell>
          <cell r="D348" t="str">
            <v>СТЕЛЛАЖИ</v>
          </cell>
          <cell r="E348" t="str">
            <v>FBS</v>
          </cell>
          <cell r="F348" t="str">
            <v>Стеллаж Лайт  450х1150х240</v>
          </cell>
          <cell r="G348" t="str">
            <v>Венге</v>
          </cell>
          <cell r="H348">
            <v>0</v>
          </cell>
          <cell r="I348" t="str">
            <v>Вакансия</v>
          </cell>
        </row>
        <row r="349">
          <cell r="A349">
            <v>2667</v>
          </cell>
          <cell r="B349" t="str">
            <v>Стеллаж Мальта дуб сонома/Белое гладкое 350х1150х216</v>
          </cell>
          <cell r="C349" t="str">
            <v>Вакансия</v>
          </cell>
          <cell r="D349" t="str">
            <v>СТЕЛЛАЖИ</v>
          </cell>
          <cell r="E349" t="str">
            <v>FBS</v>
          </cell>
          <cell r="G349" t="str">
            <v>дуб сонома/белая гладкая</v>
          </cell>
          <cell r="H349">
            <v>0</v>
          </cell>
          <cell r="I349" t="str">
            <v>Вакансия</v>
          </cell>
        </row>
        <row r="350">
          <cell r="A350">
            <v>2636</v>
          </cell>
          <cell r="B350" t="str">
            <v>Стеллаж многофункциональный Лофт Дуб сонома/Белое гладкое 900х1805х205</v>
          </cell>
          <cell r="C350" t="str">
            <v>Вакансия</v>
          </cell>
          <cell r="D350" t="str">
            <v>СТЕЛЛАЖИ</v>
          </cell>
          <cell r="E350" t="str">
            <v>СКГТ</v>
          </cell>
          <cell r="G350" t="str">
            <v>дуб сонома/белая гладкая</v>
          </cell>
          <cell r="H350" t="str">
            <v>2520000001543</v>
          </cell>
          <cell r="I350" t="str">
            <v>Вакансия</v>
          </cell>
        </row>
        <row r="351">
          <cell r="A351">
            <v>2637</v>
          </cell>
          <cell r="B351" t="str">
            <v>Стеллаж многофункциональный Лофт Орех лион/Пельтро 900х1805х205</v>
          </cell>
          <cell r="C351" t="str">
            <v>Вакансия</v>
          </cell>
          <cell r="D351" t="str">
            <v>СТЕЛЛАЖИ</v>
          </cell>
          <cell r="E351" t="str">
            <v xml:space="preserve">СКГТ </v>
          </cell>
          <cell r="G351" t="str">
            <v>комбин</v>
          </cell>
          <cell r="H351" t="str">
            <v>2520000001541</v>
          </cell>
          <cell r="I351" t="str">
            <v>Вакансия</v>
          </cell>
        </row>
        <row r="352">
          <cell r="A352">
            <v>9423</v>
          </cell>
          <cell r="B352" t="str">
            <v>Стеллаж угловой Jazz Plus Венге 1780х350х350</v>
          </cell>
          <cell r="C352" t="str">
            <v>Зимакова</v>
          </cell>
          <cell r="D352" t="str">
            <v>СТЕЛЛАЖИ</v>
          </cell>
          <cell r="E352" t="str">
            <v>FBO</v>
          </cell>
          <cell r="F352" t="str">
            <v>Стеллаж угловой Jazz Plus  1746х330х330</v>
          </cell>
          <cell r="G352" t="str">
            <v>Венге</v>
          </cell>
          <cell r="H352" t="str">
            <v>2521897952527</v>
          </cell>
          <cell r="I352" t="str">
            <v>Вакансия</v>
          </cell>
        </row>
        <row r="353">
          <cell r="A353" t="str">
            <v>3756.20/01</v>
          </cell>
          <cell r="B353" t="str">
            <v>Стеллаж Estet Plus Цемент светлый вельвет 730х1425(h)х220</v>
          </cell>
          <cell r="C353" t="str">
            <v>Загашева</v>
          </cell>
          <cell r="D353" t="str">
            <v>СТЕЛЛАЖИ</v>
          </cell>
          <cell r="E353" t="str">
            <v>FBO</v>
          </cell>
          <cell r="F353" t="str">
            <v>Стеллаж Estet Plus 730*1425*220</v>
          </cell>
          <cell r="G353" t="str">
            <v>Цемент светлый вельвет</v>
          </cell>
          <cell r="H353" t="str">
            <v>2521897953239</v>
          </cell>
          <cell r="I353" t="str">
            <v>Вакансия</v>
          </cell>
        </row>
        <row r="354">
          <cell r="A354">
            <v>2972</v>
          </cell>
          <cell r="B354" t="str">
            <v>Обувница Ультра вертикальная Дуб сонома 584х10148х244</v>
          </cell>
          <cell r="C354" t="str">
            <v xml:space="preserve">Петрова </v>
          </cell>
          <cell r="D354" t="str">
            <v>ОБУВНИЦЫ</v>
          </cell>
          <cell r="E354" t="str">
            <v>FBS</v>
          </cell>
          <cell r="F354" t="str">
            <v>Обувница Ультра вертикальная  584х10148х244</v>
          </cell>
          <cell r="G354" t="str">
            <v>Дуб сонома</v>
          </cell>
          <cell r="H354" t="str">
            <v>2520000001525</v>
          </cell>
          <cell r="I354" t="str">
            <v>Вакансия</v>
          </cell>
        </row>
        <row r="355">
          <cell r="A355">
            <v>3089</v>
          </cell>
          <cell r="B355" t="str">
            <v>Книжный шкаф  Style с 3 дверками Венге 706х1048х300</v>
          </cell>
          <cell r="C355" t="str">
            <v>Перепечаева</v>
          </cell>
          <cell r="D355" t="str">
            <v>ШКАФЫ</v>
          </cell>
          <cell r="E355" t="str">
            <v>FBS</v>
          </cell>
          <cell r="F355" t="str">
            <v>Книжный шкаф  Style с 3 дверками</v>
          </cell>
          <cell r="G355" t="str">
            <v>Венге</v>
          </cell>
          <cell r="H355" t="str">
            <v>2521897952382</v>
          </cell>
          <cell r="I355" t="str">
            <v>Вакансия</v>
          </cell>
        </row>
        <row r="356">
          <cell r="A356">
            <v>2975</v>
          </cell>
          <cell r="B356" t="str">
            <v>Стеллаж-полка Jazz Дуб сонома 978/592х617/1003х224</v>
          </cell>
          <cell r="C356" t="str">
            <v>Зимакова</v>
          </cell>
          <cell r="D356" t="str">
            <v>СТЕЛЛАЖИ</v>
          </cell>
          <cell r="E356" t="str">
            <v>FBS</v>
          </cell>
          <cell r="F356" t="str">
            <v>Стеллаж-полка Jazz  978/592х617/1003х224</v>
          </cell>
          <cell r="G356" t="str">
            <v>Дуб сонома</v>
          </cell>
          <cell r="H356" t="str">
            <v>2520000002213</v>
          </cell>
          <cell r="I356" t="str">
            <v>Вакансия</v>
          </cell>
        </row>
        <row r="357">
          <cell r="A357">
            <v>2971</v>
          </cell>
          <cell r="B357" t="str">
            <v>Обувница Ультра вертикальная Венге 584х10148х244</v>
          </cell>
          <cell r="C357" t="str">
            <v xml:space="preserve">Петрова </v>
          </cell>
          <cell r="D357" t="str">
            <v>ОБУВНИЦЫ</v>
          </cell>
          <cell r="E357" t="str">
            <v>FBS</v>
          </cell>
          <cell r="F357" t="str">
            <v>Обувница Ультра вертикальная 584х10148х244</v>
          </cell>
          <cell r="G357" t="str">
            <v>Венге</v>
          </cell>
          <cell r="H357" t="str">
            <v>2520000001519</v>
          </cell>
          <cell r="I357" t="str">
            <v>Вакансия</v>
          </cell>
        </row>
        <row r="358">
          <cell r="A358">
            <v>2694</v>
          </cell>
          <cell r="B358" t="str">
            <v>Стеллаж Quattro Венге 1050х1048х320</v>
          </cell>
          <cell r="C358" t="str">
            <v>Зимакова</v>
          </cell>
          <cell r="D358" t="str">
            <v>СТЕЛЛАЖИ</v>
          </cell>
          <cell r="E358" t="str">
            <v>FBO</v>
          </cell>
          <cell r="F358" t="str">
            <v>Стеллаж Quattro  1050х1048х320</v>
          </cell>
          <cell r="G358" t="str">
            <v>Венге</v>
          </cell>
          <cell r="H358" t="str">
            <v>2520000000268</v>
          </cell>
          <cell r="I358" t="str">
            <v>Вакансия</v>
          </cell>
        </row>
        <row r="359">
          <cell r="A359">
            <v>3080</v>
          </cell>
          <cell r="B359" t="str">
            <v>Стеллаж Style 5 секций Венге 502х784х254</v>
          </cell>
          <cell r="C359" t="str">
            <v>Вакансия</v>
          </cell>
          <cell r="D359" t="str">
            <v>СТЕЛЛАЖИ</v>
          </cell>
          <cell r="E359" t="str">
            <v>FBS</v>
          </cell>
          <cell r="G359" t="str">
            <v>Венге</v>
          </cell>
          <cell r="H359" t="str">
            <v>2521897952383</v>
          </cell>
          <cell r="I359" t="str">
            <v>Вакансия</v>
          </cell>
        </row>
        <row r="360">
          <cell r="A360">
            <v>3081</v>
          </cell>
          <cell r="B360" t="str">
            <v>Стеллаж Style 5 секций Дуб сонома  502х784х254</v>
          </cell>
          <cell r="C360" t="str">
            <v>Вакансия</v>
          </cell>
          <cell r="D360" t="str">
            <v>СТЕЛЛАЖИ</v>
          </cell>
          <cell r="E360" t="str">
            <v>FBS</v>
          </cell>
          <cell r="G360" t="str">
            <v>Дуб сонома</v>
          </cell>
          <cell r="H360" t="str">
            <v>2521897952386</v>
          </cell>
          <cell r="I360" t="str">
            <v>Вакансия</v>
          </cell>
        </row>
        <row r="361">
          <cell r="A361">
            <v>3086</v>
          </cell>
          <cell r="B361" t="str">
            <v>Стеллаж Style 7 секций Венге 502х1040х254</v>
          </cell>
          <cell r="C361" t="str">
            <v>Зимакова</v>
          </cell>
          <cell r="D361" t="str">
            <v>СТЕЛЛАЖИ</v>
          </cell>
          <cell r="E361" t="str">
            <v>FBS</v>
          </cell>
          <cell r="F361" t="str">
            <v>Стеллаж Style 7 секций  502х1040х254</v>
          </cell>
          <cell r="G361" t="str">
            <v>Венге</v>
          </cell>
          <cell r="H361" t="str">
            <v>2521897952384</v>
          </cell>
          <cell r="I361" t="str">
            <v>Вакансия</v>
          </cell>
        </row>
        <row r="362">
          <cell r="A362">
            <v>3097</v>
          </cell>
          <cell r="B362" t="str">
            <v>Стеллаж Bali с ящиком Дуб сонома/Белое тиснение 700х1800х284</v>
          </cell>
          <cell r="C362" t="str">
            <v>Вакансия</v>
          </cell>
          <cell r="D362" t="str">
            <v>СТЕЛЛАЖИ</v>
          </cell>
          <cell r="E362" t="str">
            <v xml:space="preserve">СКГТ </v>
          </cell>
          <cell r="G362" t="str">
            <v>дуб сонома/белое тиснение</v>
          </cell>
          <cell r="H362">
            <v>0</v>
          </cell>
          <cell r="I362" t="str">
            <v>Вакансия</v>
          </cell>
        </row>
        <row r="363">
          <cell r="A363">
            <v>3122</v>
          </cell>
          <cell r="B363" t="str">
            <v>Стеллаж Little 4 секции Белое тиснение706х1048х284</v>
          </cell>
          <cell r="C363" t="str">
            <v>Вакансия</v>
          </cell>
          <cell r="D363" t="str">
            <v>СТЕЛЛАЖИ</v>
          </cell>
          <cell r="E363" t="str">
            <v>FBS</v>
          </cell>
          <cell r="G363" t="str">
            <v>Белое тиснение</v>
          </cell>
          <cell r="H363">
            <v>0</v>
          </cell>
          <cell r="I363" t="str">
            <v>Вакансия</v>
          </cell>
        </row>
        <row r="364">
          <cell r="A364">
            <v>915200</v>
          </cell>
          <cell r="B364" t="str">
            <v>Стеллаж Style Комфорт 6 секций Дуб сонома</v>
          </cell>
          <cell r="C364" t="str">
            <v>Вакансия</v>
          </cell>
          <cell r="D364" t="str">
            <v>СТЕЛЛАЖИ</v>
          </cell>
          <cell r="E364" t="str">
            <v>FBS</v>
          </cell>
          <cell r="G364" t="str">
            <v>Дуб сонома</v>
          </cell>
          <cell r="H364" t="str">
            <v>2521897952396</v>
          </cell>
          <cell r="I364" t="str">
            <v>Вакансия</v>
          </cell>
        </row>
        <row r="365">
          <cell r="A365">
            <v>80044774</v>
          </cell>
          <cell r="B365" t="str">
            <v>Стеллаж Hardy Дуб (Hardy)</v>
          </cell>
          <cell r="C365" t="str">
            <v>Вакансия</v>
          </cell>
          <cell r="D365" t="str">
            <v>СТЕЛЛАЖИ</v>
          </cell>
          <cell r="E365" t="str">
            <v xml:space="preserve">СКГТ </v>
          </cell>
          <cell r="G365">
            <v>0</v>
          </cell>
          <cell r="H365" t="str">
            <v>2520897927295</v>
          </cell>
          <cell r="I365" t="str">
            <v>Вакансия</v>
          </cell>
        </row>
        <row r="366">
          <cell r="A366">
            <v>9409</v>
          </cell>
          <cell r="B366" t="str">
            <v>Стеллаж двухцветный 1180х570х262 белый</v>
          </cell>
          <cell r="C366" t="str">
            <v>Вакансия</v>
          </cell>
          <cell r="D366" t="str">
            <v>СТЕЛЛАЖИ</v>
          </cell>
          <cell r="E366" t="str">
            <v>FBS</v>
          </cell>
          <cell r="G366" t="str">
            <v>Белое тиснение</v>
          </cell>
          <cell r="H366" t="str">
            <v>2520897927282</v>
          </cell>
          <cell r="I366" t="str">
            <v>Вакансия</v>
          </cell>
        </row>
        <row r="367">
          <cell r="A367">
            <v>580355</v>
          </cell>
          <cell r="B367" t="str">
            <v>Стеллаж Mixit 8 Серый Графит/Белый+Кромка СЕР(Hardy)</v>
          </cell>
          <cell r="C367" t="str">
            <v>Вакансия</v>
          </cell>
          <cell r="D367" t="str">
            <v>СТЕЛЛАЖИ</v>
          </cell>
          <cell r="E367" t="str">
            <v>FBS</v>
          </cell>
          <cell r="G367" t="str">
            <v>комбин</v>
          </cell>
          <cell r="H367">
            <v>0</v>
          </cell>
          <cell r="I367" t="str">
            <v>Вакансия</v>
          </cell>
        </row>
        <row r="368">
          <cell r="A368">
            <v>580357</v>
          </cell>
          <cell r="B368" t="str">
            <v>Стеллаж Mixit 9 Серый Графит/БЕЛЫЙ+ кромка СЕР (Hardy)</v>
          </cell>
          <cell r="C368" t="str">
            <v>Вакансия</v>
          </cell>
          <cell r="D368" t="str">
            <v>СТЕЛЛАЖИ</v>
          </cell>
          <cell r="E368" t="str">
            <v xml:space="preserve">СКГТ </v>
          </cell>
          <cell r="G368" t="str">
            <v>комбин</v>
          </cell>
          <cell r="H368">
            <v>0</v>
          </cell>
          <cell r="I368" t="str">
            <v>Вакансия</v>
          </cell>
        </row>
        <row r="369">
          <cell r="A369">
            <v>915201</v>
          </cell>
          <cell r="B369" t="str">
            <v>Стеллаж Style Комфорт 6 секций БЕЛЫЙ</v>
          </cell>
          <cell r="C369" t="str">
            <v>Вакансия</v>
          </cell>
          <cell r="D369" t="str">
            <v>СТЕЛЛАЖИ</v>
          </cell>
          <cell r="E369" t="str">
            <v>FBS</v>
          </cell>
          <cell r="G369" t="str">
            <v>Белое тиснение</v>
          </cell>
          <cell r="H369" t="str">
            <v>2521897952418</v>
          </cell>
          <cell r="I369" t="str">
            <v>Вакансия</v>
          </cell>
        </row>
        <row r="370">
          <cell r="A370">
            <v>915202</v>
          </cell>
          <cell r="B370" t="str">
            <v>Стеллаж Style Комфорт 6 секций ВЕНГЕ</v>
          </cell>
          <cell r="C370" t="str">
            <v>Вакансия</v>
          </cell>
          <cell r="D370" t="str">
            <v>СТЕЛЛАЖИ</v>
          </cell>
          <cell r="E370" t="str">
            <v>FBS</v>
          </cell>
          <cell r="G370" t="str">
            <v>Венге</v>
          </cell>
          <cell r="H370" t="str">
            <v>2521897952419</v>
          </cell>
          <cell r="I370" t="str">
            <v>Вакансия</v>
          </cell>
        </row>
        <row r="371">
          <cell r="A371">
            <v>3146</v>
          </cell>
          <cell r="B371" t="str">
            <v>Стеллаж Lite Белое тиснение 600х1800х280</v>
          </cell>
          <cell r="C371" t="str">
            <v>Зимакова</v>
          </cell>
          <cell r="D371" t="str">
            <v>СТЕЛЛАЖИ</v>
          </cell>
          <cell r="E371" t="str">
            <v xml:space="preserve">СКГТ </v>
          </cell>
          <cell r="F371" t="str">
            <v>Стеллаж Lite  600х1800х280</v>
          </cell>
          <cell r="G371" t="str">
            <v>Белое тиснение</v>
          </cell>
          <cell r="H371" t="str">
            <v>2521897952452</v>
          </cell>
          <cell r="I371" t="str">
            <v>Вакансия</v>
          </cell>
        </row>
        <row r="372">
          <cell r="A372">
            <v>3167</v>
          </cell>
          <cell r="B372" t="str">
            <v>Стеллаж Jazz Plus Белое тиснение, шт</v>
          </cell>
          <cell r="C372" t="str">
            <v>Вакансия</v>
          </cell>
          <cell r="D372" t="str">
            <v>СТЕЛЛАЖИ</v>
          </cell>
          <cell r="E372" t="str">
            <v>FBS</v>
          </cell>
          <cell r="G372" t="str">
            <v>Белое тиснение</v>
          </cell>
          <cell r="H372">
            <v>0</v>
          </cell>
          <cell r="I372" t="str">
            <v>Вакансия</v>
          </cell>
        </row>
        <row r="373">
          <cell r="A373">
            <v>9417</v>
          </cell>
          <cell r="B373" t="str">
            <v>Стеллаж двухцветный 1180х570х262 черный/белый</v>
          </cell>
          <cell r="C373" t="str">
            <v>Вакансия</v>
          </cell>
          <cell r="D373" t="str">
            <v>СТЕЛЛАЖИ</v>
          </cell>
          <cell r="E373" t="str">
            <v>FBS</v>
          </cell>
          <cell r="G373" t="str">
            <v>комбин</v>
          </cell>
          <cell r="H373" t="str">
            <v>2521897952421</v>
          </cell>
          <cell r="I373" t="str">
            <v>Вакансия</v>
          </cell>
        </row>
        <row r="374">
          <cell r="A374">
            <v>3101</v>
          </cell>
          <cell r="B374" t="str">
            <v>Стеллаж Twist Белое тиснение 400х1252х304</v>
          </cell>
          <cell r="C374" t="str">
            <v>Вакансия</v>
          </cell>
          <cell r="D374" t="str">
            <v>СТЕЛЛАЖИ</v>
          </cell>
          <cell r="E374" t="str">
            <v>FBS</v>
          </cell>
          <cell r="G374" t="str">
            <v>Белое тиснение</v>
          </cell>
          <cell r="H374">
            <v>0</v>
          </cell>
          <cell r="I374" t="str">
            <v>Вакансия</v>
          </cell>
        </row>
        <row r="375">
          <cell r="A375">
            <v>3168</v>
          </cell>
          <cell r="B375" t="str">
            <v>Стеллаж Zett универсальный Белое тиснение</v>
          </cell>
          <cell r="C375" t="str">
            <v>Вакансия</v>
          </cell>
          <cell r="D375" t="str">
            <v>СТЕЛЛАЖИ</v>
          </cell>
          <cell r="E375" t="str">
            <v>FBS</v>
          </cell>
          <cell r="G375" t="str">
            <v>Белое тиснение</v>
          </cell>
          <cell r="H375">
            <v>0</v>
          </cell>
          <cell r="I375" t="str">
            <v>Вакансия</v>
          </cell>
        </row>
        <row r="376">
          <cell r="A376">
            <v>3181</v>
          </cell>
          <cell r="B376" t="str">
            <v>Стеллаж полка Malta средний Белое тиснение  1000х1060х220</v>
          </cell>
          <cell r="C376" t="str">
            <v>Вакансия</v>
          </cell>
          <cell r="D376" t="str">
            <v>СТЕЛЛАЖИ</v>
          </cell>
          <cell r="E376" t="str">
            <v>FBS</v>
          </cell>
          <cell r="G376" t="str">
            <v>Белое тиснение</v>
          </cell>
          <cell r="H376" t="str">
            <v>2521897952470</v>
          </cell>
          <cell r="I376" t="str">
            <v>Вакансия</v>
          </cell>
        </row>
        <row r="377">
          <cell r="A377">
            <v>9424</v>
          </cell>
          <cell r="B377" t="str">
            <v>Стеллаж угловой Jazz Plus Дуб Крафт белый 1746х330х330</v>
          </cell>
          <cell r="C377" t="str">
            <v>Зимакова</v>
          </cell>
          <cell r="D377" t="str">
            <v>СТЕЛЛАЖИ</v>
          </cell>
          <cell r="E377" t="str">
            <v>FBO</v>
          </cell>
          <cell r="F377" t="str">
            <v>Стеллаж угловой Jazz Plus  1746х330х330</v>
          </cell>
          <cell r="G377" t="str">
            <v>Дуб Крафт Белый</v>
          </cell>
          <cell r="H377" t="str">
            <v>2521897953032</v>
          </cell>
          <cell r="I377" t="str">
            <v>Вакансия</v>
          </cell>
        </row>
        <row r="378">
          <cell r="A378">
            <v>9425</v>
          </cell>
          <cell r="B378" t="str">
            <v>Стеллаж угловой Jazz Plus Крафт золотой 1746х330х330</v>
          </cell>
          <cell r="C378" t="str">
            <v>Зимакова</v>
          </cell>
          <cell r="D378" t="str">
            <v>СТЕЛЛАЖИ</v>
          </cell>
          <cell r="E378" t="str">
            <v>FBO</v>
          </cell>
          <cell r="F378" t="str">
            <v>Стеллаж угловой Jazz Plus  1746х330х330</v>
          </cell>
          <cell r="G378" t="str">
            <v>Дуб Крафт золотой</v>
          </cell>
          <cell r="H378" t="str">
            <v>2521897953033</v>
          </cell>
          <cell r="I378" t="str">
            <v>Вакансия</v>
          </cell>
        </row>
        <row r="379">
          <cell r="A379">
            <v>3233</v>
          </cell>
          <cell r="B379" t="str">
            <v>Стеллаж Universal Белое тиснение 1100х1716х320</v>
          </cell>
          <cell r="C379" t="str">
            <v>Вакансия</v>
          </cell>
          <cell r="D379" t="str">
            <v>СТЕЛЛАЖИ</v>
          </cell>
          <cell r="E379" t="str">
            <v>СКГТ (ОЗОН)</v>
          </cell>
          <cell r="G379" t="str">
            <v>Белое тиснение</v>
          </cell>
          <cell r="H379" t="str">
            <v>2521897952483</v>
          </cell>
          <cell r="I379" t="str">
            <v>Вакансия</v>
          </cell>
        </row>
        <row r="380">
          <cell r="A380">
            <v>3235</v>
          </cell>
          <cell r="B380" t="str">
            <v>Стеллаж Zett Ультра Пельтро 730х1757х250</v>
          </cell>
          <cell r="C380" t="str">
            <v>Вакансия</v>
          </cell>
          <cell r="D380" t="str">
            <v>СТЕЛЛАЖИ</v>
          </cell>
          <cell r="E380" t="str">
            <v>FBO</v>
          </cell>
          <cell r="G380" t="str">
            <v>Бетон</v>
          </cell>
          <cell r="H380" t="str">
            <v>2521897952501</v>
          </cell>
          <cell r="I380" t="str">
            <v>Вакансия</v>
          </cell>
        </row>
        <row r="381">
          <cell r="A381">
            <v>2603</v>
          </cell>
          <cell r="B381" t="str">
            <v>Стеллаж с открытыми полками Ультра Белое тиснение 600х800х230</v>
          </cell>
          <cell r="C381" t="str">
            <v>Зимакова</v>
          </cell>
          <cell r="D381" t="str">
            <v>СТЕЛЛАЖИ</v>
          </cell>
          <cell r="E381" t="str">
            <v>FBO</v>
          </cell>
          <cell r="F381" t="str">
            <v>Стеллаж с открытыми полками Ультра 600х800х230</v>
          </cell>
          <cell r="G381" t="str">
            <v>Белое тиснение</v>
          </cell>
          <cell r="H381" t="str">
            <v>2520000000404</v>
          </cell>
          <cell r="I381" t="str">
            <v>Вакансия</v>
          </cell>
        </row>
        <row r="382">
          <cell r="A382">
            <v>2618</v>
          </cell>
          <cell r="B382" t="str">
            <v>Стол журнальный Модерн Плюс Венге 606/430/606</v>
          </cell>
          <cell r="C382" t="str">
            <v>Вакансия</v>
          </cell>
          <cell r="D382" t="str">
            <v>СТОЛИКИ ЖУРНАЛЬНЫЕ</v>
          </cell>
          <cell r="E382" t="str">
            <v>FBO</v>
          </cell>
          <cell r="F382" t="str">
            <v>Стол журнальный Модерн Плюс 606х430х606</v>
          </cell>
          <cell r="G382" t="str">
            <v>Венге</v>
          </cell>
          <cell r="H382">
            <v>0</v>
          </cell>
          <cell r="I382" t="str">
            <v>Вакансия</v>
          </cell>
        </row>
        <row r="383">
          <cell r="A383">
            <v>9839</v>
          </cell>
          <cell r="B383" t="str">
            <v>Стеллаж City Plus 840х250х1577 Белое тиснение/Дуб сонома</v>
          </cell>
          <cell r="C383" t="str">
            <v>Зимакова</v>
          </cell>
          <cell r="D383" t="str">
            <v>СТЕЛЛАЖИ</v>
          </cell>
          <cell r="E383" t="str">
            <v>FBS</v>
          </cell>
          <cell r="F383" t="str">
            <v xml:space="preserve">Стеллаж City Plus 840х250х1577 </v>
          </cell>
          <cell r="G383" t="str">
            <v>дуб сонома/белое тиснение</v>
          </cell>
          <cell r="H383" t="str">
            <v>2521897952542</v>
          </cell>
          <cell r="I383" t="str">
            <v>Вакансия</v>
          </cell>
        </row>
        <row r="384">
          <cell r="A384">
            <v>2541</v>
          </cell>
          <cell r="B384" t="str">
            <v>Стол журнальный Ультра Венге 530х450х530</v>
          </cell>
          <cell r="C384" t="str">
            <v>Вакансия</v>
          </cell>
          <cell r="D384" t="str">
            <v>СТОЛИКИ ЖУРНАЛЬНЫЕ</v>
          </cell>
          <cell r="E384" t="str">
            <v>FBO</v>
          </cell>
          <cell r="G384" t="str">
            <v>Венге</v>
          </cell>
          <cell r="H384" t="str">
            <v>2520000000756</v>
          </cell>
          <cell r="I384" t="str">
            <v>Вакансия</v>
          </cell>
        </row>
        <row r="385">
          <cell r="A385">
            <v>140002</v>
          </cell>
          <cell r="B385" t="str">
            <v>Стеллаж Ultra lite Дуб сонома</v>
          </cell>
          <cell r="C385" t="str">
            <v>Зимакова</v>
          </cell>
          <cell r="D385" t="str">
            <v>СТЕЛЛАЖИ</v>
          </cell>
          <cell r="E385" t="str">
            <v>FBS</v>
          </cell>
          <cell r="F385" t="str">
            <v>Стеллаж Ultra lite</v>
          </cell>
          <cell r="G385" t="str">
            <v>Дуб сонома</v>
          </cell>
          <cell r="H385" t="str">
            <v>2521897952594</v>
          </cell>
          <cell r="I385" t="str">
            <v>Вакансия</v>
          </cell>
        </row>
        <row r="386">
          <cell r="A386">
            <v>140003</v>
          </cell>
          <cell r="B386" t="str">
            <v>Стеллаж Ultra lite  Венге</v>
          </cell>
          <cell r="C386" t="str">
            <v>Зимакова</v>
          </cell>
          <cell r="D386" t="str">
            <v>СТЕЛЛАЖИ</v>
          </cell>
          <cell r="E386" t="str">
            <v>FBS</v>
          </cell>
          <cell r="F386" t="str">
            <v>Стеллаж Ultra lite</v>
          </cell>
          <cell r="G386" t="str">
            <v>Венге</v>
          </cell>
          <cell r="H386" t="str">
            <v>2521897952595</v>
          </cell>
          <cell r="I386" t="str">
            <v>Вакансия</v>
          </cell>
        </row>
        <row r="387">
          <cell r="A387">
            <v>50217946</v>
          </cell>
          <cell r="B387" t="str">
            <v>Стеллаж Hardy Лайт Венге (Hardy)</v>
          </cell>
          <cell r="C387" t="str">
            <v>Вакансия</v>
          </cell>
          <cell r="D387" t="str">
            <v>СТЕЛЛАЖИ</v>
          </cell>
          <cell r="E387" t="str">
            <v>FBS</v>
          </cell>
          <cell r="G387" t="str">
            <v>Венге</v>
          </cell>
          <cell r="H387" t="str">
            <v>2521897952645</v>
          </cell>
          <cell r="I387" t="str">
            <v>Вакансия</v>
          </cell>
        </row>
        <row r="388">
          <cell r="A388">
            <v>80217945</v>
          </cell>
          <cell r="B388" t="str">
            <v>Стеллаж Hardy Лайт Белый (Hardy)</v>
          </cell>
          <cell r="C388" t="str">
            <v>Вакансия</v>
          </cell>
          <cell r="D388" t="str">
            <v>СТЕЛЛАЖИ</v>
          </cell>
          <cell r="E388" t="str">
            <v>FBS</v>
          </cell>
          <cell r="G388" t="str">
            <v>Белое тиснение</v>
          </cell>
          <cell r="H388" t="str">
            <v>2521897952644</v>
          </cell>
          <cell r="I388" t="str">
            <v>Вакансия</v>
          </cell>
        </row>
        <row r="389">
          <cell r="A389">
            <v>80044775</v>
          </cell>
          <cell r="B389" t="str">
            <v>Стеллаж Hardy Лайт Дуб (Hardy)</v>
          </cell>
          <cell r="C389" t="str">
            <v>Вакансия</v>
          </cell>
          <cell r="D389" t="str">
            <v>СТЕЛЛАЖИ</v>
          </cell>
          <cell r="E389" t="str">
            <v>FBS</v>
          </cell>
          <cell r="G389" t="str">
            <v>дуб</v>
          </cell>
          <cell r="H389" t="str">
            <v>2521897952646</v>
          </cell>
          <cell r="I389" t="str">
            <v>Вакансия</v>
          </cell>
        </row>
        <row r="390">
          <cell r="A390">
            <v>80044777</v>
          </cell>
          <cell r="B390" t="str">
            <v>Стеллаж Hardy Лайт Дуб Крафт золотой (Hardy)</v>
          </cell>
          <cell r="C390" t="str">
            <v>Вакансия</v>
          </cell>
          <cell r="D390" t="str">
            <v>СТЕЛЛАЖИ</v>
          </cell>
          <cell r="E390" t="str">
            <v>FBS</v>
          </cell>
          <cell r="G390" t="str">
            <v>Дуб Крафт золотой</v>
          </cell>
          <cell r="H390" t="str">
            <v>2521897952656</v>
          </cell>
          <cell r="I390" t="str">
            <v>Вакансия</v>
          </cell>
        </row>
        <row r="391">
          <cell r="A391">
            <v>3034</v>
          </cell>
          <cell r="B391" t="str">
            <v>Столик журнальный Мальта Белое тиснение 700х416х400</v>
          </cell>
          <cell r="C391" t="str">
            <v>Вакансия</v>
          </cell>
          <cell r="D391" t="str">
            <v>СТОЛИКИ ЖУРНАЛЬНЫЕ</v>
          </cell>
          <cell r="E391" t="str">
            <v>FBO</v>
          </cell>
          <cell r="G391" t="str">
            <v>Белое тиснение</v>
          </cell>
          <cell r="H391" t="str">
            <v>2520000001415</v>
          </cell>
          <cell r="I391" t="str">
            <v>Вакансия</v>
          </cell>
        </row>
        <row r="392">
          <cell r="A392">
            <v>80044778</v>
          </cell>
          <cell r="B392" t="str">
            <v>Стеллаж Hardy Лайт с дверками Дуб Крафт золотой (Hardy)</v>
          </cell>
          <cell r="C392" t="str">
            <v>Вакансия</v>
          </cell>
          <cell r="D392" t="str">
            <v>СТЕЛЛАЖИ</v>
          </cell>
          <cell r="E392" t="str">
            <v>FBS</v>
          </cell>
          <cell r="G392" t="str">
            <v>Дуб Крафт золотой</v>
          </cell>
          <cell r="H392" t="str">
            <v>2521897952657</v>
          </cell>
          <cell r="I392" t="str">
            <v>Вакансия</v>
          </cell>
        </row>
        <row r="393">
          <cell r="A393">
            <v>80044776</v>
          </cell>
          <cell r="B393" t="str">
            <v>Стеллаж Hardy Лайт с дверками Дуб (Hardy)</v>
          </cell>
          <cell r="C393" t="str">
            <v>Вакансия</v>
          </cell>
          <cell r="D393" t="str">
            <v>СТЕЛЛАЖИ</v>
          </cell>
          <cell r="E393" t="str">
            <v>FBS</v>
          </cell>
          <cell r="G393" t="str">
            <v>дуб</v>
          </cell>
          <cell r="H393" t="str">
            <v>2521897952651</v>
          </cell>
          <cell r="I393" t="str">
            <v>Вакансия</v>
          </cell>
        </row>
        <row r="394">
          <cell r="A394">
            <v>10001</v>
          </cell>
          <cell r="B394" t="str">
            <v>Стеллаж деревянный Lyon</v>
          </cell>
          <cell r="C394" t="str">
            <v>Вакансия</v>
          </cell>
          <cell r="D394" t="str">
            <v>СТЕЛЛАЖИ</v>
          </cell>
          <cell r="E394" t="str">
            <v>FBS</v>
          </cell>
          <cell r="G394" t="str">
            <v>дуб</v>
          </cell>
          <cell r="H394" t="str">
            <v>2521897952665</v>
          </cell>
          <cell r="I394" t="str">
            <v>Вакансия</v>
          </cell>
        </row>
        <row r="395">
          <cell r="A395">
            <v>135540</v>
          </cell>
          <cell r="B395" t="str">
            <v>Стеллаж Varby Белый</v>
          </cell>
          <cell r="C395" t="str">
            <v>Зимакова</v>
          </cell>
          <cell r="D395" t="str">
            <v>СТЕЛЛАЖИ</v>
          </cell>
          <cell r="E395" t="str">
            <v xml:space="preserve">СКГТ </v>
          </cell>
          <cell r="F395" t="str">
            <v>Стеллаж Varby</v>
          </cell>
          <cell r="G395" t="str">
            <v>Белое тиснение</v>
          </cell>
          <cell r="H395" t="str">
            <v>2521897952713</v>
          </cell>
          <cell r="I395" t="str">
            <v>Вакансия</v>
          </cell>
        </row>
        <row r="396">
          <cell r="A396">
            <v>135541</v>
          </cell>
          <cell r="B396" t="str">
            <v>Стеллаж Quattro 16 секций Белое тиснение</v>
          </cell>
          <cell r="C396" t="str">
            <v>Зимакова</v>
          </cell>
          <cell r="D396" t="str">
            <v>СТЕЛЛАЖИ</v>
          </cell>
          <cell r="E396" t="str">
            <v>СКГТ (ОЗОН)</v>
          </cell>
          <cell r="F396" t="str">
            <v>Стеллаж Quattro 16 секций</v>
          </cell>
          <cell r="G396" t="str">
            <v>Белое тиснение</v>
          </cell>
          <cell r="H396">
            <v>0</v>
          </cell>
          <cell r="I396" t="str">
            <v>Вакансия</v>
          </cell>
        </row>
        <row r="397">
          <cell r="A397" t="str">
            <v>MK1090201</v>
          </cell>
          <cell r="B397" t="str">
            <v>Стеллаж полка Tokyo напольная с дверк. для ванной ЛДСП Белое тиснение, Черн. металл. 692х1920(h)х249</v>
          </cell>
          <cell r="C397" t="str">
            <v>Зимакова</v>
          </cell>
          <cell r="D397" t="str">
            <v>СТЕЛЛАЖИ</v>
          </cell>
          <cell r="E397" t="str">
            <v>FBS</v>
          </cell>
          <cell r="F397" t="str">
            <v>Стеллаж полка Tokyo напольная с дверк. для ванной  692х1920(h)х249</v>
          </cell>
          <cell r="G397" t="str">
            <v xml:space="preserve">ЛДСП Белое тиснение, Черн. металл. </v>
          </cell>
          <cell r="H397" t="str">
            <v>2521897952730</v>
          </cell>
          <cell r="I397" t="str">
            <v>Вакансия</v>
          </cell>
        </row>
        <row r="398">
          <cell r="A398">
            <v>3573</v>
          </cell>
          <cell r="B398" t="str">
            <v>Стеллаж с открытыми полками Ультра Дуб Крафт Белый 600х800х230</v>
          </cell>
          <cell r="C398" t="str">
            <v>Зимакова</v>
          </cell>
          <cell r="D398" t="str">
            <v>СТЕЛЛАЖИ</v>
          </cell>
          <cell r="E398" t="str">
            <v>FBO</v>
          </cell>
          <cell r="F398" t="str">
            <v>Стеллаж с открытыми полками Ультра 600х800х230</v>
          </cell>
          <cell r="G398" t="str">
            <v>Дуб Крафт Белый</v>
          </cell>
          <cell r="H398" t="str">
            <v>2521897952804</v>
          </cell>
          <cell r="I398" t="str">
            <v>Вакансия</v>
          </cell>
        </row>
        <row r="399">
          <cell r="A399">
            <v>3790</v>
          </cell>
          <cell r="B399" t="str">
            <v>Стол стеллаж Zett Lite Белое Тиснение 1164*1541*450</v>
          </cell>
          <cell r="C399" t="str">
            <v>Кошкарева</v>
          </cell>
          <cell r="D399" t="str">
            <v>СТОЛЫ</v>
          </cell>
          <cell r="E399" t="str">
            <v>FBO</v>
          </cell>
          <cell r="F399" t="str">
            <v>Стол стеллаж Zett Lite</v>
          </cell>
          <cell r="G399" t="str">
            <v>Белое тиснение</v>
          </cell>
          <cell r="H399" t="str">
            <v>2521897953255</v>
          </cell>
          <cell r="I399" t="str">
            <v>Вакансия</v>
          </cell>
        </row>
        <row r="400">
          <cell r="A400">
            <v>135561</v>
          </cell>
          <cell r="B400" t="str">
            <v>Стол журнальный "Комфорт" Дуб крафт золотой</v>
          </cell>
          <cell r="C400" t="str">
            <v>Вакансия</v>
          </cell>
          <cell r="D400" t="str">
            <v>СТОЛИКИ ЖУРНАЛЬНЫЕ</v>
          </cell>
          <cell r="E400" t="str">
            <v>FBS</v>
          </cell>
          <cell r="G400" t="str">
            <v>Дуб Крафт золотой</v>
          </cell>
          <cell r="H400" t="str">
            <v>2521897952866</v>
          </cell>
          <cell r="I400" t="str">
            <v>Вакансия</v>
          </cell>
        </row>
        <row r="401">
          <cell r="A401">
            <v>33561</v>
          </cell>
          <cell r="B401" t="str">
            <v>Стол журнальный "Элегант" комплект, золотая основа, Мрамор золото</v>
          </cell>
          <cell r="C401" t="str">
            <v>Вакансия</v>
          </cell>
          <cell r="D401" t="str">
            <v>СТОЛИКИ ЖУРНАЛЬНЫЕ</v>
          </cell>
          <cell r="E401" t="str">
            <v>FBS</v>
          </cell>
          <cell r="G401" t="str">
            <v>мрамор. Золото</v>
          </cell>
          <cell r="H401">
            <v>0</v>
          </cell>
          <cell r="I401" t="str">
            <v>Вакансия</v>
          </cell>
        </row>
        <row r="402">
          <cell r="A402">
            <v>9122</v>
          </cell>
          <cell r="B402" t="str">
            <v>Стеллаж Zett New Белое тиснение</v>
          </cell>
          <cell r="C402" t="str">
            <v>Зимакова</v>
          </cell>
          <cell r="D402" t="str">
            <v>СТЕЛЛАЖИ</v>
          </cell>
          <cell r="E402" t="str">
            <v>FBO</v>
          </cell>
          <cell r="F402" t="str">
            <v xml:space="preserve">Стеллаж Zett New </v>
          </cell>
          <cell r="G402" t="str">
            <v>Белое тиснение</v>
          </cell>
          <cell r="H402" t="str">
            <v>2521897952785</v>
          </cell>
          <cell r="I402" t="str">
            <v>Вакансия</v>
          </cell>
        </row>
        <row r="403">
          <cell r="A403">
            <v>9801</v>
          </cell>
          <cell r="B403" t="str">
            <v>Стеллаж Ницца Белое тиснение</v>
          </cell>
          <cell r="C403" t="str">
            <v>Зимакова</v>
          </cell>
          <cell r="D403" t="str">
            <v>СТЕЛЛАЖИ</v>
          </cell>
          <cell r="E403" t="str">
            <v>FBO</v>
          </cell>
          <cell r="F403" t="str">
            <v xml:space="preserve">Стеллаж Ницца </v>
          </cell>
          <cell r="G403" t="str">
            <v>Белое тиснение</v>
          </cell>
          <cell r="H403" t="str">
            <v>2521897952792</v>
          </cell>
          <cell r="I403" t="str">
            <v>Вакансия</v>
          </cell>
        </row>
        <row r="404">
          <cell r="A404" t="str">
            <v>3175.01.07/01</v>
          </cell>
          <cell r="B404" t="str">
            <v>Комод Blues 2х   дверн. с ящ. Дуб Вотан/Антрацит 750х795(h)х320</v>
          </cell>
          <cell r="C404" t="str">
            <v>Платонова</v>
          </cell>
          <cell r="D404" t="str">
            <v>КОМОДЫ</v>
          </cell>
          <cell r="E404" t="str">
            <v>FBS</v>
          </cell>
          <cell r="F404" t="str">
            <v>Комод Blues 2х   дверн. с ящ.</v>
          </cell>
          <cell r="G404" t="str">
            <v>Дуб Вотан/Антрацит</v>
          </cell>
          <cell r="H404" t="str">
            <v>2521897953366</v>
          </cell>
          <cell r="I404" t="str">
            <v>Вакансия</v>
          </cell>
        </row>
        <row r="405">
          <cell r="A405">
            <v>43332</v>
          </cell>
          <cell r="B405" t="str">
            <v>Стол журнальный "Элегант" комплект, золотая основа, Белый камень</v>
          </cell>
          <cell r="C405" t="str">
            <v>Леонтьева</v>
          </cell>
          <cell r="D405" t="str">
            <v>СТОЛИКИ ЖУРНАЛЬНЫЕ</v>
          </cell>
          <cell r="E405" t="str">
            <v>FBO</v>
          </cell>
          <cell r="F405" t="str">
            <v>Стол журнальный "Элегант" комплект</v>
          </cell>
          <cell r="G405" t="str">
            <v>комбин</v>
          </cell>
          <cell r="H405" t="str">
            <v>2521897953431</v>
          </cell>
          <cell r="I405" t="str">
            <v>Вакансия</v>
          </cell>
        </row>
        <row r="406">
          <cell r="A406">
            <v>26200</v>
          </cell>
          <cell r="B406" t="str">
            <v>Стол журнальный складной Белое тиснение 570*110*60</v>
          </cell>
          <cell r="C406" t="str">
            <v>Леонтьева</v>
          </cell>
          <cell r="D406" t="str">
            <v>СТОЛИКИ ЖУРНАЛЬНЫЕ</v>
          </cell>
          <cell r="E406" t="str">
            <v>FBO</v>
          </cell>
          <cell r="F406" t="str">
            <v>Стол журнальный складной 570*110*60</v>
          </cell>
          <cell r="G406" t="str">
            <v>Белое тиснение</v>
          </cell>
          <cell r="H406" t="str">
            <v>2521897953196</v>
          </cell>
          <cell r="I406" t="str">
            <v>Вакансия</v>
          </cell>
        </row>
        <row r="407">
          <cell r="A407">
            <v>26201</v>
          </cell>
          <cell r="B407" t="str">
            <v>Стол журнальный складной Ателье Темное 570*110*60</v>
          </cell>
          <cell r="C407" t="str">
            <v>Леонтьева</v>
          </cell>
          <cell r="D407" t="str">
            <v>СТОЛИКИ ЖУРНАЛЬНЫЕ</v>
          </cell>
          <cell r="E407" t="str">
            <v>FBO</v>
          </cell>
          <cell r="F407" t="str">
            <v>Стол журнальный складной 570*110*60</v>
          </cell>
          <cell r="G407" t="str">
            <v>Ателье темное</v>
          </cell>
          <cell r="H407" t="str">
            <v>2521897953197</v>
          </cell>
          <cell r="I407" t="str">
            <v>Вакансия</v>
          </cell>
        </row>
        <row r="408">
          <cell r="A408">
            <v>9802</v>
          </cell>
          <cell r="B408" t="str">
            <v>Стеллаж Ницца Дуб сонома</v>
          </cell>
          <cell r="C408" t="str">
            <v>Вакансия</v>
          </cell>
          <cell r="D408" t="str">
            <v>СТЕЛЛАЖИ</v>
          </cell>
          <cell r="E408" t="str">
            <v>FBO</v>
          </cell>
          <cell r="G408" t="str">
            <v>Дуб сонома</v>
          </cell>
          <cell r="H408" t="str">
            <v>2521897952930</v>
          </cell>
          <cell r="I408" t="str">
            <v>Вакансия</v>
          </cell>
        </row>
        <row r="409">
          <cell r="A409">
            <v>135614</v>
          </cell>
          <cell r="B409" t="str">
            <v>Стул Комфорт Фиолетовый V10 (комплект 2 шт.)</v>
          </cell>
          <cell r="C409" t="str">
            <v>Мисесина</v>
          </cell>
          <cell r="D409" t="str">
            <v>СТУЛЬЯ</v>
          </cell>
          <cell r="E409" t="str">
            <v>FBO</v>
          </cell>
          <cell r="F409" t="str">
            <v>Стул Комфорт (комплект 2 шт.)</v>
          </cell>
          <cell r="G409" t="str">
            <v>ткань</v>
          </cell>
          <cell r="H409" t="str">
            <v>2521897953271</v>
          </cell>
          <cell r="I409" t="str">
            <v>Вакансия</v>
          </cell>
        </row>
        <row r="410">
          <cell r="A410">
            <v>135610</v>
          </cell>
          <cell r="B410" t="str">
            <v>Стул Комфорт Синий V54 (комплект 2 шт.)</v>
          </cell>
          <cell r="C410" t="str">
            <v>Мисесина</v>
          </cell>
          <cell r="D410" t="str">
            <v>СТУЛЬЯ</v>
          </cell>
          <cell r="E410" t="str">
            <v>FBO</v>
          </cell>
          <cell r="F410" t="str">
            <v>Стул Комфорт (комплект 2 шт.)</v>
          </cell>
          <cell r="G410" t="str">
            <v>ткань</v>
          </cell>
          <cell r="H410" t="str">
            <v>2521897953147</v>
          </cell>
          <cell r="I410" t="str">
            <v>Вакансия</v>
          </cell>
        </row>
        <row r="411">
          <cell r="A411">
            <v>9422</v>
          </cell>
          <cell r="B411" t="str">
            <v>Стеллаж угловой Jazz Plus Дуб сонома 1780х350х350</v>
          </cell>
          <cell r="C411" t="str">
            <v>Зимакова</v>
          </cell>
          <cell r="D411" t="str">
            <v>СТЕЛЛАЖИ</v>
          </cell>
          <cell r="E411" t="str">
            <v>FBO</v>
          </cell>
          <cell r="F411" t="str">
            <v>Стеллаж угловой Jazz Plus  1746х330х330</v>
          </cell>
          <cell r="G411" t="str">
            <v>Дуб сонома</v>
          </cell>
          <cell r="H411" t="str">
            <v>2521897952526</v>
          </cell>
          <cell r="I411" t="str">
            <v>Вакансия</v>
          </cell>
        </row>
        <row r="412">
          <cell r="A412">
            <v>3021</v>
          </cell>
          <cell r="B412" t="str">
            <v>Комод City 3 ящика Белое тиснение 700х675х354</v>
          </cell>
          <cell r="C412" t="str">
            <v>Платонова</v>
          </cell>
          <cell r="D412" t="str">
            <v>КОМОДЫ</v>
          </cell>
          <cell r="E412" t="str">
            <v>FBO</v>
          </cell>
          <cell r="F412" t="str">
            <v>Комод City 3 ящика 700х675х354</v>
          </cell>
          <cell r="G412" t="str">
            <v>Белое тиснение</v>
          </cell>
          <cell r="H412" t="str">
            <v>2520897922361</v>
          </cell>
          <cell r="I412" t="str">
            <v>Вакансия</v>
          </cell>
        </row>
        <row r="413">
          <cell r="A413" t="str">
            <v>MK00002</v>
          </cell>
          <cell r="B413" t="str">
            <v>Стеллаж тумба Frame 2 секции Дуб Вотан, черный металл 670х778х300</v>
          </cell>
          <cell r="C413" t="str">
            <v>Зимакова</v>
          </cell>
          <cell r="D413" t="str">
            <v>СТЕЛЛАЖИ</v>
          </cell>
          <cell r="E413" t="str">
            <v>FBS</v>
          </cell>
          <cell r="F413" t="str">
            <v>Стеллаж тумба Frame 2 секции  670х778х300</v>
          </cell>
          <cell r="G413" t="str">
            <v>Дуб Вотан, Черн. металл.</v>
          </cell>
          <cell r="H413" t="str">
            <v>2521897952562</v>
          </cell>
          <cell r="I413" t="str">
            <v>Вакансия</v>
          </cell>
        </row>
        <row r="414">
          <cell r="A414">
            <v>2651</v>
          </cell>
          <cell r="B414" t="str">
            <v>Стол компьютерный Мальта 3ящ. с полками Орех лион/Пельтро 1100х730х500</v>
          </cell>
          <cell r="C414" t="str">
            <v>Вакансия</v>
          </cell>
          <cell r="D414" t="str">
            <v>СТОЛЫ</v>
          </cell>
          <cell r="E414" t="str">
            <v xml:space="preserve">СКГТ </v>
          </cell>
          <cell r="G414">
            <v>0</v>
          </cell>
          <cell r="H414" t="str">
            <v>2520000001050</v>
          </cell>
          <cell r="I414" t="str">
            <v>Вакансия</v>
          </cell>
        </row>
        <row r="415">
          <cell r="A415">
            <v>3064</v>
          </cell>
          <cell r="B415" t="str">
            <v>Стол компьютерный навесной с изменяемой высотой Next Белое тиснение 1032х914х470</v>
          </cell>
          <cell r="C415" t="str">
            <v>Кошкарева</v>
          </cell>
          <cell r="D415" t="str">
            <v>СТОЛЫ</v>
          </cell>
          <cell r="E415" t="str">
            <v>FBS</v>
          </cell>
          <cell r="F415" t="str">
            <v>Стол компьютерный навесной с изменяемой высотой Next</v>
          </cell>
          <cell r="G415" t="str">
            <v>Белое тиснение</v>
          </cell>
          <cell r="H415" t="str">
            <v>2520000002142</v>
          </cell>
          <cell r="I415" t="str">
            <v>Вакансия</v>
          </cell>
        </row>
        <row r="416">
          <cell r="A416">
            <v>2657</v>
          </cell>
          <cell r="B416" t="str">
            <v>Стол письменный Мальта универсальный Белое тиснение 1150х750х500/870</v>
          </cell>
          <cell r="C416" t="str">
            <v>Кошкарева</v>
          </cell>
          <cell r="D416" t="str">
            <v>СТОЛЫ</v>
          </cell>
          <cell r="E416" t="str">
            <v>СКГТ</v>
          </cell>
          <cell r="F416" t="str">
            <v>Стол письменный Мальта универсальный  1150х750х500/870</v>
          </cell>
          <cell r="G416" t="str">
            <v>Белое тиснение</v>
          </cell>
          <cell r="H416" t="str">
            <v>2520000001111</v>
          </cell>
          <cell r="I416" t="str">
            <v>Вакансия</v>
          </cell>
        </row>
        <row r="417">
          <cell r="A417">
            <v>2674</v>
          </cell>
          <cell r="B417" t="str">
            <v>Стол письменный Мальта универсальный с ящиком Дуб сонома 1150х750х500/870</v>
          </cell>
          <cell r="C417" t="str">
            <v>Кошкарева</v>
          </cell>
          <cell r="D417" t="str">
            <v>СТОЛЫ</v>
          </cell>
          <cell r="E417" t="str">
            <v>СКГТ (ОЗОН)</v>
          </cell>
          <cell r="F417" t="str">
            <v>Стол письменный Мальта универсальный с ящиком  1150х750х500/870</v>
          </cell>
          <cell r="G417" t="str">
            <v>Дуб сонома</v>
          </cell>
          <cell r="H417" t="str">
            <v>2520000002039</v>
          </cell>
          <cell r="I417" t="str">
            <v>Вакансия</v>
          </cell>
        </row>
        <row r="418">
          <cell r="A418">
            <v>135583</v>
          </cell>
          <cell r="B418" t="str">
            <v>Обувница вертикальная Мальта Лайт Венге 53х82х22</v>
          </cell>
          <cell r="C418" t="str">
            <v xml:space="preserve">Петрова </v>
          </cell>
          <cell r="D418" t="str">
            <v>ОБУВНИЦЫ</v>
          </cell>
          <cell r="E418" t="str">
            <v>FBO</v>
          </cell>
          <cell r="F418" t="str">
            <v>Обувница вертикальная Мальта Лайт 53х82х22</v>
          </cell>
          <cell r="G418" t="str">
            <v>Венге</v>
          </cell>
          <cell r="H418" t="str">
            <v>2521897952911</v>
          </cell>
          <cell r="I418" t="str">
            <v>Вакансия</v>
          </cell>
        </row>
        <row r="419">
          <cell r="A419">
            <v>3028</v>
          </cell>
          <cell r="B419" t="str">
            <v>Стол письменный рабочий City Венге 1060х50х500</v>
          </cell>
          <cell r="C419" t="str">
            <v>Кошкарева</v>
          </cell>
          <cell r="D419" t="str">
            <v>СТОЛЫ</v>
          </cell>
          <cell r="E419" t="str">
            <v>СКГТ</v>
          </cell>
          <cell r="F419" t="str">
            <v>Стол письменный рабочий City  1060х50х500</v>
          </cell>
          <cell r="G419" t="str">
            <v>Венге</v>
          </cell>
          <cell r="H419" t="str">
            <v>2520000001313</v>
          </cell>
          <cell r="I419" t="str">
            <v>Вакансия</v>
          </cell>
        </row>
        <row r="420">
          <cell r="A420">
            <v>3032</v>
          </cell>
          <cell r="B420" t="str">
            <v>Стол рабочий для Ноутбука 3в1 Белое тиснение 530х220х350</v>
          </cell>
          <cell r="C420" t="str">
            <v>Вакансия</v>
          </cell>
          <cell r="D420" t="str">
            <v>СТОЛЫ</v>
          </cell>
          <cell r="E420" t="str">
            <v>FBO</v>
          </cell>
          <cell r="G420" t="str">
            <v>Белое тиснение</v>
          </cell>
          <cell r="H420" t="str">
            <v>2520000002315</v>
          </cell>
          <cell r="I420" t="str">
            <v>Вакансия</v>
          </cell>
        </row>
        <row r="421">
          <cell r="A421">
            <v>2473</v>
          </cell>
          <cell r="B421" t="str">
            <v>Стол рабочий для Ноутбука 3в1 Дуб сонома 530х220х350</v>
          </cell>
          <cell r="C421" t="str">
            <v>Вакансия</v>
          </cell>
          <cell r="D421" t="str">
            <v>СТОЛЫ</v>
          </cell>
          <cell r="E421" t="str">
            <v>FBO</v>
          </cell>
          <cell r="G421" t="str">
            <v>Дуб сонома</v>
          </cell>
          <cell r="H421" t="str">
            <v>2520000001234</v>
          </cell>
          <cell r="I421" t="str">
            <v>Вакансия</v>
          </cell>
        </row>
        <row r="422">
          <cell r="A422">
            <v>2948</v>
          </cell>
          <cell r="B422" t="str">
            <v>Стол рабочий Лайт Белое тиснение 900х750х400</v>
          </cell>
          <cell r="C422" t="str">
            <v>Вакансия</v>
          </cell>
          <cell r="D422" t="str">
            <v>СТОЛЫ</v>
          </cell>
          <cell r="E422" t="str">
            <v>FBS</v>
          </cell>
          <cell r="F422" t="str">
            <v>Стол рабочий Лайт 900х750х400</v>
          </cell>
          <cell r="G422" t="str">
            <v>Белое тиснение</v>
          </cell>
          <cell r="H422" t="str">
            <v>2520000001241</v>
          </cell>
          <cell r="I422" t="str">
            <v>Вакансия</v>
          </cell>
        </row>
        <row r="423">
          <cell r="A423">
            <v>2949</v>
          </cell>
          <cell r="B423" t="str">
            <v>Стол рабочий Лайт Венге 900х750х400</v>
          </cell>
          <cell r="C423" t="str">
            <v>Вакансия</v>
          </cell>
          <cell r="D423" t="str">
            <v>СТОЛЫ</v>
          </cell>
          <cell r="E423" t="str">
            <v>FBS</v>
          </cell>
          <cell r="F423" t="str">
            <v>Стол рабочий Лайт 900х750х400</v>
          </cell>
          <cell r="G423" t="str">
            <v>Венге</v>
          </cell>
          <cell r="H423" t="str">
            <v>2520000001258</v>
          </cell>
          <cell r="I423" t="str">
            <v>Вакансия</v>
          </cell>
        </row>
        <row r="424">
          <cell r="A424">
            <v>9426</v>
          </cell>
          <cell r="B424" t="str">
            <v>Стеллаж угловой Jazz Plus Бетон 1746х330х330</v>
          </cell>
          <cell r="C424" t="str">
            <v>Зимакова</v>
          </cell>
          <cell r="D424" t="str">
            <v>СТЕЛЛАЖИ</v>
          </cell>
          <cell r="E424" t="str">
            <v>FBO</v>
          </cell>
          <cell r="F424" t="str">
            <v>Стеллаж угловой Jazz Plus  1746х330х330</v>
          </cell>
          <cell r="G424" t="str">
            <v>Бетон</v>
          </cell>
          <cell r="H424" t="str">
            <v>2521897953038</v>
          </cell>
          <cell r="I424" t="str">
            <v>Вакансия</v>
          </cell>
        </row>
        <row r="425">
          <cell r="A425">
            <v>2961</v>
          </cell>
          <cell r="B425" t="str">
            <v>Стол рабочий Лайт Плюс Белое тиснение 1030х750х400</v>
          </cell>
          <cell r="C425" t="str">
            <v>Вакансия</v>
          </cell>
          <cell r="D425" t="str">
            <v>СТОЛЫ</v>
          </cell>
          <cell r="E425" t="str">
            <v>FBS</v>
          </cell>
          <cell r="F425" t="str">
            <v xml:space="preserve">Стол рабочий Лайт Плюс </v>
          </cell>
          <cell r="G425" t="str">
            <v>Белое тиснение</v>
          </cell>
          <cell r="H425" t="str">
            <v>2520000001272</v>
          </cell>
          <cell r="I425" t="str">
            <v>Вакансия</v>
          </cell>
        </row>
        <row r="426">
          <cell r="A426">
            <v>2850</v>
          </cell>
          <cell r="B426" t="str">
            <v>Стол-тумба-стеллаж Бодега темн. 900х554х350 (без колес)</v>
          </cell>
          <cell r="C426" t="str">
            <v>Вакансия</v>
          </cell>
          <cell r="D426" t="str">
            <v>СТОЛИКИ ЖУРНАЛЬНЫЕ</v>
          </cell>
          <cell r="E426" t="str">
            <v>FBS</v>
          </cell>
          <cell r="G426" t="str">
            <v>Бодега</v>
          </cell>
          <cell r="H426">
            <v>0</v>
          </cell>
          <cell r="I426" t="str">
            <v>Вакансия</v>
          </cell>
        </row>
        <row r="427">
          <cell r="A427">
            <v>2622</v>
          </cell>
          <cell r="B427" t="str">
            <v>Стол-тумба-стеллаж Венге 900х554х350 (без колес)</v>
          </cell>
          <cell r="C427" t="str">
            <v>Вакансия</v>
          </cell>
          <cell r="D427" t="str">
            <v>СТОЛИКИ ЖУРНАЛЬНЫЕ</v>
          </cell>
          <cell r="E427" t="str">
            <v>FBS</v>
          </cell>
          <cell r="G427" t="str">
            <v>Венге</v>
          </cell>
          <cell r="H427">
            <v>0</v>
          </cell>
          <cell r="I427" t="str">
            <v>Вакансия</v>
          </cell>
        </row>
        <row r="428">
          <cell r="A428">
            <v>2464</v>
          </cell>
          <cell r="B428" t="str">
            <v>Стол журнальный Модерн Плюс Бодега темн. 606х430х606</v>
          </cell>
          <cell r="C428" t="str">
            <v>Вакансия</v>
          </cell>
          <cell r="D428" t="str">
            <v>СТОЛИКИ ЖУРНАЛЬНЫЕ</v>
          </cell>
          <cell r="E428" t="str">
            <v>FBO</v>
          </cell>
          <cell r="G428" t="str">
            <v>Бодега</v>
          </cell>
          <cell r="H428">
            <v>0</v>
          </cell>
          <cell r="I428" t="str">
            <v>Вакансия</v>
          </cell>
        </row>
        <row r="429">
          <cell r="A429">
            <v>2922</v>
          </cell>
          <cell r="B429" t="str">
            <v>Стол рабочий Ультра Белое тиснение 1100х1300х500</v>
          </cell>
          <cell r="C429" t="str">
            <v>Вакансия</v>
          </cell>
          <cell r="D429" t="str">
            <v>СТОЛЫ</v>
          </cell>
          <cell r="E429" t="str">
            <v>СКГТ</v>
          </cell>
          <cell r="G429" t="str">
            <v>Белое тиснение</v>
          </cell>
          <cell r="H429">
            <v>0</v>
          </cell>
          <cell r="I429" t="str">
            <v>Вакансия</v>
          </cell>
        </row>
        <row r="430">
          <cell r="A430">
            <v>2465</v>
          </cell>
          <cell r="B430" t="str">
            <v>Стол журнальный Модерн Плюс Дуб сонома 606х430х606</v>
          </cell>
          <cell r="C430" t="str">
            <v>Вакансия</v>
          </cell>
          <cell r="D430" t="str">
            <v>СТОЛИКИ ЖУРНАЛЬНЫЕ</v>
          </cell>
          <cell r="E430" t="str">
            <v>FBO</v>
          </cell>
          <cell r="G430" t="str">
            <v>Дуб сонома</v>
          </cell>
          <cell r="H430" t="str">
            <v>2520000000749</v>
          </cell>
          <cell r="I430" t="str">
            <v>Вакансия</v>
          </cell>
        </row>
        <row r="431">
          <cell r="A431">
            <v>2924</v>
          </cell>
          <cell r="B431" t="str">
            <v>Стол рабочий Ультра Дуб сонома 1100х1300х500</v>
          </cell>
          <cell r="C431" t="str">
            <v>Вакансия</v>
          </cell>
          <cell r="D431" t="str">
            <v>СТОЛЫ</v>
          </cell>
          <cell r="E431" t="str">
            <v>СКГТ</v>
          </cell>
          <cell r="F431" t="str">
            <v>Стол рабочий Ультра 1100х1300х500</v>
          </cell>
          <cell r="G431" t="str">
            <v>Дуб сонома</v>
          </cell>
          <cell r="H431" t="str">
            <v>2520000002084</v>
          </cell>
          <cell r="I431" t="str">
            <v>Вакансия</v>
          </cell>
        </row>
        <row r="432">
          <cell r="A432">
            <v>2554</v>
          </cell>
          <cell r="B432" t="str">
            <v>Стол журнальный Ультра Дуб сонома 530х450х530</v>
          </cell>
          <cell r="C432" t="str">
            <v>Вакансия</v>
          </cell>
          <cell r="D432" t="str">
            <v>СТОЛИКИ ЖУРНАЛЬНЫЕ</v>
          </cell>
          <cell r="E432" t="str">
            <v>FBO</v>
          </cell>
          <cell r="G432" t="str">
            <v>Дуб сонома</v>
          </cell>
          <cell r="H432">
            <v>0</v>
          </cell>
          <cell r="I432" t="str">
            <v>Вакансия</v>
          </cell>
        </row>
        <row r="433">
          <cell r="A433">
            <v>2567</v>
          </cell>
          <cell r="B433" t="str">
            <v>Стол журнальный Ультра Белое тиснение 530х450х530</v>
          </cell>
          <cell r="C433" t="str">
            <v>Вакансия</v>
          </cell>
          <cell r="D433" t="str">
            <v>СТОЛИКИ ЖУРНАЛЬНЫЕ</v>
          </cell>
          <cell r="E433" t="str">
            <v>FBO</v>
          </cell>
          <cell r="G433" t="str">
            <v>Белое тиснение</v>
          </cell>
          <cell r="H433">
            <v>0</v>
          </cell>
          <cell r="I433" t="str">
            <v>Вакансия</v>
          </cell>
        </row>
        <row r="434">
          <cell r="A434">
            <v>3053</v>
          </cell>
          <cell r="B434" t="str">
            <v>Стол журнальный Ультра Черный 530х450х530</v>
          </cell>
          <cell r="C434" t="str">
            <v>Вакансия</v>
          </cell>
          <cell r="D434" t="str">
            <v>СТОЛИКИ ЖУРНАЛЬНЫЕ</v>
          </cell>
          <cell r="E434" t="str">
            <v>FBO</v>
          </cell>
          <cell r="G434" t="str">
            <v>Черный</v>
          </cell>
          <cell r="H434" t="str">
            <v>2520897922322</v>
          </cell>
          <cell r="I434" t="str">
            <v>Вакансия</v>
          </cell>
        </row>
        <row r="435">
          <cell r="A435">
            <v>2459</v>
          </cell>
          <cell r="B435" t="str">
            <v>Стол Клио Плюс Бодега темн. 350х440х450</v>
          </cell>
          <cell r="C435" t="str">
            <v>Вакансия</v>
          </cell>
          <cell r="D435" t="str">
            <v>СТОЛИКИ ЖУРНАЛЬНЫЕ</v>
          </cell>
          <cell r="E435" t="str">
            <v>FBO</v>
          </cell>
          <cell r="G435" t="str">
            <v>Бодега</v>
          </cell>
          <cell r="H435">
            <v>0</v>
          </cell>
          <cell r="I435" t="str">
            <v>Вакансия</v>
          </cell>
        </row>
        <row r="436">
          <cell r="A436">
            <v>2483</v>
          </cell>
          <cell r="B436" t="str">
            <v>Столик журнальный Бали Бодега темн./Бодега светл. 890х438х440</v>
          </cell>
          <cell r="C436" t="str">
            <v>Вакансия</v>
          </cell>
          <cell r="D436" t="str">
            <v>СТОЛИКИ ЖУРНАЛЬНЫЕ</v>
          </cell>
          <cell r="E436" t="str">
            <v>FBS</v>
          </cell>
          <cell r="G436" t="str">
            <v>Бодега</v>
          </cell>
          <cell r="H436" t="str">
            <v>2520000000770</v>
          </cell>
          <cell r="I436" t="str">
            <v>Вакансия</v>
          </cell>
        </row>
        <row r="437">
          <cell r="A437">
            <v>2626</v>
          </cell>
          <cell r="B437" t="str">
            <v>Столик журнальный Бали Венге/Белое тиснение 890х438х440</v>
          </cell>
          <cell r="C437" t="str">
            <v>Вакансия</v>
          </cell>
          <cell r="D437" t="str">
            <v>СТОЛИКИ ЖУРНАЛЬНЫЕ</v>
          </cell>
          <cell r="E437" t="str">
            <v>FBS</v>
          </cell>
          <cell r="G437" t="str">
            <v>комбин</v>
          </cell>
          <cell r="H437" t="str">
            <v>2520000000718</v>
          </cell>
          <cell r="I437" t="str">
            <v>Вакансия</v>
          </cell>
        </row>
        <row r="438">
          <cell r="A438">
            <v>2484</v>
          </cell>
          <cell r="B438" t="str">
            <v>Столик журнальный Бали Дуб сонома/Белый гладкий 890х438х440</v>
          </cell>
          <cell r="C438" t="str">
            <v>Вакансия</v>
          </cell>
          <cell r="D438" t="str">
            <v>СТОЛИКИ ЖУРНАЛЬНЫЕ</v>
          </cell>
          <cell r="E438" t="str">
            <v>FBS</v>
          </cell>
          <cell r="G438" t="str">
            <v>Дуб сонома</v>
          </cell>
          <cell r="H438" t="str">
            <v>2520000000787</v>
          </cell>
          <cell r="I438" t="str">
            <v>Вакансия</v>
          </cell>
        </row>
        <row r="439">
          <cell r="A439">
            <v>2474</v>
          </cell>
          <cell r="B439" t="str">
            <v>Столик журнальный Мальта Дуб сонома/Белый гладкий 700х416х400</v>
          </cell>
          <cell r="C439" t="str">
            <v>Вакансия</v>
          </cell>
          <cell r="D439" t="str">
            <v>СТОЛИКИ ЖУРНАЛЬНЫЕ</v>
          </cell>
          <cell r="E439" t="str">
            <v>FBO</v>
          </cell>
          <cell r="G439" t="str">
            <v>комбин</v>
          </cell>
          <cell r="H439" t="str">
            <v>2520000000794</v>
          </cell>
          <cell r="I439" t="str">
            <v>Вакансия</v>
          </cell>
        </row>
        <row r="440">
          <cell r="A440">
            <v>3110</v>
          </cell>
          <cell r="B440" t="str">
            <v>Стол стеллаж Lite Белое тиснение 1100х1282х400</v>
          </cell>
          <cell r="C440" t="str">
            <v>Вакансия</v>
          </cell>
          <cell r="D440" t="str">
            <v>СТОЛЫ</v>
          </cell>
          <cell r="E440" t="str">
            <v>FBS</v>
          </cell>
          <cell r="G440" t="str">
            <v>Белое тиснение</v>
          </cell>
          <cell r="H440" t="str">
            <v>2520897952374</v>
          </cell>
          <cell r="I440" t="str">
            <v>Вакансия</v>
          </cell>
        </row>
        <row r="441">
          <cell r="A441">
            <v>3134</v>
          </cell>
          <cell r="B441" t="str">
            <v>Стол рабочий Ultra Plus Белое тиснение 1096х736х502</v>
          </cell>
          <cell r="C441" t="str">
            <v>Вакансия</v>
          </cell>
          <cell r="D441" t="str">
            <v>СТОЛЫ</v>
          </cell>
          <cell r="E441" t="str">
            <v>FBS</v>
          </cell>
          <cell r="G441" t="str">
            <v>Белое тиснение</v>
          </cell>
          <cell r="H441">
            <v>0</v>
          </cell>
          <cell r="I441" t="str">
            <v>Вакансия</v>
          </cell>
        </row>
        <row r="442">
          <cell r="A442">
            <v>3156</v>
          </cell>
          <cell r="B442" t="str">
            <v>Стол журнальный Line с ящиками Белое тиснение 786х320х562</v>
          </cell>
          <cell r="C442" t="str">
            <v>Вакансия</v>
          </cell>
          <cell r="D442" t="str">
            <v>СТОЛИКИ ЖУРНАЛЬНЫЕ</v>
          </cell>
          <cell r="E442" t="str">
            <v>FBS</v>
          </cell>
          <cell r="G442" t="str">
            <v>Белое тиснение</v>
          </cell>
          <cell r="H442">
            <v>0</v>
          </cell>
          <cell r="I442" t="str">
            <v>Вакансия</v>
          </cell>
        </row>
        <row r="443">
          <cell r="A443">
            <v>3158</v>
          </cell>
          <cell r="B443" t="str">
            <v>Стол журнальный Line Plus с ящиками Белое тиснение 658х440х562</v>
          </cell>
          <cell r="C443" t="str">
            <v>Вакансия</v>
          </cell>
          <cell r="D443" t="str">
            <v>СТОЛИКИ ЖУРНАЛЬНЫЕ</v>
          </cell>
          <cell r="E443" t="str">
            <v>FBO</v>
          </cell>
          <cell r="G443" t="str">
            <v>Белое тиснение</v>
          </cell>
          <cell r="H443" t="str">
            <v>2521897952444</v>
          </cell>
          <cell r="I443" t="str">
            <v>Вакансия</v>
          </cell>
        </row>
        <row r="444">
          <cell r="A444">
            <v>2695</v>
          </cell>
          <cell r="B444" t="str">
            <v>Стеллаж Quattro Дуб сонома 1050х1048х320</v>
          </cell>
          <cell r="C444" t="str">
            <v>Зимакова</v>
          </cell>
          <cell r="D444" t="str">
            <v>СТЕЛЛАЖИ</v>
          </cell>
          <cell r="E444" t="str">
            <v>FBO</v>
          </cell>
          <cell r="F444" t="str">
            <v>Стеллаж Quattro  1050х1048х320</v>
          </cell>
          <cell r="G444" t="str">
            <v>Дуб сонома</v>
          </cell>
          <cell r="H444" t="str">
            <v>2520000000275</v>
          </cell>
          <cell r="I444" t="str">
            <v>Вакансия</v>
          </cell>
        </row>
        <row r="445">
          <cell r="A445" t="str">
            <v>MK00022</v>
          </cell>
          <cell r="B445" t="str">
            <v>Стеллаж Tokyo 3 секции ЛДСП Дуб Вотан, Черн. металл.</v>
          </cell>
          <cell r="C445" t="str">
            <v>Зимакова</v>
          </cell>
          <cell r="D445" t="str">
            <v>СТЕЛЛАЖИ</v>
          </cell>
          <cell r="E445" t="str">
            <v>FBS</v>
          </cell>
          <cell r="F445" t="str">
            <v xml:space="preserve">Стеллаж Tokyo 3 секции </v>
          </cell>
          <cell r="G445" t="str">
            <v>ЛДСП Дуб Вотан, Черн. металл.</v>
          </cell>
          <cell r="H445" t="str">
            <v>2521897952600</v>
          </cell>
          <cell r="I445" t="str">
            <v>Вакансия</v>
          </cell>
        </row>
        <row r="446">
          <cell r="A446" t="str">
            <v>MK00024</v>
          </cell>
          <cell r="B446" t="str">
            <v>Стеллаж Tokyo ЛДСП Дуб Вотан, Черн. металл.</v>
          </cell>
          <cell r="C446" t="str">
            <v>Зимакова</v>
          </cell>
          <cell r="D446" t="str">
            <v>СТЕЛЛАЖИ</v>
          </cell>
          <cell r="E446" t="str">
            <v>FBS</v>
          </cell>
          <cell r="F446" t="str">
            <v>Стеллаж Tokyo ЛДСП Дуб Вотан, Черн. металл.</v>
          </cell>
          <cell r="G446" t="str">
            <v>ЛДСП Дуб Вотан, Черн. металл.</v>
          </cell>
          <cell r="H446" t="str">
            <v>2521897952601</v>
          </cell>
          <cell r="I446" t="str">
            <v>Вакансия</v>
          </cell>
        </row>
        <row r="447">
          <cell r="A447">
            <v>135560</v>
          </cell>
          <cell r="B447" t="str">
            <v>Стол журнальный "Комфорт" Белое тиснение</v>
          </cell>
          <cell r="C447" t="str">
            <v>Леонтьева</v>
          </cell>
          <cell r="D447" t="str">
            <v>СТОЛИКИ ЖУРНАЛЬНЫЕ</v>
          </cell>
          <cell r="E447" t="str">
            <v>FBS</v>
          </cell>
          <cell r="F447" t="str">
            <v xml:space="preserve">Стол журнальный "Комфорт" </v>
          </cell>
          <cell r="G447" t="str">
            <v>Белое тиснение</v>
          </cell>
          <cell r="H447" t="str">
            <v>2521897952865</v>
          </cell>
          <cell r="I447" t="str">
            <v>Вакансия</v>
          </cell>
        </row>
        <row r="448">
          <cell r="A448">
            <v>135562</v>
          </cell>
          <cell r="B448" t="str">
            <v>Стол журнальный "Комфорт" Бетон</v>
          </cell>
          <cell r="C448" t="str">
            <v>Вакансия</v>
          </cell>
          <cell r="D448" t="str">
            <v>СТОЛИКИ ЖУРНАЛЬНЫЕ</v>
          </cell>
          <cell r="E448" t="str">
            <v>FBS</v>
          </cell>
          <cell r="G448" t="str">
            <v>Бетон</v>
          </cell>
          <cell r="H448" t="str">
            <v>2521897952867</v>
          </cell>
          <cell r="I448" t="str">
            <v>Вакансия</v>
          </cell>
        </row>
        <row r="449">
          <cell r="A449">
            <v>3147</v>
          </cell>
          <cell r="B449" t="str">
            <v>Стол рабочий Ultra Дуб сонома/Белое тиснение</v>
          </cell>
          <cell r="C449" t="str">
            <v>Вакансия</v>
          </cell>
          <cell r="D449" t="str">
            <v>СТОЛЫ</v>
          </cell>
          <cell r="E449" t="str">
            <v>FBS</v>
          </cell>
          <cell r="G449" t="str">
            <v>дуб сонома/белое тиснение</v>
          </cell>
          <cell r="H449">
            <v>0</v>
          </cell>
          <cell r="I449" t="str">
            <v>Вакансия</v>
          </cell>
        </row>
        <row r="450">
          <cell r="A450">
            <v>33560</v>
          </cell>
          <cell r="B450" t="str">
            <v>Стол журнальный "Элегант" комплект, золотая основа, Мрамор камень</v>
          </cell>
          <cell r="C450" t="str">
            <v>Вакансия</v>
          </cell>
          <cell r="D450" t="str">
            <v>СТОЛИКИ ЖУРНАЛЬНЫЕ</v>
          </cell>
          <cell r="E450" t="str">
            <v>FBS</v>
          </cell>
          <cell r="F450" t="str">
            <v>Стол журнальный "Элегант" комплект</v>
          </cell>
          <cell r="G450" t="str">
            <v>мрамор. Камень</v>
          </cell>
          <cell r="H450">
            <v>0</v>
          </cell>
          <cell r="I450" t="str">
            <v>Вакансия</v>
          </cell>
        </row>
        <row r="451">
          <cell r="A451">
            <v>3173</v>
          </cell>
          <cell r="B451" t="str">
            <v>Стол компьютерный Ultra Plus c 2 ящ. Белое тиснение 900х750х450</v>
          </cell>
          <cell r="C451" t="str">
            <v>Вакансия</v>
          </cell>
          <cell r="D451" t="str">
            <v>СТОЛЫ</v>
          </cell>
          <cell r="E451" t="str">
            <v>FBS</v>
          </cell>
          <cell r="G451" t="str">
            <v>Белое тиснение</v>
          </cell>
          <cell r="H451" t="str">
            <v>2521897952486</v>
          </cell>
          <cell r="I451" t="str">
            <v>Вакансия</v>
          </cell>
        </row>
        <row r="452">
          <cell r="A452" t="str">
            <v>MK00032</v>
          </cell>
          <cell r="B452" t="str">
            <v>Стол журнальный Frame ЛДСП Белое тиснен., Черный металл 900х422х450</v>
          </cell>
          <cell r="C452" t="str">
            <v>Леонтьева</v>
          </cell>
          <cell r="D452" t="str">
            <v>СТОЛИКИ ЖУРНАЛЬНЫЕ</v>
          </cell>
          <cell r="E452" t="str">
            <v>FBS</v>
          </cell>
          <cell r="F452" t="str">
            <v>Стол журнальный Frame  900х422х450</v>
          </cell>
          <cell r="G452" t="str">
            <v xml:space="preserve">ЛДСП Белое тиснение, Черн. металл. </v>
          </cell>
          <cell r="H452" t="str">
            <v>2521897952573</v>
          </cell>
          <cell r="I452" t="str">
            <v>Вакансия</v>
          </cell>
        </row>
        <row r="453">
          <cell r="A453">
            <v>3178</v>
          </cell>
          <cell r="B453" t="str">
            <v>Стол компьютерный Nika Plus Белое тиснен./Антрацид 1274х816х400</v>
          </cell>
          <cell r="C453" t="str">
            <v>Вакансия</v>
          </cell>
          <cell r="D453" t="str">
            <v>СТОЛЫ</v>
          </cell>
          <cell r="E453" t="str">
            <v>СКГТ (ОЗОН)</v>
          </cell>
          <cell r="G453" t="str">
            <v>комбин</v>
          </cell>
          <cell r="H453" t="str">
            <v>2521897952482</v>
          </cell>
          <cell r="I453" t="str">
            <v>Вакансия</v>
          </cell>
        </row>
        <row r="454">
          <cell r="A454">
            <v>33330</v>
          </cell>
          <cell r="B454" t="str">
            <v>Стол журнальный "Элегант" комплект, золотая основа, Мрамор камень</v>
          </cell>
          <cell r="C454" t="str">
            <v>Леонтьева</v>
          </cell>
          <cell r="D454" t="str">
            <v>СТОЛИКИ ЖУРНАЛЬНЫЕ</v>
          </cell>
          <cell r="E454" t="str">
            <v>FBS</v>
          </cell>
          <cell r="F454" t="str">
            <v>Стол журнальный "Элегант" комплект</v>
          </cell>
          <cell r="G454" t="str">
            <v>комбин</v>
          </cell>
          <cell r="H454" t="str">
            <v>2521897953433</v>
          </cell>
          <cell r="I454" t="str">
            <v>Вакансия</v>
          </cell>
        </row>
        <row r="455">
          <cell r="A455">
            <v>33331</v>
          </cell>
          <cell r="B455" t="str">
            <v>Стол журнальный "Элегант" комплект, золотая основа, Мрамор золото</v>
          </cell>
          <cell r="C455" t="str">
            <v>Леонтьева</v>
          </cell>
          <cell r="D455" t="str">
            <v>СТОЛИКИ ЖУРНАЛЬНЫЕ</v>
          </cell>
          <cell r="E455" t="str">
            <v>FBS</v>
          </cell>
          <cell r="F455" t="str">
            <v>Стол журнальный "Элегант" комплект</v>
          </cell>
          <cell r="G455" t="str">
            <v>комбин</v>
          </cell>
          <cell r="H455" t="str">
            <v>2521897953208</v>
          </cell>
          <cell r="I455" t="str">
            <v>Вакансия</v>
          </cell>
        </row>
        <row r="456">
          <cell r="A456">
            <v>33332</v>
          </cell>
          <cell r="B456" t="str">
            <v>Стол журнальный "Элегант" комплект, золотая основа, Белый камень</v>
          </cell>
          <cell r="C456" t="str">
            <v>Леонтьева</v>
          </cell>
          <cell r="D456" t="str">
            <v>СТОЛИКИ ЖУРНАЛЬНЫЕ</v>
          </cell>
          <cell r="E456" t="str">
            <v>FBS</v>
          </cell>
          <cell r="F456" t="str">
            <v>Стол журнальный "Элегант" комплект</v>
          </cell>
          <cell r="G456" t="str">
            <v>комбин</v>
          </cell>
          <cell r="H456" t="str">
            <v>2521897953434</v>
          </cell>
          <cell r="I456" t="str">
            <v>Вакансия</v>
          </cell>
        </row>
        <row r="457">
          <cell r="A457">
            <v>33333</v>
          </cell>
          <cell r="B457" t="str">
            <v>Стол журнальный "Элегант" комплект, черная основа, Черный камень</v>
          </cell>
          <cell r="C457" t="str">
            <v>Леонтьева</v>
          </cell>
          <cell r="D457" t="str">
            <v>СТОЛИКИ ЖУРНАЛЬНЫЕ</v>
          </cell>
          <cell r="E457" t="str">
            <v>FBS</v>
          </cell>
          <cell r="F457" t="str">
            <v>Стол журнальный "Элегант" комплект</v>
          </cell>
          <cell r="G457" t="str">
            <v>комбин</v>
          </cell>
          <cell r="H457">
            <v>0</v>
          </cell>
          <cell r="I457" t="str">
            <v>Вакансия</v>
          </cell>
        </row>
        <row r="458">
          <cell r="A458">
            <v>43330</v>
          </cell>
          <cell r="B458" t="str">
            <v>Стол журнальный "Элегант" комплект, золотая основа, Мрамор камень</v>
          </cell>
          <cell r="C458" t="str">
            <v>Леонтьева</v>
          </cell>
          <cell r="D458" t="str">
            <v>СТОЛИКИ ЖУРНАЛЬНЫЕ</v>
          </cell>
          <cell r="E458" t="str">
            <v>FBO</v>
          </cell>
          <cell r="F458" t="str">
            <v>Стол журнальный "Элегант" комплект</v>
          </cell>
          <cell r="G458" t="str">
            <v>комбин</v>
          </cell>
          <cell r="H458" t="str">
            <v>2521897953430</v>
          </cell>
          <cell r="I458" t="str">
            <v>Вакансия</v>
          </cell>
        </row>
        <row r="459">
          <cell r="A459">
            <v>43331</v>
          </cell>
          <cell r="B459" t="str">
            <v>Стол журнальный "Элегант" комплект, золотая основа, Мрамор золото</v>
          </cell>
          <cell r="C459" t="str">
            <v>Леонтьева</v>
          </cell>
          <cell r="D459" t="str">
            <v>СТОЛИКИ ЖУРНАЛЬНЫЕ</v>
          </cell>
          <cell r="E459" t="str">
            <v>FBO</v>
          </cell>
          <cell r="F459" t="str">
            <v>Стол журнальный "Элегант" комплект</v>
          </cell>
          <cell r="G459" t="str">
            <v>комбин</v>
          </cell>
          <cell r="H459" t="str">
            <v>2521897953209</v>
          </cell>
          <cell r="I459" t="str">
            <v>Вакансия</v>
          </cell>
        </row>
        <row r="460">
          <cell r="A460">
            <v>43333</v>
          </cell>
          <cell r="B460" t="str">
            <v>Стол журнальный "Элегант" комплект, черная основа, Черный камень</v>
          </cell>
          <cell r="C460" t="str">
            <v>Леонтьева</v>
          </cell>
          <cell r="D460" t="str">
            <v>СТОЛИКИ ЖУРНАЛЬНЫЕ</v>
          </cell>
          <cell r="E460" t="str">
            <v>FBO</v>
          </cell>
          <cell r="F460" t="str">
            <v>Стол журнальный "Элегант" комплект</v>
          </cell>
          <cell r="G460" t="str">
            <v>комбин</v>
          </cell>
          <cell r="H460" t="str">
            <v>2521897953432</v>
          </cell>
          <cell r="I460" t="str">
            <v>Вакансия</v>
          </cell>
        </row>
        <row r="461">
          <cell r="A461">
            <v>3448</v>
          </cell>
          <cell r="B461" t="str">
            <v>Стол письменный рабочий Estet 3 ящика Белое тиснение 1100х754х430</v>
          </cell>
          <cell r="C461" t="str">
            <v>Кошкарева</v>
          </cell>
          <cell r="D461" t="str">
            <v>СТОЛЫ</v>
          </cell>
          <cell r="E461" t="str">
            <v>FBS</v>
          </cell>
          <cell r="F461" t="str">
            <v>Стол письменный рабочий Estet 3 ящика</v>
          </cell>
          <cell r="G461" t="str">
            <v>Белое тиснение</v>
          </cell>
          <cell r="H461" t="str">
            <v>2521897952583</v>
          </cell>
          <cell r="I461" t="str">
            <v>Вакансия</v>
          </cell>
        </row>
        <row r="462">
          <cell r="A462">
            <v>2472</v>
          </cell>
          <cell r="B462" t="str">
            <v>Подставка для Ноутбука радиусная Сакура 760х16х390</v>
          </cell>
          <cell r="C462" t="str">
            <v>Вакансия</v>
          </cell>
          <cell r="D462" t="str">
            <v>СТОЛЫ</v>
          </cell>
          <cell r="E462" t="str">
            <v>FBO</v>
          </cell>
          <cell r="G462">
            <v>0</v>
          </cell>
          <cell r="H462" t="str">
            <v>2520000001784</v>
          </cell>
          <cell r="I462" t="str">
            <v>Вакансия</v>
          </cell>
        </row>
        <row r="463">
          <cell r="A463">
            <v>26202</v>
          </cell>
          <cell r="B463" t="str">
            <v>Стол журнальный складной Артвуд Темный 570*110*60</v>
          </cell>
          <cell r="C463" t="str">
            <v>Леонтьева</v>
          </cell>
          <cell r="D463" t="str">
            <v>СТОЛИКИ ЖУРНАЛЬНЫЕ</v>
          </cell>
          <cell r="E463" t="str">
            <v>FBO</v>
          </cell>
          <cell r="F463" t="str">
            <v>Стол журнальный складной 570*110*60</v>
          </cell>
          <cell r="G463" t="str">
            <v>Артвуд Темный</v>
          </cell>
          <cell r="H463" t="str">
            <v>2521897953198</v>
          </cell>
          <cell r="I463" t="str">
            <v>Вакансия</v>
          </cell>
        </row>
        <row r="464">
          <cell r="A464">
            <v>3311</v>
          </cell>
          <cell r="B464" t="str">
            <v>Стол письменный рабочий Estet 3 ящика Белое тисн./Антрацит 1100х754х430</v>
          </cell>
          <cell r="C464" t="str">
            <v>Кошкарева</v>
          </cell>
          <cell r="D464" t="str">
            <v>СТОЛЫ</v>
          </cell>
          <cell r="E464" t="str">
            <v>FBS</v>
          </cell>
          <cell r="F464" t="str">
            <v>Стол письменный рабочий Estet 3 ящика</v>
          </cell>
          <cell r="G464" t="str">
            <v>Белое тиснение/Антрацит</v>
          </cell>
          <cell r="H464" t="str">
            <v>2521897952584</v>
          </cell>
          <cell r="I464" t="str">
            <v>Вакансия</v>
          </cell>
        </row>
        <row r="465">
          <cell r="A465">
            <v>3039</v>
          </cell>
          <cell r="B465" t="str">
            <v>Стол  парта письменный регулируемый Школьник Белое тиснение 850х750/558х550</v>
          </cell>
          <cell r="C465" t="str">
            <v>Вакансия</v>
          </cell>
          <cell r="D465" t="str">
            <v>СТОЛЫ</v>
          </cell>
          <cell r="E465" t="str">
            <v>FBS</v>
          </cell>
          <cell r="G465" t="str">
            <v>Белое тиснение</v>
          </cell>
          <cell r="H465" t="str">
            <v>2520897922323</v>
          </cell>
          <cell r="I465" t="str">
            <v>Вакансия</v>
          </cell>
        </row>
        <row r="466">
          <cell r="A466">
            <v>3040</v>
          </cell>
          <cell r="B466" t="str">
            <v>Стол  парта письменный регулируемый Школьник Венге 850х750/558х550</v>
          </cell>
          <cell r="C466" t="str">
            <v>Кошкарева</v>
          </cell>
          <cell r="D466" t="str">
            <v>СТОЛЫ</v>
          </cell>
          <cell r="E466" t="str">
            <v>FBS</v>
          </cell>
          <cell r="F466" t="str">
            <v>Стол  парта письменный регулируемый Школьник 850х750/558х550</v>
          </cell>
          <cell r="G466" t="str">
            <v>Венге</v>
          </cell>
          <cell r="H466" t="str">
            <v>2520897922324</v>
          </cell>
          <cell r="I466" t="str">
            <v>Вакансия</v>
          </cell>
        </row>
        <row r="467">
          <cell r="A467">
            <v>3041</v>
          </cell>
          <cell r="B467" t="str">
            <v>Стол  парта письменный регулируемый Школьник Дуб сонома 850х750/558х550</v>
          </cell>
          <cell r="C467" t="str">
            <v>Вакансия</v>
          </cell>
          <cell r="D467" t="str">
            <v>СТОЛЫ</v>
          </cell>
          <cell r="E467" t="str">
            <v>FBS</v>
          </cell>
          <cell r="G467" t="str">
            <v>Дуб сонома</v>
          </cell>
          <cell r="H467" t="str">
            <v>2520897922325</v>
          </cell>
          <cell r="I467" t="str">
            <v>Вакансия</v>
          </cell>
        </row>
        <row r="468">
          <cell r="A468">
            <v>33562</v>
          </cell>
          <cell r="B468" t="str">
            <v>Стол журнальный "Элегант Плюс" комплект, черная основа, Мрамор</v>
          </cell>
          <cell r="C468" t="str">
            <v>Леонтьева</v>
          </cell>
          <cell r="D468" t="str">
            <v>СТОЛИКИ ЖУРНАЛЬНЫЕ</v>
          </cell>
          <cell r="E468" t="str">
            <v>FBS</v>
          </cell>
          <cell r="F468" t="str">
            <v>Стол журнальный "Элегант Плюс" комплект</v>
          </cell>
          <cell r="G468" t="str">
            <v>Черный</v>
          </cell>
          <cell r="H468">
            <v>0</v>
          </cell>
          <cell r="I468" t="str">
            <v>Вакансия</v>
          </cell>
        </row>
        <row r="469">
          <cell r="A469">
            <v>3643</v>
          </cell>
          <cell r="B469" t="str">
            <v>Стол рабочий угловой Мальта Plus с полками Дуб сонома 730*754(h)*730</v>
          </cell>
          <cell r="C469" t="str">
            <v>Ратникова</v>
          </cell>
          <cell r="D469" t="str">
            <v>СТОЛЫ</v>
          </cell>
          <cell r="E469" t="str">
            <v>FBO</v>
          </cell>
          <cell r="F469" t="str">
            <v>Стол рабочий угловой Мальта Plus с полками 730*754(h)*730</v>
          </cell>
          <cell r="G469" t="str">
            <v>Дуб сонома</v>
          </cell>
          <cell r="H469" t="str">
            <v>2521897953076</v>
          </cell>
          <cell r="I469" t="str">
            <v>Вакансия</v>
          </cell>
        </row>
        <row r="470">
          <cell r="A470">
            <v>3364</v>
          </cell>
          <cell r="B470" t="str">
            <v>Стеллаж тумба под ТВ Zett Белое тиснение 1100х1112(h)х280</v>
          </cell>
          <cell r="C470" t="str">
            <v>Мисесина</v>
          </cell>
          <cell r="D470" t="str">
            <v>ТУМБЫ под ТВ</v>
          </cell>
          <cell r="E470" t="str">
            <v>FBS</v>
          </cell>
          <cell r="F470" t="str">
            <v>Стеллаж тумба под ТВ Zett 1100х1112(h)х280</v>
          </cell>
          <cell r="G470" t="str">
            <v>Белое тиснение</v>
          </cell>
          <cell r="H470" t="str">
            <v>2521897952515</v>
          </cell>
          <cell r="I470" t="str">
            <v>Вакансия</v>
          </cell>
        </row>
        <row r="471">
          <cell r="A471" t="str">
            <v>MK1340101</v>
          </cell>
          <cell r="B471" t="str">
            <v>Стол рабочий Tokyo ЛДСП Дуб Вотан, Черн. металл. 900х750(h)х450</v>
          </cell>
          <cell r="C471" t="str">
            <v>Вакансия</v>
          </cell>
          <cell r="D471" t="str">
            <v>СТОЛЫ</v>
          </cell>
          <cell r="E471" t="str">
            <v>FBS</v>
          </cell>
          <cell r="G471" t="str">
            <v>ЛДСП Дуб Вотан, Черн. металл.</v>
          </cell>
          <cell r="H471" t="str">
            <v>2521897952666</v>
          </cell>
          <cell r="I471" t="str">
            <v>Вакансия</v>
          </cell>
        </row>
        <row r="472">
          <cell r="A472">
            <v>13553101</v>
          </cell>
          <cell r="B472" t="str">
            <v>Комод Ультра 4 ящика с делителем Белая гладкая (0,75х0,734х0,334)</v>
          </cell>
          <cell r="C472" t="str">
            <v>Платонова</v>
          </cell>
          <cell r="D472" t="str">
            <v>КОМОДЫ</v>
          </cell>
          <cell r="E472" t="str">
            <v>FBO</v>
          </cell>
          <cell r="F472" t="str">
            <v>Комод Ультра 4 ящика с делителем</v>
          </cell>
          <cell r="G472" t="str">
            <v>Белая гладкая</v>
          </cell>
          <cell r="H472" t="str">
            <v>2521897953218</v>
          </cell>
          <cell r="I472" t="str">
            <v>Вакансия</v>
          </cell>
        </row>
        <row r="473">
          <cell r="A473">
            <v>3056</v>
          </cell>
          <cell r="B473" t="str">
            <v>Стол дошкольника для творчества Черный 680х750х400</v>
          </cell>
          <cell r="C473" t="str">
            <v>Кошкарева</v>
          </cell>
          <cell r="D473" t="str">
            <v>СТОЛЫ</v>
          </cell>
          <cell r="E473" t="str">
            <v>FBO</v>
          </cell>
          <cell r="F473" t="str">
            <v>Стол дошкольника для творчества  678х750х400</v>
          </cell>
          <cell r="G473" t="str">
            <v>Черный</v>
          </cell>
          <cell r="H473" t="str">
            <v>2520897922319</v>
          </cell>
          <cell r="I473" t="str">
            <v>Вакансия</v>
          </cell>
        </row>
        <row r="474">
          <cell r="A474">
            <v>3067</v>
          </cell>
          <cell r="B474" t="str">
            <v>Стол компьютерный Malta Plus с ящиком Белое тиснение 1100х750х870</v>
          </cell>
          <cell r="C474" t="str">
            <v>Вакансия</v>
          </cell>
          <cell r="D474" t="str">
            <v>СТОЛЫ</v>
          </cell>
          <cell r="E474" t="str">
            <v xml:space="preserve">СКГТ </v>
          </cell>
          <cell r="G474" t="str">
            <v>Белое тиснение</v>
          </cell>
          <cell r="H474" t="str">
            <v>2520897927256</v>
          </cell>
          <cell r="I474" t="str">
            <v>Вакансия</v>
          </cell>
        </row>
        <row r="475">
          <cell r="A475">
            <v>2633</v>
          </cell>
          <cell r="B475" t="str">
            <v>Стол компьютерный Лайт выкатной Дуб сонома/Белое гладкое 800х720х500</v>
          </cell>
          <cell r="C475" t="str">
            <v>Вакансия</v>
          </cell>
          <cell r="D475" t="str">
            <v>СТОЛЫ</v>
          </cell>
          <cell r="E475" t="str">
            <v>FBS</v>
          </cell>
          <cell r="G475" t="str">
            <v>дуб сонома/белая гладкая</v>
          </cell>
          <cell r="H475" t="str">
            <v>2520000000992</v>
          </cell>
          <cell r="I475" t="str">
            <v>Вакансия</v>
          </cell>
        </row>
        <row r="476">
          <cell r="A476">
            <v>2675</v>
          </cell>
          <cell r="B476" t="str">
            <v>Стол компьютерный Лайт выкатной Орех лион/Пельтро 800х720х500</v>
          </cell>
          <cell r="C476" t="str">
            <v>Вакансия</v>
          </cell>
          <cell r="D476" t="str">
            <v>СТОЛЫ</v>
          </cell>
          <cell r="E476" t="str">
            <v>FBS</v>
          </cell>
          <cell r="G476" t="str">
            <v>комбин</v>
          </cell>
          <cell r="H476" t="str">
            <v>2520000001005</v>
          </cell>
          <cell r="I476" t="str">
            <v>Вакансия</v>
          </cell>
        </row>
        <row r="477">
          <cell r="A477">
            <v>2631</v>
          </cell>
          <cell r="B477" t="str">
            <v>Стол компьютерный Лайт Дуб сонома/Белое гладкое</v>
          </cell>
          <cell r="C477" t="str">
            <v>Вакансия</v>
          </cell>
          <cell r="D477" t="str">
            <v>СТОЛЫ</v>
          </cell>
          <cell r="E477" t="str">
            <v>FBS</v>
          </cell>
          <cell r="F477" t="str">
            <v xml:space="preserve">Стол компьютерный Лайт </v>
          </cell>
          <cell r="G477" t="str">
            <v>дуб сонома/белая гладкая</v>
          </cell>
          <cell r="H477" t="str">
            <v>2520000001012</v>
          </cell>
          <cell r="I477" t="str">
            <v>Вакансия</v>
          </cell>
        </row>
        <row r="478">
          <cell r="A478">
            <v>2629</v>
          </cell>
          <cell r="B478" t="str">
            <v>Стол компьютерный Мальта 3 ящ. Дуб сонома/Белое гладкое 900х730х500</v>
          </cell>
          <cell r="C478" t="str">
            <v>Вакансия</v>
          </cell>
          <cell r="D478" t="str">
            <v>СТОЛЫ</v>
          </cell>
          <cell r="E478" t="str">
            <v>СКГТ (ОЗОН)</v>
          </cell>
          <cell r="G478" t="str">
            <v>дуб сонома/белая гладкая</v>
          </cell>
          <cell r="H478" t="str">
            <v>2520000001029</v>
          </cell>
          <cell r="I478" t="str">
            <v>Вакансия</v>
          </cell>
        </row>
        <row r="479">
          <cell r="A479">
            <v>14023</v>
          </cell>
          <cell r="B479" t="str">
            <v>Стол - стеллаж Malta Plus Дуб сонома/Белое тиснение</v>
          </cell>
          <cell r="C479" t="str">
            <v>Ратникова</v>
          </cell>
          <cell r="D479" t="str">
            <v>СТОЛЫ</v>
          </cell>
          <cell r="E479" t="str">
            <v>СКГТ (ОЗОН)</v>
          </cell>
          <cell r="F479" t="str">
            <v xml:space="preserve">Cтол - стеллаж Malta Plus </v>
          </cell>
          <cell r="G479" t="str">
            <v>дуб сонома/белое тиснение</v>
          </cell>
          <cell r="H479" t="str">
            <v>2521897952748</v>
          </cell>
          <cell r="I479" t="str">
            <v>Вакансия</v>
          </cell>
        </row>
        <row r="480">
          <cell r="A480">
            <v>2630</v>
          </cell>
          <cell r="B480" t="str">
            <v>Стол компьютерный Мальта 3ящ. с полками Дуб сонома/Белое гладкое 1100х730х500</v>
          </cell>
          <cell r="C480" t="str">
            <v>Вакансия</v>
          </cell>
          <cell r="D480" t="str">
            <v>СТОЛЫ</v>
          </cell>
          <cell r="E480" t="str">
            <v xml:space="preserve">СКГТ </v>
          </cell>
          <cell r="G480" t="str">
            <v>дуб сонома/белая гладкая</v>
          </cell>
          <cell r="H480" t="str">
            <v>2520000001043</v>
          </cell>
          <cell r="I480" t="str">
            <v>Вакансия</v>
          </cell>
        </row>
        <row r="481">
          <cell r="A481">
            <v>3545</v>
          </cell>
          <cell r="B481" t="str">
            <v>Стол рабочий письменный Zett Белое тиснение</v>
          </cell>
          <cell r="C481" t="str">
            <v>Вакансия</v>
          </cell>
          <cell r="D481" t="str">
            <v>СТОЛЫ</v>
          </cell>
          <cell r="E481" t="str">
            <v xml:space="preserve">СКГТ </v>
          </cell>
          <cell r="G481" t="str">
            <v>Белое тиснение</v>
          </cell>
          <cell r="H481" t="str">
            <v>2521897952898</v>
          </cell>
          <cell r="I481" t="str">
            <v>Вакансия</v>
          </cell>
        </row>
        <row r="482">
          <cell r="A482">
            <v>3091</v>
          </cell>
          <cell r="B482" t="str">
            <v>Стол парта письм регулир Школьник с Наклоном и ящиком Белое тиснение 850х750/558х565</v>
          </cell>
          <cell r="C482" t="str">
            <v>Вакансия</v>
          </cell>
          <cell r="D482" t="str">
            <v>СТОЛЫ</v>
          </cell>
          <cell r="E482" t="str">
            <v>FBS</v>
          </cell>
          <cell r="G482" t="str">
            <v>Белое тиснение</v>
          </cell>
          <cell r="H482" t="str">
            <v>2520897927257</v>
          </cell>
          <cell r="I482" t="str">
            <v>Вакансия</v>
          </cell>
        </row>
        <row r="483">
          <cell r="A483">
            <v>3048</v>
          </cell>
          <cell r="B483" t="str">
            <v>Стол парта письменн. регулируемый Школьник с наклоном+пенал-контейнер Белое тисн.</v>
          </cell>
          <cell r="C483" t="str">
            <v>Вакансия</v>
          </cell>
          <cell r="D483" t="str">
            <v>СТОЛЫ</v>
          </cell>
          <cell r="E483" t="str">
            <v>FBS</v>
          </cell>
          <cell r="G483">
            <v>0</v>
          </cell>
          <cell r="H483" t="str">
            <v>2520897927266</v>
          </cell>
          <cell r="I483" t="str">
            <v>Вакансия</v>
          </cell>
        </row>
        <row r="484">
          <cell r="A484">
            <v>2632</v>
          </cell>
          <cell r="B484" t="str">
            <v>Стол письменный Мальта с полками Дуб сонома/Белое гладкое</v>
          </cell>
          <cell r="C484" t="str">
            <v>Вакансия</v>
          </cell>
          <cell r="D484" t="str">
            <v>СТОЛЫ</v>
          </cell>
          <cell r="E484" t="str">
            <v>FBS</v>
          </cell>
          <cell r="G484" t="str">
            <v>дуб сонома/белая гладкая</v>
          </cell>
          <cell r="H484" t="str">
            <v>2520000001104</v>
          </cell>
          <cell r="I484" t="str">
            <v>Вакансия</v>
          </cell>
        </row>
        <row r="485">
          <cell r="A485" t="str">
            <v>MK1620701</v>
          </cell>
          <cell r="B485" t="str">
            <v>Стол компьютерный Gamer ЛДСП Антрацит, Черн. металл. 1100х730(h)х700</v>
          </cell>
          <cell r="C485" t="str">
            <v>Ратникова</v>
          </cell>
          <cell r="D485" t="str">
            <v>СТОЛЫ</v>
          </cell>
          <cell r="E485" t="str">
            <v>FBS</v>
          </cell>
          <cell r="F485" t="str">
            <v>Стол компьютерный Gamer 1100х730(h)х700</v>
          </cell>
          <cell r="G485">
            <v>0</v>
          </cell>
          <cell r="H485" t="str">
            <v>2521897952842</v>
          </cell>
          <cell r="I485" t="str">
            <v>Вакансия</v>
          </cell>
        </row>
        <row r="486">
          <cell r="A486">
            <v>2658</v>
          </cell>
          <cell r="B486" t="str">
            <v>Стол письменный Мальта универсальный Венге 1150х750х500/870</v>
          </cell>
          <cell r="C486" t="str">
            <v>Вакансия</v>
          </cell>
          <cell r="D486" t="str">
            <v>СТОЛЫ</v>
          </cell>
          <cell r="E486" t="str">
            <v>СКГТ</v>
          </cell>
          <cell r="G486" t="str">
            <v>Венге</v>
          </cell>
          <cell r="H486" t="str">
            <v>2520000001128</v>
          </cell>
          <cell r="I486" t="str">
            <v>Вакансия</v>
          </cell>
        </row>
        <row r="487">
          <cell r="A487">
            <v>2659</v>
          </cell>
          <cell r="B487" t="str">
            <v>Стол письменный Мальта универсальный Дуб сонома 1150х750х500/870</v>
          </cell>
          <cell r="C487" t="str">
            <v>Вакансия</v>
          </cell>
          <cell r="D487" t="str">
            <v>СТОЛЫ</v>
          </cell>
          <cell r="E487" t="str">
            <v>СКГТ</v>
          </cell>
          <cell r="G487" t="str">
            <v>Дуб сонома</v>
          </cell>
          <cell r="H487" t="str">
            <v>2520000001135</v>
          </cell>
          <cell r="I487" t="str">
            <v>Вакансия</v>
          </cell>
        </row>
        <row r="488">
          <cell r="A488">
            <v>2672</v>
          </cell>
          <cell r="B488" t="str">
            <v>Стол письменный Мальта универсальный с ящиком Белое тиснение 1150х750х500/870</v>
          </cell>
          <cell r="C488" t="str">
            <v>Вакансия</v>
          </cell>
          <cell r="D488" t="str">
            <v>СТОЛЫ</v>
          </cell>
          <cell r="E488" t="str">
            <v xml:space="preserve">СКГТ </v>
          </cell>
          <cell r="G488" t="str">
            <v>Белое тиснение</v>
          </cell>
          <cell r="H488" t="str">
            <v>2520000002015</v>
          </cell>
          <cell r="I488" t="str">
            <v>Вакансия</v>
          </cell>
        </row>
        <row r="489">
          <cell r="A489">
            <v>2673</v>
          </cell>
          <cell r="B489" t="str">
            <v>Стол письменный Мальта универсальный с ящиком Венге 1150х750х500/870</v>
          </cell>
          <cell r="C489" t="str">
            <v>Вакансия</v>
          </cell>
          <cell r="D489" t="str">
            <v>СТОЛЫ</v>
          </cell>
          <cell r="E489" t="str">
            <v xml:space="preserve">СКГТ </v>
          </cell>
          <cell r="G489" t="str">
            <v>Венге</v>
          </cell>
          <cell r="H489" t="str">
            <v>2520000002022</v>
          </cell>
          <cell r="I489" t="str">
            <v>Вакансия</v>
          </cell>
        </row>
        <row r="490">
          <cell r="A490">
            <v>3027</v>
          </cell>
          <cell r="B490" t="str">
            <v>Стол письменный рабочий City Белое тиснение 1060х50х500</v>
          </cell>
          <cell r="C490" t="str">
            <v>Кошкарева</v>
          </cell>
          <cell r="D490" t="str">
            <v>СТОЛЫ</v>
          </cell>
          <cell r="E490" t="str">
            <v>СКГТ</v>
          </cell>
          <cell r="F490" t="str">
            <v>Стол письменный рабочий City  1060х50х500</v>
          </cell>
          <cell r="G490" t="str">
            <v>Белое тиснение</v>
          </cell>
          <cell r="H490" t="str">
            <v>2520897922341</v>
          </cell>
          <cell r="I490" t="str">
            <v>Вакансия</v>
          </cell>
        </row>
        <row r="491">
          <cell r="A491">
            <v>3605</v>
          </cell>
          <cell r="B491" t="str">
            <v>Стол рабочий угловой Мальта Plus с полками Белое тиснение 730*754(h)*730</v>
          </cell>
          <cell r="C491" t="str">
            <v>Ратникова</v>
          </cell>
          <cell r="D491" t="str">
            <v>СТОЛЫ</v>
          </cell>
          <cell r="E491" t="str">
            <v>FBO</v>
          </cell>
          <cell r="F491" t="str">
            <v>Стол рабочий угловой Мальта Plus с полками 730*754(h)*730</v>
          </cell>
          <cell r="G491" t="str">
            <v>Белое тиснение</v>
          </cell>
          <cell r="H491" t="str">
            <v>2521897953026</v>
          </cell>
          <cell r="I491" t="str">
            <v>Вакансия</v>
          </cell>
        </row>
        <row r="492">
          <cell r="A492">
            <v>3029</v>
          </cell>
          <cell r="B492" t="str">
            <v>Стол письменный рабочий City Дуб сонома 1060х50х500</v>
          </cell>
          <cell r="C492" t="str">
            <v>Кошкарева</v>
          </cell>
          <cell r="D492" t="str">
            <v>СТОЛЫ</v>
          </cell>
          <cell r="E492" t="str">
            <v>СКГТ</v>
          </cell>
          <cell r="F492" t="str">
            <v>Стол письменный рабочий City  1060х50х500</v>
          </cell>
          <cell r="G492" t="str">
            <v>Дуб сонома</v>
          </cell>
          <cell r="H492" t="str">
            <v>2520000004415</v>
          </cell>
          <cell r="I492" t="str">
            <v>Вакансия</v>
          </cell>
        </row>
        <row r="493">
          <cell r="A493">
            <v>2569</v>
          </cell>
          <cell r="B493" t="str">
            <v>Стол письменный Ультра Белое тиснение 750х750х540</v>
          </cell>
          <cell r="C493" t="str">
            <v>Вакансия</v>
          </cell>
          <cell r="D493" t="str">
            <v>СТОЛЫ</v>
          </cell>
          <cell r="E493" t="str">
            <v>FBO</v>
          </cell>
          <cell r="G493" t="str">
            <v>Белое тиснение</v>
          </cell>
          <cell r="H493" t="str">
            <v>2520000001173</v>
          </cell>
          <cell r="I493" t="str">
            <v>Вакансия</v>
          </cell>
        </row>
        <row r="494">
          <cell r="A494">
            <v>2543</v>
          </cell>
          <cell r="B494" t="str">
            <v>Стол письменный Ультра Венге 750х750х540</v>
          </cell>
          <cell r="C494" t="str">
            <v>Вакансия</v>
          </cell>
          <cell r="D494" t="str">
            <v>СТОЛЫ</v>
          </cell>
          <cell r="E494" t="str">
            <v>FBO</v>
          </cell>
          <cell r="G494" t="str">
            <v>Венге</v>
          </cell>
          <cell r="H494" t="str">
            <v>2520000001180</v>
          </cell>
          <cell r="I494" t="str">
            <v>Вакансия</v>
          </cell>
        </row>
        <row r="495">
          <cell r="A495">
            <v>2556</v>
          </cell>
          <cell r="B495" t="str">
            <v>Стол письменный Ультра Дуб сонома 750х750х540</v>
          </cell>
          <cell r="C495" t="str">
            <v>Вакансия</v>
          </cell>
          <cell r="D495" t="str">
            <v>СТОЛЫ</v>
          </cell>
          <cell r="E495" t="str">
            <v>FBO</v>
          </cell>
          <cell r="G495" t="str">
            <v>Дуб сонома</v>
          </cell>
          <cell r="H495" t="str">
            <v>2520000001197</v>
          </cell>
          <cell r="I495" t="str">
            <v>Вакансия</v>
          </cell>
        </row>
        <row r="496">
          <cell r="A496">
            <v>2572</v>
          </cell>
          <cell r="B496" t="str">
            <v>Стол письменный Ультра с ящиком Белое тиснение 900х750х500</v>
          </cell>
          <cell r="C496" t="str">
            <v>Вакансия</v>
          </cell>
          <cell r="D496" t="str">
            <v>СТОЛЫ</v>
          </cell>
          <cell r="E496" t="str">
            <v>FBS</v>
          </cell>
          <cell r="G496" t="str">
            <v>Белое тиснение</v>
          </cell>
          <cell r="H496" t="str">
            <v>2520000001203</v>
          </cell>
          <cell r="I496" t="str">
            <v>Вакансия</v>
          </cell>
        </row>
        <row r="497">
          <cell r="A497">
            <v>2573</v>
          </cell>
          <cell r="B497" t="str">
            <v>Стол письменный Ультра с ящиком Венге 900х750х500</v>
          </cell>
          <cell r="C497" t="str">
            <v>Вакансия</v>
          </cell>
          <cell r="D497" t="str">
            <v>СТОЛЫ</v>
          </cell>
          <cell r="E497" t="str">
            <v>FBS</v>
          </cell>
          <cell r="G497" t="str">
            <v>Венге</v>
          </cell>
          <cell r="H497" t="str">
            <v>2520000001210</v>
          </cell>
          <cell r="I497" t="str">
            <v>Вакансия</v>
          </cell>
        </row>
        <row r="498">
          <cell r="A498">
            <v>2574</v>
          </cell>
          <cell r="B498" t="str">
            <v>Стол письменный Ультра с ящиком Дуб сонома 900х750х500</v>
          </cell>
          <cell r="C498" t="str">
            <v>Вакансия</v>
          </cell>
          <cell r="D498" t="str">
            <v>СТОЛЫ</v>
          </cell>
          <cell r="E498" t="str">
            <v>FBS</v>
          </cell>
          <cell r="G498" t="str">
            <v>Дуб сонома</v>
          </cell>
          <cell r="H498" t="str">
            <v>2520000001227</v>
          </cell>
          <cell r="I498" t="str">
            <v>Вакансия</v>
          </cell>
        </row>
        <row r="499">
          <cell r="A499">
            <v>3033</v>
          </cell>
          <cell r="B499" t="str">
            <v>Стол рабочий для Ноутбука 3в1 Венге 530х220х350</v>
          </cell>
          <cell r="C499" t="str">
            <v>Вакансия</v>
          </cell>
          <cell r="D499" t="str">
            <v>СТОЛЫ</v>
          </cell>
          <cell r="E499" t="str">
            <v>FBO</v>
          </cell>
          <cell r="G499" t="str">
            <v>Венге</v>
          </cell>
          <cell r="H499" t="str">
            <v>2520000003515</v>
          </cell>
          <cell r="I499" t="str">
            <v>Вакансия</v>
          </cell>
        </row>
        <row r="500">
          <cell r="A500">
            <v>7774</v>
          </cell>
          <cell r="B500" t="str">
            <v>Стол компьютерный рабочий Orion Белое тиснение/красная кромка 110х75х60</v>
          </cell>
          <cell r="C500" t="str">
            <v>Перепечаева</v>
          </cell>
          <cell r="D500" t="str">
            <v>СТОЛЫ</v>
          </cell>
          <cell r="E500" t="str">
            <v>FBS</v>
          </cell>
          <cell r="F500" t="str">
            <v>Стол компьютерный рабочий Orion  110х75х60</v>
          </cell>
          <cell r="G500" t="str">
            <v>Белое тиснение</v>
          </cell>
          <cell r="H500" t="str">
            <v>2521897953181</v>
          </cell>
          <cell r="I500" t="str">
            <v>Вакансия</v>
          </cell>
        </row>
        <row r="501">
          <cell r="A501">
            <v>2950</v>
          </cell>
          <cell r="B501" t="str">
            <v>Стол рабочий Лайт Дуб сонома 900х750х400</v>
          </cell>
          <cell r="C501" t="str">
            <v>Вакансия</v>
          </cell>
          <cell r="D501" t="str">
            <v>СТОЛЫ</v>
          </cell>
          <cell r="E501" t="str">
            <v>FBS</v>
          </cell>
          <cell r="G501" t="str">
            <v>Дуб сонома</v>
          </cell>
          <cell r="H501" t="str">
            <v>2520000001265</v>
          </cell>
          <cell r="I501" t="str">
            <v>Вакансия</v>
          </cell>
        </row>
        <row r="502">
          <cell r="A502">
            <v>2962</v>
          </cell>
          <cell r="B502" t="str">
            <v>Стол рабочий Лайт Плюс Венге 1030х750х400</v>
          </cell>
          <cell r="C502" t="str">
            <v>Вакансия</v>
          </cell>
          <cell r="D502" t="str">
            <v>СТОЛЫ</v>
          </cell>
          <cell r="E502" t="str">
            <v>FBS</v>
          </cell>
          <cell r="G502" t="str">
            <v>Венге</v>
          </cell>
          <cell r="H502" t="str">
            <v>2520000001289</v>
          </cell>
          <cell r="I502" t="str">
            <v>Вакансия</v>
          </cell>
        </row>
        <row r="503">
          <cell r="A503">
            <v>2963</v>
          </cell>
          <cell r="B503" t="str">
            <v>Стол рабочий Лайт Плюс Дуб сонома 1030х750х400</v>
          </cell>
          <cell r="C503" t="str">
            <v>Вакансия</v>
          </cell>
          <cell r="D503" t="str">
            <v>СТОЛЫ</v>
          </cell>
          <cell r="E503" t="str">
            <v>FBS</v>
          </cell>
          <cell r="F503" t="str">
            <v xml:space="preserve">Стол рабочий Лайт Плюс </v>
          </cell>
          <cell r="G503" t="str">
            <v>Дуб сонома</v>
          </cell>
          <cell r="H503" t="str">
            <v>2520000001296</v>
          </cell>
          <cell r="I503" t="str">
            <v>Вакансия</v>
          </cell>
        </row>
        <row r="504">
          <cell r="A504">
            <v>3116</v>
          </cell>
          <cell r="B504" t="str">
            <v>Стол рабочий Lite с полкой Белое тиснение</v>
          </cell>
          <cell r="C504" t="str">
            <v>Вакансия</v>
          </cell>
          <cell r="D504" t="str">
            <v>СТОЛЫ</v>
          </cell>
          <cell r="E504" t="str">
            <v>FBS</v>
          </cell>
          <cell r="F504" t="str">
            <v xml:space="preserve">Стол рабочий Lite с полкой </v>
          </cell>
          <cell r="G504" t="str">
            <v>Белое тиснение</v>
          </cell>
          <cell r="H504">
            <v>0</v>
          </cell>
          <cell r="I504" t="str">
            <v>Вакансия</v>
          </cell>
        </row>
        <row r="505">
          <cell r="A505">
            <v>2937</v>
          </cell>
          <cell r="B505" t="str">
            <v>Стол рабочий Мальта с надстройкой Венге/Орех лион 1100х910х400</v>
          </cell>
          <cell r="C505" t="str">
            <v>Ратникова</v>
          </cell>
          <cell r="D505" t="str">
            <v>СТОЛЫ</v>
          </cell>
          <cell r="E505" t="str">
            <v>FBS</v>
          </cell>
          <cell r="F505" t="str">
            <v>Стол рабочий Мальта с надстройкой  1100х910х400</v>
          </cell>
          <cell r="G505" t="str">
            <v>Венге</v>
          </cell>
          <cell r="H505" t="str">
            <v>2520000001302</v>
          </cell>
          <cell r="I505" t="str">
            <v>Вакансия</v>
          </cell>
        </row>
        <row r="506">
          <cell r="A506">
            <v>2936</v>
          </cell>
          <cell r="B506" t="str">
            <v>Стол рабочий Мальта с надстройкой Дуб сонома/Белое гладкое 1100х910х400</v>
          </cell>
          <cell r="C506" t="str">
            <v>Ратникова</v>
          </cell>
          <cell r="D506" t="str">
            <v>СТОЛЫ</v>
          </cell>
          <cell r="E506" t="str">
            <v>FBS</v>
          </cell>
          <cell r="F506" t="str">
            <v>Стол рабочий Мальта с надстройкой  1100х910х400</v>
          </cell>
          <cell r="G506" t="str">
            <v>дуб сонома/белая гладкая</v>
          </cell>
          <cell r="H506" t="str">
            <v>2520000001319</v>
          </cell>
          <cell r="I506" t="str">
            <v>Вакансия</v>
          </cell>
        </row>
        <row r="507">
          <cell r="A507">
            <v>2923</v>
          </cell>
          <cell r="B507" t="str">
            <v>Стол рабочий Ультра Венге 1100х1300х500</v>
          </cell>
          <cell r="C507" t="str">
            <v>Кошкарева</v>
          </cell>
          <cell r="D507" t="str">
            <v>СТОЛЫ</v>
          </cell>
          <cell r="E507" t="str">
            <v>СКГТ</v>
          </cell>
          <cell r="F507" t="str">
            <v>Стол рабочий Ультра 1100х1300х500</v>
          </cell>
          <cell r="G507" t="str">
            <v>Венге</v>
          </cell>
          <cell r="H507" t="str">
            <v>2520000002077</v>
          </cell>
          <cell r="I507" t="str">
            <v>Вакансия</v>
          </cell>
        </row>
        <row r="508">
          <cell r="A508">
            <v>13204</v>
          </cell>
          <cell r="B508" t="str">
            <v>Комод тумба офисная Praga 6 Бетон</v>
          </cell>
          <cell r="C508" t="str">
            <v>Ратникова</v>
          </cell>
          <cell r="D508" t="str">
            <v>КОМОДЫ</v>
          </cell>
          <cell r="E508" t="str">
            <v>FBS</v>
          </cell>
          <cell r="F508" t="str">
            <v xml:space="preserve">Комод тумба офисная Praga 6 </v>
          </cell>
          <cell r="G508" t="str">
            <v>Бетон</v>
          </cell>
          <cell r="H508" t="str">
            <v>2521897953090</v>
          </cell>
          <cell r="I508" t="str">
            <v>Вакансия</v>
          </cell>
        </row>
        <row r="509">
          <cell r="A509">
            <v>3061</v>
          </cell>
          <cell r="B509" t="str">
            <v>Стеллаж Quattro 4 секции Белое тиснение 362х1396х280</v>
          </cell>
          <cell r="C509" t="str">
            <v>Зимакова</v>
          </cell>
          <cell r="D509" t="str">
            <v>СТЕЛЛАЖИ</v>
          </cell>
          <cell r="E509" t="str">
            <v>FBO</v>
          </cell>
          <cell r="F509" t="str">
            <v>Стеллаж Quattro 4 секции  362х1396х280</v>
          </cell>
          <cell r="G509" t="str">
            <v>Белое тиснение</v>
          </cell>
          <cell r="H509" t="str">
            <v>2520897927259</v>
          </cell>
          <cell r="I509" t="str">
            <v>Вакансия</v>
          </cell>
        </row>
        <row r="510">
          <cell r="A510">
            <v>3003</v>
          </cell>
          <cell r="B510" t="str">
            <v xml:space="preserve">Стол-стеллаж Ultra Белое тиснение 1088х1418х400 </v>
          </cell>
          <cell r="C510" t="str">
            <v>Кошкарева</v>
          </cell>
          <cell r="D510" t="str">
            <v>СТОЛЫ</v>
          </cell>
          <cell r="E510" t="str">
            <v>FBO</v>
          </cell>
          <cell r="F510" t="str">
            <v xml:space="preserve">Стол-стеллаж Ultra 1088х1418х400 </v>
          </cell>
          <cell r="G510" t="str">
            <v>Белое тиснение</v>
          </cell>
          <cell r="H510" t="str">
            <v>2520897922344</v>
          </cell>
          <cell r="I510" t="str">
            <v>Вакансия</v>
          </cell>
        </row>
        <row r="511">
          <cell r="A511" t="str">
            <v>MK1040101</v>
          </cell>
          <cell r="B511" t="str">
            <v>Столик журнальный, прикроватный Frame ЛДСП Дуб Вотан, Черн. металл. 450х424(h)х450</v>
          </cell>
          <cell r="C511" t="str">
            <v>Леонтьева</v>
          </cell>
          <cell r="D511" t="str">
            <v>СТОЛИКИ ЖУРНАЛЬНЫЕ</v>
          </cell>
          <cell r="E511" t="str">
            <v>FBO</v>
          </cell>
          <cell r="F511" t="str">
            <v>Столик журнальный, прикроватный Frame 450х424(h)х450</v>
          </cell>
          <cell r="G511" t="str">
            <v>ЛДСП Дуб Вотан, Черн. металл.</v>
          </cell>
          <cell r="H511" t="str">
            <v>2521897952637</v>
          </cell>
          <cell r="I511" t="str">
            <v>Вакансия</v>
          </cell>
        </row>
        <row r="512">
          <cell r="A512">
            <v>3005</v>
          </cell>
          <cell r="B512" t="str">
            <v xml:space="preserve">Стол-стеллаж Ultra Дуб сонома 1088х1418х400 </v>
          </cell>
          <cell r="C512" t="str">
            <v>Кошкарева</v>
          </cell>
          <cell r="D512" t="str">
            <v>СТОЛЫ</v>
          </cell>
          <cell r="E512" t="str">
            <v>FBO</v>
          </cell>
          <cell r="F512" t="str">
            <v xml:space="preserve">Стол-стеллаж Ultra 1088х1418х400 </v>
          </cell>
          <cell r="G512" t="str">
            <v>Дуб сонома</v>
          </cell>
          <cell r="H512" t="str">
            <v>2520000002046</v>
          </cell>
          <cell r="I512" t="str">
            <v>Вакансия</v>
          </cell>
        </row>
        <row r="513">
          <cell r="A513">
            <v>2691</v>
          </cell>
          <cell r="B513" t="str">
            <v>Стол-шкаф Мальта универсальный Дуб сонома/Белое гладкое 1341х1380х540</v>
          </cell>
          <cell r="C513" t="str">
            <v>Кошкарева</v>
          </cell>
          <cell r="D513" t="str">
            <v>СТОЛЫ</v>
          </cell>
          <cell r="E513" t="str">
            <v>СКГТ (ОЗОН)</v>
          </cell>
          <cell r="F513" t="str">
            <v>Стол-шкаф Мальта универсальный  1341х1380х540</v>
          </cell>
          <cell r="G513" t="str">
            <v>дуб сонома/белая гладкая</v>
          </cell>
          <cell r="H513" t="str">
            <v>2520897922363</v>
          </cell>
          <cell r="I513" t="str">
            <v>Вакансия</v>
          </cell>
        </row>
        <row r="514">
          <cell r="A514">
            <v>2692</v>
          </cell>
          <cell r="B514" t="str">
            <v>Стол-шкаф Мальта универсальный Орех лион/Пельтро  1341х1380х540</v>
          </cell>
          <cell r="C514" t="str">
            <v>Кошкарева</v>
          </cell>
          <cell r="D514" t="str">
            <v>СТОЛЫ</v>
          </cell>
          <cell r="E514" t="str">
            <v>СКГТ (ОЗОН)</v>
          </cell>
          <cell r="F514" t="str">
            <v>Стол-шкаф Мальта универсальный 1341х1380х540</v>
          </cell>
          <cell r="G514" t="str">
            <v>дуб крафт золотой/Пельтро</v>
          </cell>
          <cell r="H514" t="str">
            <v>2520897922364</v>
          </cell>
          <cell r="I514" t="str">
            <v>Вакансия</v>
          </cell>
        </row>
        <row r="515">
          <cell r="A515">
            <v>9014</v>
          </cell>
          <cell r="B515" t="str">
            <v>Стол Ломберный 600х800(1200х800) ламинат Белый рамух ножки хром D50</v>
          </cell>
          <cell r="C515" t="str">
            <v>Вакансия</v>
          </cell>
          <cell r="D515" t="str">
            <v>СТОЛЫ ОБЕДЕННЫЕ</v>
          </cell>
          <cell r="E515" t="str">
            <v>FBS</v>
          </cell>
          <cell r="G515" t="str">
            <v>Белое тиснение</v>
          </cell>
          <cell r="H515" t="str">
            <v>2520000006132</v>
          </cell>
          <cell r="I515" t="str">
            <v>Вакансия</v>
          </cell>
        </row>
        <row r="516">
          <cell r="A516">
            <v>12351</v>
          </cell>
          <cell r="B516" t="str">
            <v>Стол Ломберный 600х800(1200х800)ламинат Дуб металлик ножки хром D50</v>
          </cell>
          <cell r="C516" t="str">
            <v>Вакансия</v>
          </cell>
          <cell r="D516" t="str">
            <v>СТОЛЫ ОБЕДЕННЫЕ</v>
          </cell>
          <cell r="E516" t="str">
            <v>FBS</v>
          </cell>
          <cell r="G516">
            <v>0</v>
          </cell>
          <cell r="H516" t="str">
            <v>2520000006133</v>
          </cell>
          <cell r="I516" t="str">
            <v>Вакансия</v>
          </cell>
        </row>
        <row r="517">
          <cell r="A517">
            <v>12350</v>
          </cell>
          <cell r="B517" t="str">
            <v>Стол Ломберный 600х800(1200х800)ламинат Дуб млечный ножки хром D50</v>
          </cell>
          <cell r="C517" t="str">
            <v>Вакансия</v>
          </cell>
          <cell r="D517" t="str">
            <v>СТОЛЫ ОБЕДЕННЫЕ</v>
          </cell>
          <cell r="E517" t="str">
            <v>FBS</v>
          </cell>
          <cell r="G517">
            <v>0</v>
          </cell>
          <cell r="H517" t="str">
            <v>2520000006131</v>
          </cell>
          <cell r="I517" t="str">
            <v>Вакансия</v>
          </cell>
        </row>
        <row r="518">
          <cell r="A518">
            <v>3065</v>
          </cell>
          <cell r="B518" t="str">
            <v>Стол компьютерный навесной с изменяемой высотой Next Венге 1032х914х470</v>
          </cell>
          <cell r="C518" t="str">
            <v>Кошкарева</v>
          </cell>
          <cell r="D518" t="str">
            <v>СТОЛЫ</v>
          </cell>
          <cell r="E518" t="str">
            <v>FBS</v>
          </cell>
          <cell r="F518" t="str">
            <v>Стол компьютерный навесной с изменяемой высотой Next</v>
          </cell>
          <cell r="G518" t="str">
            <v>Венге</v>
          </cell>
          <cell r="H518" t="str">
            <v>2521897952422</v>
          </cell>
          <cell r="I518" t="str">
            <v>Вакансия</v>
          </cell>
        </row>
        <row r="519">
          <cell r="A519">
            <v>3066</v>
          </cell>
          <cell r="B519" t="str">
            <v>Стол компьютерный навесной с изменяемой высотой Next Дуб сонома 1032х914х470</v>
          </cell>
          <cell r="C519" t="str">
            <v>Кошкарева</v>
          </cell>
          <cell r="D519" t="str">
            <v>СТОЛЫ</v>
          </cell>
          <cell r="E519" t="str">
            <v>FBS</v>
          </cell>
          <cell r="F519" t="str">
            <v>Стол компьютерный навесной с изменяемой высотой Next</v>
          </cell>
          <cell r="G519" t="str">
            <v>Дуб сонома</v>
          </cell>
          <cell r="H519" t="str">
            <v>2521897952420</v>
          </cell>
          <cell r="I519" t="str">
            <v>Вакансия</v>
          </cell>
        </row>
        <row r="520">
          <cell r="A520">
            <v>3068</v>
          </cell>
          <cell r="B520" t="str">
            <v>Стол компьютерный Malta Plus с ящиком Венге, шт</v>
          </cell>
          <cell r="C520" t="str">
            <v>Кошкарева</v>
          </cell>
          <cell r="D520" t="str">
            <v>СТОЛЫ</v>
          </cell>
          <cell r="E520" t="str">
            <v xml:space="preserve">СКГТ </v>
          </cell>
          <cell r="F520" t="str">
            <v>Стол компьютерный Malta Plus с ящиком</v>
          </cell>
          <cell r="G520" t="str">
            <v>Венге</v>
          </cell>
          <cell r="H520" t="str">
            <v>2521897952440</v>
          </cell>
          <cell r="I520" t="str">
            <v>Вакансия</v>
          </cell>
        </row>
        <row r="521">
          <cell r="A521">
            <v>3069</v>
          </cell>
          <cell r="B521" t="str">
            <v>Стол компьютерный Malta Plus с ящиком Дуб сонома/Белое тиснение, шт</v>
          </cell>
          <cell r="C521" t="str">
            <v>Кошкарева</v>
          </cell>
          <cell r="D521" t="str">
            <v>СТОЛЫ</v>
          </cell>
          <cell r="E521" t="str">
            <v xml:space="preserve">СКГТ </v>
          </cell>
          <cell r="F521" t="str">
            <v xml:space="preserve">Стол компьютерный Malta Plus с ящиком </v>
          </cell>
          <cell r="G521" t="str">
            <v>дуб сонома/белое тиснение</v>
          </cell>
          <cell r="H521" t="str">
            <v>2521897952447</v>
          </cell>
          <cell r="I521" t="str">
            <v>Вакансия</v>
          </cell>
        </row>
        <row r="522">
          <cell r="A522">
            <v>3148</v>
          </cell>
          <cell r="B522" t="str">
            <v>Стол рабочий City Plus Белое тиснен., шт</v>
          </cell>
          <cell r="C522" t="str">
            <v>Вакансия</v>
          </cell>
          <cell r="D522" t="str">
            <v>СТОЛЫ</v>
          </cell>
          <cell r="E522" t="str">
            <v>СКГТ (ОЗОН)</v>
          </cell>
          <cell r="G522" t="str">
            <v>Белое тиснение</v>
          </cell>
          <cell r="H522" t="str">
            <v>2521897952441</v>
          </cell>
          <cell r="I522" t="str">
            <v>Вакансия</v>
          </cell>
        </row>
        <row r="523">
          <cell r="A523">
            <v>3140</v>
          </cell>
          <cell r="B523" t="str">
            <v>Стол компьютерный Nike Белое тиснение 1046х862х400</v>
          </cell>
          <cell r="C523" t="str">
            <v>Кошкарева</v>
          </cell>
          <cell r="D523" t="str">
            <v>СТОЛЫ</v>
          </cell>
          <cell r="E523" t="str">
            <v>FBS</v>
          </cell>
          <cell r="G523" t="str">
            <v>Белое тиснение</v>
          </cell>
          <cell r="H523">
            <v>0</v>
          </cell>
          <cell r="I523" t="str">
            <v>Вакансия</v>
          </cell>
        </row>
        <row r="524">
          <cell r="A524">
            <v>770322</v>
          </cell>
          <cell r="B524" t="str">
            <v>Столик консольный Валенсия Дуб Белфорт СТМ011 900*750*420</v>
          </cell>
          <cell r="C524" t="str">
            <v>Вакансия</v>
          </cell>
          <cell r="D524" t="str">
            <v>СТОЛЫ</v>
          </cell>
          <cell r="E524" t="str">
            <v>FBS</v>
          </cell>
          <cell r="G524" t="str">
            <v>дуб белфорт</v>
          </cell>
          <cell r="H524" t="str">
            <v>2521897952405</v>
          </cell>
          <cell r="I524" t="str">
            <v>Вакансия</v>
          </cell>
        </row>
        <row r="525">
          <cell r="A525">
            <v>770324</v>
          </cell>
          <cell r="B525" t="str">
            <v>Столик консольный Валенсия Дуб сонома СТМ011 900*750*420</v>
          </cell>
          <cell r="C525" t="str">
            <v>Вакансия</v>
          </cell>
          <cell r="D525" t="str">
            <v>СТОЛЫ</v>
          </cell>
          <cell r="E525" t="str">
            <v>FBS</v>
          </cell>
          <cell r="G525" t="str">
            <v>Дуб сонома</v>
          </cell>
          <cell r="H525" t="str">
            <v>2521897952407</v>
          </cell>
          <cell r="I525" t="str">
            <v>Вакансия</v>
          </cell>
        </row>
        <row r="526">
          <cell r="A526">
            <v>3138</v>
          </cell>
          <cell r="B526" t="str">
            <v>Стол стеллаж Zett Венге</v>
          </cell>
          <cell r="C526" t="str">
            <v>Кошкарева</v>
          </cell>
          <cell r="D526" t="str">
            <v>СТОЛЫ</v>
          </cell>
          <cell r="E526" t="str">
            <v>FBS</v>
          </cell>
          <cell r="F526" t="str">
            <v xml:space="preserve">Стол стеллаж Zett </v>
          </cell>
          <cell r="G526" t="str">
            <v>Венге</v>
          </cell>
          <cell r="H526" t="str">
            <v>2521897952457</v>
          </cell>
          <cell r="I526" t="str">
            <v>Вакансия</v>
          </cell>
        </row>
        <row r="527">
          <cell r="A527">
            <v>3155</v>
          </cell>
          <cell r="B527" t="str">
            <v>Тумба под ТВ Zett с ящиком Белое тиснение 1042х443х283</v>
          </cell>
          <cell r="C527" t="str">
            <v>Мисесина</v>
          </cell>
          <cell r="D527" t="str">
            <v>ТУМБЫ под ТВ</v>
          </cell>
          <cell r="E527" t="str">
            <v>FBS</v>
          </cell>
          <cell r="F527" t="str">
            <v>Тумба под ТВ Zett с ящиком 1042х443х283</v>
          </cell>
          <cell r="G527" t="str">
            <v>Белое тиснение</v>
          </cell>
          <cell r="H527" t="str">
            <v>2521897952531</v>
          </cell>
          <cell r="I527" t="str">
            <v>Вакансия</v>
          </cell>
        </row>
        <row r="528">
          <cell r="A528">
            <v>2855</v>
          </cell>
          <cell r="B528" t="str">
            <v>Стол обеденный Ультра Белое тиснение 890х750х530</v>
          </cell>
          <cell r="C528" t="str">
            <v>Леонтьева</v>
          </cell>
          <cell r="D528" t="str">
            <v>СТОЛЫ ОБЕДЕННЫЕ</v>
          </cell>
          <cell r="E528" t="str">
            <v>FBS</v>
          </cell>
          <cell r="F528" t="str">
            <v>Стол обеденный Ультра 890х750х530</v>
          </cell>
          <cell r="G528" t="str">
            <v>Белое тиснение</v>
          </cell>
          <cell r="H528" t="str">
            <v>2520000000923</v>
          </cell>
          <cell r="I528" t="str">
            <v>Вакансия</v>
          </cell>
        </row>
        <row r="529">
          <cell r="A529">
            <v>9395</v>
          </cell>
          <cell r="B529" t="str">
            <v>Стол обеденный Ультра Дуб Белфорт 890х750х530</v>
          </cell>
          <cell r="C529" t="str">
            <v>Вакансия</v>
          </cell>
          <cell r="D529" t="str">
            <v>СТОЛЫ ОБЕДЕННЫЕ</v>
          </cell>
          <cell r="E529" t="str">
            <v>FBS</v>
          </cell>
          <cell r="G529" t="str">
            <v>дуб белфорт</v>
          </cell>
          <cell r="H529" t="str">
            <v>2520000002148</v>
          </cell>
          <cell r="I529" t="str">
            <v>Вакансия</v>
          </cell>
        </row>
        <row r="530">
          <cell r="A530">
            <v>3174</v>
          </cell>
          <cell r="B530" t="str">
            <v>Стол компьютерный City 4 ящ. Белое тиснение 1100х730х450</v>
          </cell>
          <cell r="C530" t="str">
            <v>Вакансия</v>
          </cell>
          <cell r="D530" t="str">
            <v>СТОЛЫ</v>
          </cell>
          <cell r="E530" t="str">
            <v>FBS</v>
          </cell>
          <cell r="G530" t="str">
            <v>Белое тиснение</v>
          </cell>
          <cell r="H530">
            <v>0</v>
          </cell>
          <cell r="I530" t="str">
            <v>Вакансия</v>
          </cell>
        </row>
        <row r="531">
          <cell r="A531">
            <v>2853</v>
          </cell>
          <cell r="B531" t="str">
            <v>Стол обеденный Ультра Лайт Белое тиснение 890х750х530</v>
          </cell>
          <cell r="C531" t="str">
            <v>Вакансия</v>
          </cell>
          <cell r="D531" t="str">
            <v>СТОЛЫ ОБЕДЕННЫЕ</v>
          </cell>
          <cell r="E531" t="str">
            <v>FBS</v>
          </cell>
          <cell r="G531" t="str">
            <v>Белое тиснение</v>
          </cell>
          <cell r="H531" t="str">
            <v>2520000000947</v>
          </cell>
          <cell r="I531" t="str">
            <v>Вакансия</v>
          </cell>
        </row>
        <row r="532">
          <cell r="A532">
            <v>3179</v>
          </cell>
          <cell r="B532" t="str">
            <v>Стол компьютерный Nike Lite Белое тиснен./Антрацит 1010х736х400</v>
          </cell>
          <cell r="C532" t="str">
            <v>Вакансия</v>
          </cell>
          <cell r="D532" t="str">
            <v>СТОЛЫ</v>
          </cell>
          <cell r="E532" t="str">
            <v xml:space="preserve">СКГТ </v>
          </cell>
          <cell r="G532">
            <v>0</v>
          </cell>
          <cell r="H532" t="str">
            <v>2521897952476</v>
          </cell>
          <cell r="I532" t="str">
            <v>Вакансия</v>
          </cell>
        </row>
        <row r="533">
          <cell r="A533">
            <v>3200</v>
          </cell>
          <cell r="B533" t="str">
            <v>Стол рабочий Zett</v>
          </cell>
          <cell r="C533" t="str">
            <v>Вакансия</v>
          </cell>
          <cell r="D533" t="str">
            <v>СТОЛЫ</v>
          </cell>
          <cell r="E533" t="str">
            <v>FBS</v>
          </cell>
          <cell r="G533">
            <v>0</v>
          </cell>
          <cell r="H533" t="str">
            <v>2521897952472</v>
          </cell>
          <cell r="I533" t="str">
            <v>Вакансия</v>
          </cell>
        </row>
        <row r="534">
          <cell r="A534">
            <v>770323</v>
          </cell>
          <cell r="B534" t="str">
            <v>Столик консольный Валенсия Венге СТМ011 900*750*420</v>
          </cell>
          <cell r="C534" t="str">
            <v>Вакансия</v>
          </cell>
          <cell r="D534" t="str">
            <v>СТОЛЫ</v>
          </cell>
          <cell r="E534" t="str">
            <v>FBS</v>
          </cell>
          <cell r="G534" t="str">
            <v>Венге</v>
          </cell>
          <cell r="H534" t="str">
            <v>2521897952406</v>
          </cell>
          <cell r="I534" t="str">
            <v>Вакансия</v>
          </cell>
        </row>
        <row r="535">
          <cell r="A535">
            <v>517101</v>
          </cell>
          <cell r="B535" t="str">
            <v>Стол обеденный Цемент светлый</v>
          </cell>
          <cell r="C535" t="str">
            <v>Вакансия</v>
          </cell>
          <cell r="D535" t="str">
            <v>СТОЛЫ ОБЕДЕННЫЕ</v>
          </cell>
          <cell r="E535" t="str">
            <v>FBS</v>
          </cell>
          <cell r="G535" t="str">
            <v>Бетон</v>
          </cell>
          <cell r="H535" t="str">
            <v>2521897952826</v>
          </cell>
          <cell r="I535" t="str">
            <v>Вакансия</v>
          </cell>
        </row>
        <row r="536">
          <cell r="A536">
            <v>517103</v>
          </cell>
          <cell r="B536" t="str">
            <v>Стол обеденный Дуб апрель светлый</v>
          </cell>
          <cell r="C536" t="str">
            <v>Вакансия</v>
          </cell>
          <cell r="D536" t="str">
            <v>СТОЛЫ ОБЕДЕННЫЕ</v>
          </cell>
          <cell r="E536" t="str">
            <v>FBS</v>
          </cell>
          <cell r="G536" t="str">
            <v>дуб апрель светл</v>
          </cell>
          <cell r="H536" t="str">
            <v>2521897952828</v>
          </cell>
          <cell r="I536" t="str">
            <v>Вакансия</v>
          </cell>
        </row>
        <row r="537">
          <cell r="A537">
            <v>3578</v>
          </cell>
          <cell r="B537" t="str">
            <v>Стол обеденный Мальта Лайт Белое тиснение 650х780х650</v>
          </cell>
          <cell r="C537" t="str">
            <v>Вакансия</v>
          </cell>
          <cell r="D537" t="str">
            <v>СТОЛЫ ОБЕДЕННЫЕ</v>
          </cell>
          <cell r="E537" t="str">
            <v>FBO</v>
          </cell>
          <cell r="G537" t="str">
            <v>Белое тиснение</v>
          </cell>
          <cell r="H537" t="str">
            <v>2521897952895</v>
          </cell>
          <cell r="I537" t="str">
            <v>Вакансия</v>
          </cell>
        </row>
        <row r="538">
          <cell r="A538">
            <v>3354</v>
          </cell>
          <cell r="B538" t="str">
            <v>Стол рабочий Мальта с надстройкой Белое тиснение 1100*910(h)*400</v>
          </cell>
          <cell r="C538" t="str">
            <v>Ратникова</v>
          </cell>
          <cell r="D538" t="str">
            <v>СТОЛЫ</v>
          </cell>
          <cell r="E538" t="str">
            <v>FBS</v>
          </cell>
          <cell r="F538" t="str">
            <v>Стол рабочий Мальта с надстройкой  1100х910х400</v>
          </cell>
          <cell r="G538" t="str">
            <v>Белое тиснение</v>
          </cell>
          <cell r="H538" t="str">
            <v>2521897952514</v>
          </cell>
          <cell r="I538" t="str">
            <v>Вакансия</v>
          </cell>
        </row>
        <row r="539">
          <cell r="A539">
            <v>30090</v>
          </cell>
          <cell r="B539" t="str">
            <v>Шкаф книжный Style с 3 дверками Бетон 706х1048х300</v>
          </cell>
          <cell r="C539" t="str">
            <v>Перепечаева</v>
          </cell>
          <cell r="D539" t="str">
            <v>ШКАФЫ</v>
          </cell>
          <cell r="E539" t="str">
            <v>FBS</v>
          </cell>
          <cell r="F539" t="str">
            <v>Книжный шкаф  Style с 3 дверками</v>
          </cell>
          <cell r="G539" t="str">
            <v>Бетон</v>
          </cell>
          <cell r="H539" t="str">
            <v>2521897953129</v>
          </cell>
          <cell r="I539" t="str">
            <v>Вакансия</v>
          </cell>
        </row>
        <row r="540">
          <cell r="A540">
            <v>2471</v>
          </cell>
          <cell r="B540" t="str">
            <v>Подставка для Ноутбука прямая Миндаль 760х16х360</v>
          </cell>
          <cell r="C540" t="str">
            <v>Вакансия</v>
          </cell>
          <cell r="D540" t="str">
            <v>СТОЛЫ</v>
          </cell>
          <cell r="E540" t="str">
            <v>FBO</v>
          </cell>
          <cell r="G540">
            <v>0</v>
          </cell>
          <cell r="H540">
            <v>0</v>
          </cell>
          <cell r="I540" t="str">
            <v>Вакансия</v>
          </cell>
        </row>
        <row r="541">
          <cell r="A541" t="str">
            <v>MK00026</v>
          </cell>
          <cell r="B541" t="str">
            <v>Стол письменный Frame ЛДСП Дуб Вотан, Черн. металл.</v>
          </cell>
          <cell r="C541" t="str">
            <v>Ратникова</v>
          </cell>
          <cell r="D541" t="str">
            <v>СТОЛЫ</v>
          </cell>
          <cell r="E541" t="str">
            <v>FBS</v>
          </cell>
          <cell r="F541" t="str">
            <v xml:space="preserve">Стол письменный Frame </v>
          </cell>
          <cell r="G541" t="str">
            <v>ЛДСП Дуб Вотан, Черн. металл.</v>
          </cell>
          <cell r="H541" t="str">
            <v>2521897952609</v>
          </cell>
          <cell r="I541" t="str">
            <v>Вакансия</v>
          </cell>
        </row>
        <row r="542">
          <cell r="A542" t="str">
            <v>MK00023</v>
          </cell>
          <cell r="B542" t="str">
            <v>Стол письменный Tokyo ЛДСП Дуб Вотан, Черн. металл. 900х760х520</v>
          </cell>
          <cell r="C542" t="str">
            <v>Кошкарева</v>
          </cell>
          <cell r="D542" t="str">
            <v>СТОЛЫ</v>
          </cell>
          <cell r="E542" t="str">
            <v>FBS</v>
          </cell>
          <cell r="F542" t="str">
            <v>Стол письменный Tokyo 900х760х520</v>
          </cell>
          <cell r="G542" t="str">
            <v>ЛДСП Дуб Вотан, Черн. металл.</v>
          </cell>
          <cell r="H542" t="str">
            <v>2521897952604</v>
          </cell>
          <cell r="I542" t="str">
            <v>Вакансия</v>
          </cell>
        </row>
        <row r="543">
          <cell r="A543" t="str">
            <v>MK1330101</v>
          </cell>
          <cell r="B543" t="str">
            <v>Стол компьютерный Frame lite ЛДСП Дуб Вотан, Черн. металл. 600х760(h)х400</v>
          </cell>
          <cell r="C543" t="str">
            <v>Ратникова</v>
          </cell>
          <cell r="D543" t="str">
            <v>СТОЛЫ</v>
          </cell>
          <cell r="E543" t="str">
            <v>FBO</v>
          </cell>
          <cell r="F543" t="str">
            <v>Стол компьютерный Frame lite ЛДСП  600х760(h)х400</v>
          </cell>
          <cell r="G543" t="str">
            <v>ЛДСП Дуб Вотан, Черн. металл.</v>
          </cell>
          <cell r="H543" t="str">
            <v>2521897952668</v>
          </cell>
          <cell r="I543" t="str">
            <v>Вакансия</v>
          </cell>
        </row>
        <row r="544">
          <cell r="A544" t="str">
            <v>MK1290101</v>
          </cell>
          <cell r="B544" t="str">
            <v>Стол рабочий Tokyo с полками ЛДСП Дуб Вотан, Черн. металл. 900х750(h)х450</v>
          </cell>
          <cell r="C544" t="str">
            <v>Кошкарева</v>
          </cell>
          <cell r="D544" t="str">
            <v>СТОЛЫ</v>
          </cell>
          <cell r="E544" t="str">
            <v>FBS</v>
          </cell>
          <cell r="F544" t="str">
            <v>Стол рабочий Tokyo с полками ЛДСП  900х750(h)х450</v>
          </cell>
          <cell r="G544" t="str">
            <v>ЛДСП Дуб Вотан, Черн. металл.</v>
          </cell>
          <cell r="H544" t="str">
            <v>2521897952672</v>
          </cell>
          <cell r="I544" t="str">
            <v>Вакансия</v>
          </cell>
        </row>
        <row r="545">
          <cell r="A545">
            <v>9577</v>
          </cell>
          <cell r="B545" t="str">
            <v>Стол-стеллаж Jazz Plus Белое тиснение</v>
          </cell>
          <cell r="C545" t="str">
            <v>Вакансия</v>
          </cell>
          <cell r="D545" t="str">
            <v>СТОЛЫ</v>
          </cell>
          <cell r="E545" t="str">
            <v>FBS</v>
          </cell>
          <cell r="F545" t="str">
            <v>Стол-стеллаж Jazz Plus</v>
          </cell>
          <cell r="G545" t="str">
            <v>Белое тиснение</v>
          </cell>
          <cell r="H545" t="str">
            <v>2521897952786</v>
          </cell>
          <cell r="I545" t="str">
            <v>Вакансия</v>
          </cell>
        </row>
        <row r="546">
          <cell r="A546">
            <v>9580</v>
          </cell>
          <cell r="B546" t="str">
            <v>Стол-стеллаж Jazz Plus Венге</v>
          </cell>
          <cell r="C546" t="str">
            <v>Вакансия</v>
          </cell>
          <cell r="D546" t="str">
            <v>СТОЛЫ</v>
          </cell>
          <cell r="E546" t="str">
            <v>FBS</v>
          </cell>
          <cell r="F546" t="str">
            <v>Стол-стеллаж Jazz Plus</v>
          </cell>
          <cell r="G546" t="str">
            <v>Венге</v>
          </cell>
          <cell r="H546" t="str">
            <v>2521897952788</v>
          </cell>
          <cell r="I546" t="str">
            <v>Вакансия</v>
          </cell>
        </row>
        <row r="547">
          <cell r="A547">
            <v>9581</v>
          </cell>
          <cell r="B547" t="str">
            <v>Стол-стеллаж Jazz Plus Дуб сонома</v>
          </cell>
          <cell r="C547" t="str">
            <v>Вакансия</v>
          </cell>
          <cell r="D547" t="str">
            <v>СТОЛЫ</v>
          </cell>
          <cell r="E547" t="str">
            <v>FBS</v>
          </cell>
          <cell r="F547" t="str">
            <v>Стол-стеллаж Jazz Plus</v>
          </cell>
          <cell r="G547" t="str">
            <v>Дуб сонома</v>
          </cell>
          <cell r="H547" t="str">
            <v>2521897952787</v>
          </cell>
          <cell r="I547" t="str">
            <v>Вакансия</v>
          </cell>
        </row>
        <row r="548">
          <cell r="A548">
            <v>412321</v>
          </cell>
          <cell r="B548" t="str">
            <v>Стул "Пион" бежевый крокодил, комплект 2шт.</v>
          </cell>
          <cell r="C548" t="str">
            <v>Вакансия</v>
          </cell>
          <cell r="D548" t="str">
            <v>СТУЛЬЯ</v>
          </cell>
          <cell r="E548" t="str">
            <v xml:space="preserve">СКГТ </v>
          </cell>
          <cell r="G548" t="str">
            <v>Бежевый</v>
          </cell>
          <cell r="H548" t="str">
            <v>2520897922293</v>
          </cell>
          <cell r="I548" t="str">
            <v>Вакансия</v>
          </cell>
        </row>
        <row r="549">
          <cell r="A549">
            <v>412323</v>
          </cell>
          <cell r="B549" t="str">
            <v>Стул "Пион" белый крокодил, комплект 2шт.</v>
          </cell>
          <cell r="C549" t="str">
            <v>Вакансия</v>
          </cell>
          <cell r="D549" t="str">
            <v>СТУЛЬЯ</v>
          </cell>
          <cell r="E549" t="str">
            <v xml:space="preserve">СКГТ </v>
          </cell>
          <cell r="G549" t="str">
            <v>Белый</v>
          </cell>
          <cell r="H549" t="str">
            <v>2520897922315</v>
          </cell>
          <cell r="I549" t="str">
            <v>Вакансия</v>
          </cell>
        </row>
        <row r="550">
          <cell r="A550">
            <v>412324</v>
          </cell>
          <cell r="B550" t="str">
            <v>Стул "Пион" шоколад, комплект 2шт.</v>
          </cell>
          <cell r="C550" t="str">
            <v>Вакансия</v>
          </cell>
          <cell r="D550" t="str">
            <v>СТУЛЬЯ</v>
          </cell>
          <cell r="E550" t="str">
            <v xml:space="preserve">СКГТ </v>
          </cell>
          <cell r="G550" t="str">
            <v>шоколад</v>
          </cell>
          <cell r="H550" t="str">
            <v>2520897922296</v>
          </cell>
          <cell r="I550" t="str">
            <v>Вакансия</v>
          </cell>
        </row>
        <row r="551">
          <cell r="A551">
            <v>412325</v>
          </cell>
          <cell r="B551" t="str">
            <v>Стул "Ромашка" бежевый крокодил, комплект 2шт.</v>
          </cell>
          <cell r="C551" t="str">
            <v>Вакансия</v>
          </cell>
          <cell r="D551" t="str">
            <v>СТУЛЬЯ</v>
          </cell>
          <cell r="E551" t="str">
            <v xml:space="preserve">СКГТ </v>
          </cell>
          <cell r="G551" t="str">
            <v>Бежевый</v>
          </cell>
          <cell r="H551" t="str">
            <v>2520897922297</v>
          </cell>
          <cell r="I551" t="str">
            <v>Вакансия</v>
          </cell>
        </row>
        <row r="552">
          <cell r="A552">
            <v>3546</v>
          </cell>
          <cell r="B552" t="str">
            <v>Стол рабочий Capri с ящиком Белое тиснение</v>
          </cell>
          <cell r="C552" t="str">
            <v>Вакансия</v>
          </cell>
          <cell r="D552" t="str">
            <v>СТОЛЫ</v>
          </cell>
          <cell r="E552" t="str">
            <v>FBS</v>
          </cell>
          <cell r="F552" t="str">
            <v>Стол рабочий Capri с ящиком</v>
          </cell>
          <cell r="G552" t="str">
            <v>Белое тиснение</v>
          </cell>
          <cell r="H552" t="str">
            <v>2521897952896</v>
          </cell>
          <cell r="I552" t="str">
            <v>Вакансия</v>
          </cell>
        </row>
        <row r="553">
          <cell r="A553">
            <v>412332</v>
          </cell>
          <cell r="B553" t="str">
            <v>Стул "Фиалка" шоколад, комплект 2шт.</v>
          </cell>
          <cell r="C553" t="str">
            <v>Вакансия</v>
          </cell>
          <cell r="D553" t="str">
            <v>СТУЛЬЯ</v>
          </cell>
          <cell r="E553" t="str">
            <v xml:space="preserve">СКГТ </v>
          </cell>
          <cell r="G553" t="str">
            <v>шоколад</v>
          </cell>
          <cell r="H553">
            <v>0</v>
          </cell>
          <cell r="I553" t="str">
            <v>Вакансия</v>
          </cell>
        </row>
        <row r="554">
          <cell r="A554">
            <v>9485</v>
          </cell>
          <cell r="B554" t="str">
            <v>Стол-стеллаж Jazz Plus Бетон</v>
          </cell>
          <cell r="C554" t="str">
            <v>Вакансия</v>
          </cell>
          <cell r="D554" t="str">
            <v>СТОЛЫ</v>
          </cell>
          <cell r="E554" t="str">
            <v>FBO</v>
          </cell>
          <cell r="F554" t="str">
            <v>Стол-стеллаж Jazz Plus</v>
          </cell>
          <cell r="G554" t="str">
            <v>Бетон</v>
          </cell>
          <cell r="H554" t="str">
            <v>2521897952942</v>
          </cell>
          <cell r="I554" t="str">
            <v>Вакансия</v>
          </cell>
        </row>
        <row r="555">
          <cell r="A555">
            <v>312284</v>
          </cell>
          <cell r="B555" t="str">
            <v>Стул Брусто Замша 001-17, опора редуциров.,бежевая</v>
          </cell>
          <cell r="C555" t="str">
            <v>Вакансия</v>
          </cell>
          <cell r="D555" t="str">
            <v>СТУЛЬЯ</v>
          </cell>
          <cell r="E555" t="str">
            <v>FBS</v>
          </cell>
          <cell r="G555" t="str">
            <v>Бежевый</v>
          </cell>
          <cell r="H555" t="str">
            <v>2520000006128</v>
          </cell>
          <cell r="I555" t="str">
            <v>Вакансия</v>
          </cell>
        </row>
        <row r="556">
          <cell r="A556">
            <v>212281</v>
          </cell>
          <cell r="B556" t="str">
            <v>Стул Найс Polo black ,опора редуциров.,черная</v>
          </cell>
          <cell r="C556" t="str">
            <v>Вакансия</v>
          </cell>
          <cell r="D556" t="str">
            <v>СТУЛЬЯ</v>
          </cell>
          <cell r="E556" t="str">
            <v>FBS</v>
          </cell>
          <cell r="G556">
            <v>0</v>
          </cell>
          <cell r="H556">
            <v>0</v>
          </cell>
          <cell r="I556" t="str">
            <v>Вакансия</v>
          </cell>
        </row>
        <row r="557">
          <cell r="A557">
            <v>112281</v>
          </cell>
          <cell r="B557" t="str">
            <v>Стул Найс Polo White ,опора редуциров.,белая</v>
          </cell>
          <cell r="C557" t="str">
            <v>Вакансия</v>
          </cell>
          <cell r="D557" t="str">
            <v>СТУЛЬЯ</v>
          </cell>
          <cell r="E557" t="str">
            <v>FBS</v>
          </cell>
          <cell r="G557">
            <v>0</v>
          </cell>
          <cell r="H557" t="str">
            <v>2520000006122</v>
          </cell>
          <cell r="I557" t="str">
            <v>Вакансия</v>
          </cell>
        </row>
        <row r="558">
          <cell r="A558">
            <v>14030</v>
          </cell>
          <cell r="B558" t="str">
            <v>Стол письменный Милан Белое тиснение</v>
          </cell>
          <cell r="C558" t="str">
            <v>Кошкарева</v>
          </cell>
          <cell r="D558" t="str">
            <v>СТОЛЫ</v>
          </cell>
          <cell r="E558" t="str">
            <v>FBS</v>
          </cell>
          <cell r="F558" t="str">
            <v xml:space="preserve">Стол письменный рабочий Милан </v>
          </cell>
          <cell r="G558" t="str">
            <v>Белое тиснение</v>
          </cell>
          <cell r="H558" t="str">
            <v>2521897953047</v>
          </cell>
          <cell r="I558" t="str">
            <v>Вакансия</v>
          </cell>
        </row>
        <row r="559">
          <cell r="A559">
            <v>3265</v>
          </cell>
          <cell r="B559" t="str">
            <v>Стол игровой XGamer Антрацит</v>
          </cell>
          <cell r="C559" t="str">
            <v>Перепечаева</v>
          </cell>
          <cell r="D559" t="str">
            <v>СТОЛЫ</v>
          </cell>
          <cell r="E559" t="str">
            <v xml:space="preserve">СКГТ </v>
          </cell>
          <cell r="F559" t="str">
            <v>Стол игровой XGamer</v>
          </cell>
          <cell r="G559" t="str">
            <v>Антрацит</v>
          </cell>
          <cell r="H559" t="str">
            <v>2521897953082</v>
          </cell>
          <cell r="I559" t="str">
            <v>Вакансия</v>
          </cell>
        </row>
        <row r="560">
          <cell r="A560">
            <v>2976</v>
          </cell>
          <cell r="B560" t="str">
            <v>Тумба Jazz c ящиком Белое тиснение 406х399х342</v>
          </cell>
          <cell r="C560" t="str">
            <v>Кошкарева</v>
          </cell>
          <cell r="D560" t="str">
            <v>ТУМБЫ ПРИКРОВАТНЫЕ</v>
          </cell>
          <cell r="E560" t="str">
            <v>FBO</v>
          </cell>
          <cell r="F560" t="str">
            <v>Тумба Jazz c ящиком 406х399х342</v>
          </cell>
          <cell r="G560" t="str">
            <v>Белое тиснение</v>
          </cell>
          <cell r="H560" t="str">
            <v>2520000000016</v>
          </cell>
          <cell r="I560" t="str">
            <v>Вакансия</v>
          </cell>
        </row>
        <row r="561">
          <cell r="A561" t="str">
            <v>3176.01.07/01</v>
          </cell>
          <cell r="B561" t="str">
            <v>Комод Blues 1-о дверн. с ящ. и полками   Дуб Вотан/Антрацит 586х795(h)х320</v>
          </cell>
          <cell r="C561" t="str">
            <v>Платонова</v>
          </cell>
          <cell r="D561" t="str">
            <v>КОМОДЫ</v>
          </cell>
          <cell r="E561" t="str">
            <v>FBO</v>
          </cell>
          <cell r="F561" t="str">
            <v>Комод Blues 1-о дверн. с ящ. и полками</v>
          </cell>
          <cell r="G561" t="str">
            <v>Дуб Вотан/Антрацит</v>
          </cell>
          <cell r="H561" t="str">
            <v>2521897953368</v>
          </cell>
          <cell r="I561" t="str">
            <v>Вакансия</v>
          </cell>
        </row>
        <row r="562">
          <cell r="A562" t="str">
            <v>2608.01/01</v>
          </cell>
          <cell r="B562" t="str">
            <v>Полка книжная Ультра Дуб Вотан 1150х520х200</v>
          </cell>
          <cell r="C562" t="str">
            <v xml:space="preserve">Петрова </v>
          </cell>
          <cell r="D562" t="str">
            <v>ПОЛКИ</v>
          </cell>
          <cell r="E562" t="str">
            <v>FBS</v>
          </cell>
          <cell r="F562" t="str">
            <v>Полка книжная Ультра</v>
          </cell>
          <cell r="G562" t="str">
            <v>Дуб Вотан</v>
          </cell>
          <cell r="H562" t="str">
            <v>2521897953335</v>
          </cell>
          <cell r="I562" t="str">
            <v>Вакансия</v>
          </cell>
        </row>
        <row r="563">
          <cell r="A563">
            <v>135600</v>
          </cell>
          <cell r="B563" t="str">
            <v>Стол письменный рабочий Милан белое тиснение</v>
          </cell>
          <cell r="C563" t="str">
            <v>Перепечаева</v>
          </cell>
          <cell r="D563" t="str">
            <v>СТОЛЫ</v>
          </cell>
          <cell r="E563" t="str">
            <v>СКГТ</v>
          </cell>
          <cell r="F563" t="str">
            <v xml:space="preserve">Стол письменный рабочий Милан </v>
          </cell>
          <cell r="G563" t="str">
            <v>Белое тиснение</v>
          </cell>
          <cell r="H563" t="str">
            <v>2521897953055</v>
          </cell>
          <cell r="I563" t="str">
            <v>Вакансия</v>
          </cell>
        </row>
        <row r="564">
          <cell r="A564">
            <v>135601</v>
          </cell>
          <cell r="B564" t="str">
            <v>Стол письменный рабочий Милан бетон</v>
          </cell>
          <cell r="C564" t="str">
            <v>Перепечаева</v>
          </cell>
          <cell r="D564" t="str">
            <v>СТОЛЫ</v>
          </cell>
          <cell r="E564" t="str">
            <v>СКГТ</v>
          </cell>
          <cell r="F564" t="str">
            <v xml:space="preserve">Стол письменный рабочий Милан </v>
          </cell>
          <cell r="G564" t="str">
            <v>Бетон</v>
          </cell>
          <cell r="H564" t="str">
            <v>2521897953056</v>
          </cell>
          <cell r="I564" t="str">
            <v>Вакансия</v>
          </cell>
        </row>
        <row r="565">
          <cell r="A565">
            <v>59591</v>
          </cell>
          <cell r="B565" t="str">
            <v>Стул София ножки черные, розовый CF 041-05, комплект 2шт.</v>
          </cell>
          <cell r="C565" t="str">
            <v>Вакансия</v>
          </cell>
          <cell r="D565" t="str">
            <v>СТУЛЬЯ</v>
          </cell>
          <cell r="E565" t="str">
            <v>FBS</v>
          </cell>
          <cell r="G565">
            <v>0</v>
          </cell>
          <cell r="H565" t="str">
            <v>2521897952433</v>
          </cell>
          <cell r="I565" t="str">
            <v>Вакансия</v>
          </cell>
        </row>
        <row r="566">
          <cell r="A566">
            <v>59593</v>
          </cell>
          <cell r="B566" t="str">
            <v>Стул Софт ножки черные, слоновая кость  CF 041-01, комплект 2шт.</v>
          </cell>
          <cell r="C566" t="str">
            <v>Вакансия</v>
          </cell>
          <cell r="D566" t="str">
            <v>СТУЛЬЯ</v>
          </cell>
          <cell r="E566" t="str">
            <v xml:space="preserve">СКГТ </v>
          </cell>
          <cell r="G566">
            <v>0</v>
          </cell>
          <cell r="H566" t="str">
            <v>2521897952434</v>
          </cell>
          <cell r="I566" t="str">
            <v>Вакансия</v>
          </cell>
        </row>
        <row r="567">
          <cell r="A567">
            <v>59594</v>
          </cell>
          <cell r="B567" t="str">
            <v>Стул Саваж ножки черные, красный CF 041-06, комплект 2шт.</v>
          </cell>
          <cell r="C567" t="str">
            <v>Вакансия</v>
          </cell>
          <cell r="D567" t="str">
            <v>СТУЛЬЯ</v>
          </cell>
          <cell r="E567" t="str">
            <v xml:space="preserve">СКГТ </v>
          </cell>
          <cell r="G567">
            <v>0</v>
          </cell>
          <cell r="H567" t="str">
            <v>2521897952429</v>
          </cell>
          <cell r="I567" t="str">
            <v>Вакансия</v>
          </cell>
        </row>
        <row r="568">
          <cell r="A568">
            <v>59595</v>
          </cell>
          <cell r="B568" t="str">
            <v>Стул Саваж ножки черные, голубой CF 041-09, комплект 2шт.</v>
          </cell>
          <cell r="C568" t="str">
            <v>Вакансия</v>
          </cell>
          <cell r="D568" t="str">
            <v>СТУЛЬЯ</v>
          </cell>
          <cell r="E568" t="str">
            <v xml:space="preserve">СКГТ </v>
          </cell>
          <cell r="G568">
            <v>0</v>
          </cell>
          <cell r="H568" t="str">
            <v>2521897952431</v>
          </cell>
          <cell r="I568" t="str">
            <v>Вакансия</v>
          </cell>
        </row>
        <row r="569">
          <cell r="A569">
            <v>59597</v>
          </cell>
          <cell r="B569" t="str">
            <v>Стул Коста ножки черные, бордо CF 041-23, комплект 2шт.</v>
          </cell>
          <cell r="C569" t="str">
            <v>Вакансия</v>
          </cell>
          <cell r="D569" t="str">
            <v>СТУЛЬЯ</v>
          </cell>
          <cell r="E569" t="str">
            <v>FBS</v>
          </cell>
          <cell r="G569">
            <v>0</v>
          </cell>
          <cell r="H569" t="str">
            <v>2521897952428</v>
          </cell>
          <cell r="I569" t="str">
            <v>Вакансия</v>
          </cell>
        </row>
        <row r="570">
          <cell r="A570" t="str">
            <v>MK1620901</v>
          </cell>
          <cell r="B570" t="str">
            <v>Стол компьютерный Gamer ЛДСП Графит, Черн. металл. 1100х730(h)х700</v>
          </cell>
          <cell r="C570" t="str">
            <v>Ратникова</v>
          </cell>
          <cell r="D570" t="str">
            <v>СТОЛЫ</v>
          </cell>
          <cell r="E570" t="str">
            <v>FBS</v>
          </cell>
          <cell r="F570" t="str">
            <v>Стол компьютерный Gamer  1100х730(h)х700</v>
          </cell>
          <cell r="G570" t="str">
            <v>Графит</v>
          </cell>
          <cell r="H570" t="str">
            <v>2521897953178</v>
          </cell>
          <cell r="I570" t="str">
            <v>Вакансия</v>
          </cell>
        </row>
        <row r="571">
          <cell r="A571">
            <v>14031</v>
          </cell>
          <cell r="B571" t="str">
            <v>Стол письменный Милан Графит</v>
          </cell>
          <cell r="C571" t="str">
            <v>Кошкарева</v>
          </cell>
          <cell r="D571" t="str">
            <v>СТОЛЫ</v>
          </cell>
          <cell r="E571" t="str">
            <v>FBS</v>
          </cell>
          <cell r="F571" t="str">
            <v xml:space="preserve">Стол письменный рабочий Милан </v>
          </cell>
          <cell r="G571" t="str">
            <v>Графит</v>
          </cell>
          <cell r="H571" t="str">
            <v>2521897953174</v>
          </cell>
          <cell r="I571" t="str">
            <v>Вакансия</v>
          </cell>
        </row>
        <row r="572">
          <cell r="A572">
            <v>59576</v>
          </cell>
          <cell r="B572" t="str">
            <v>Стул "Малибу" каркас хром, Черный CF041-20, Компл. 2 шт</v>
          </cell>
          <cell r="C572" t="str">
            <v>Вакансия</v>
          </cell>
          <cell r="D572" t="str">
            <v>СТУЛЬЯ</v>
          </cell>
          <cell r="E572" t="str">
            <v xml:space="preserve">СКГТ </v>
          </cell>
          <cell r="G572" t="str">
            <v>ткань</v>
          </cell>
          <cell r="H572" t="str">
            <v>2521897952511</v>
          </cell>
          <cell r="I572" t="str">
            <v>Вакансия</v>
          </cell>
        </row>
        <row r="573">
          <cell r="A573">
            <v>3400</v>
          </cell>
          <cell r="B573" t="str">
            <v>Стол рабочий маникюрный Blues 3 ящика Белое тиснение 468х750-904(h)х300-980</v>
          </cell>
          <cell r="C573" t="str">
            <v>Леонтьева</v>
          </cell>
          <cell r="D573" t="str">
            <v>СТОЛЫ МАНИКЮРНЫЕ</v>
          </cell>
          <cell r="E573" t="str">
            <v>FBO</v>
          </cell>
          <cell r="F573" t="str">
            <v>Стол рабочий маникюрный Blues 3 ящика 468х750-904(h)х300-980</v>
          </cell>
          <cell r="G573" t="str">
            <v>Белое тиснение</v>
          </cell>
          <cell r="H573" t="str">
            <v>2521897952728</v>
          </cell>
          <cell r="I573" t="str">
            <v>Вакансия</v>
          </cell>
        </row>
        <row r="574">
          <cell r="A574">
            <v>10272</v>
          </cell>
          <cell r="B574" t="str">
            <v>Стул складной деревянный, сосна, без покрытия</v>
          </cell>
          <cell r="C574" t="str">
            <v>Вакансия</v>
          </cell>
          <cell r="D574" t="str">
            <v>СТУЛЬЯ</v>
          </cell>
          <cell r="E574" t="str">
            <v>FBO</v>
          </cell>
          <cell r="G574" t="str">
            <v>ткань</v>
          </cell>
          <cell r="H574">
            <v>0</v>
          </cell>
          <cell r="I574" t="str">
            <v>Вакансия</v>
          </cell>
        </row>
        <row r="575">
          <cell r="A575">
            <v>3113</v>
          </cell>
          <cell r="B575" t="str">
            <v>Столик рабочий  Blues Белое тиснение 450х750/904х300/984</v>
          </cell>
          <cell r="C575" t="str">
            <v>Вакансия</v>
          </cell>
          <cell r="D575" t="str">
            <v>СТОЛЫ МАНИКЮРНЫЕ</v>
          </cell>
          <cell r="E575" t="str">
            <v>FBO</v>
          </cell>
          <cell r="G575" t="str">
            <v>Белое тиснение</v>
          </cell>
          <cell r="H575" t="str">
            <v>2521897952403</v>
          </cell>
          <cell r="I575" t="str">
            <v>Вакансия</v>
          </cell>
        </row>
        <row r="576">
          <cell r="A576">
            <v>413342</v>
          </cell>
          <cell r="B576" t="str">
            <v>Стул АРМА изумруд V20</v>
          </cell>
          <cell r="C576" t="str">
            <v>Мисесина</v>
          </cell>
          <cell r="D576" t="str">
            <v>СТУЛЬЯ</v>
          </cell>
          <cell r="E576" t="str">
            <v>FBO</v>
          </cell>
          <cell r="F576" t="str">
            <v xml:space="preserve">Стул АРМА </v>
          </cell>
          <cell r="G576" t="str">
            <v>ткань</v>
          </cell>
          <cell r="H576" t="str">
            <v>2521897952726</v>
          </cell>
          <cell r="I576" t="str">
            <v>Вакансия</v>
          </cell>
        </row>
        <row r="577">
          <cell r="A577">
            <v>2475</v>
          </cell>
          <cell r="B577" t="str">
            <v>Стол книжка письменный (обеденный) раскладной Дуб сонома 850х740х496/123</v>
          </cell>
          <cell r="C577" t="str">
            <v>Вакансия</v>
          </cell>
          <cell r="D577" t="str">
            <v>СТОЛЫ ОБЕДЕННЫЕ</v>
          </cell>
          <cell r="E577" t="str">
            <v>FBS</v>
          </cell>
          <cell r="G577" t="str">
            <v>Дуб сонома</v>
          </cell>
          <cell r="H577">
            <v>0</v>
          </cell>
          <cell r="I577" t="str">
            <v>Вакансия</v>
          </cell>
        </row>
        <row r="578">
          <cell r="A578">
            <v>712281</v>
          </cell>
          <cell r="B578" t="str">
            <v>Стул Лайт Черный V34</v>
          </cell>
          <cell r="C578" t="str">
            <v>Мисесина</v>
          </cell>
          <cell r="D578" t="str">
            <v>СТУЛЬЯ</v>
          </cell>
          <cell r="E578" t="str">
            <v>FBO</v>
          </cell>
          <cell r="F578" t="str">
            <v xml:space="preserve">Стул Лайт </v>
          </cell>
          <cell r="G578" t="str">
            <v>ткань</v>
          </cell>
          <cell r="H578" t="str">
            <v>2521897952722</v>
          </cell>
          <cell r="I578" t="str">
            <v>Вакансия</v>
          </cell>
        </row>
        <row r="579">
          <cell r="A579">
            <v>812281</v>
          </cell>
          <cell r="B579" t="str">
            <v>Стул Лайт Бежевый V01</v>
          </cell>
          <cell r="C579" t="str">
            <v>Мисесина</v>
          </cell>
          <cell r="D579" t="str">
            <v>СТУЛЬЯ</v>
          </cell>
          <cell r="E579" t="str">
            <v>FBO</v>
          </cell>
          <cell r="F579" t="str">
            <v xml:space="preserve">Стул Лайт </v>
          </cell>
          <cell r="G579" t="str">
            <v>ткань</v>
          </cell>
          <cell r="H579" t="str">
            <v>2521897952723</v>
          </cell>
          <cell r="I579" t="str">
            <v>Вакансия</v>
          </cell>
        </row>
        <row r="580">
          <cell r="A580">
            <v>912281</v>
          </cell>
          <cell r="B580" t="str">
            <v>Стул Лайт Серый V12</v>
          </cell>
          <cell r="C580" t="str">
            <v>Мисесина</v>
          </cell>
          <cell r="D580" t="str">
            <v>СТУЛЬЯ</v>
          </cell>
          <cell r="E580" t="str">
            <v>FBO</v>
          </cell>
          <cell r="F580" t="str">
            <v xml:space="preserve">Стул Лайт </v>
          </cell>
          <cell r="G580" t="str">
            <v>ткань</v>
          </cell>
          <cell r="H580" t="str">
            <v>2521897952724</v>
          </cell>
          <cell r="I580" t="str">
            <v>Вакансия</v>
          </cell>
        </row>
        <row r="581">
          <cell r="A581">
            <v>12352</v>
          </cell>
          <cell r="B581" t="str">
            <v>Стол Обеденный 1000х700 Прямоуг. Пластик бетон слюда,кромка темн.камень, царга металлик,Хром 5</v>
          </cell>
          <cell r="C581" t="str">
            <v>Вакансия</v>
          </cell>
          <cell r="D581" t="str">
            <v>СТОЛЫ ОБЕДЕННЫЕ</v>
          </cell>
          <cell r="E581" t="str">
            <v>FBS</v>
          </cell>
          <cell r="G581" t="str">
            <v>Бетон</v>
          </cell>
          <cell r="H581" t="str">
            <v>2520000006134</v>
          </cell>
          <cell r="I581" t="str">
            <v>Вакансия</v>
          </cell>
        </row>
        <row r="582">
          <cell r="A582">
            <v>4563151</v>
          </cell>
          <cell r="B582" t="str">
            <v>Стол обеденный 120*80 ЛДСП 22мм</v>
          </cell>
          <cell r="C582" t="str">
            <v>Вакансия</v>
          </cell>
          <cell r="D582" t="str">
            <v>СТОЛЫ ОБЕДЕННЫЕ</v>
          </cell>
          <cell r="E582" t="str">
            <v>FBS</v>
          </cell>
          <cell r="G582">
            <v>0</v>
          </cell>
          <cell r="H582">
            <v>0</v>
          </cell>
          <cell r="I582" t="str">
            <v>Вакансия</v>
          </cell>
        </row>
        <row r="583">
          <cell r="A583">
            <v>2625</v>
          </cell>
          <cell r="B583" t="str">
            <v>Стол обеденный Кантри плюс Дуб сонома/Венге 900х750х600</v>
          </cell>
          <cell r="C583" t="str">
            <v>Вакансия</v>
          </cell>
          <cell r="D583" t="str">
            <v>СТОЛЫ ОБЕДЕННЫЕ</v>
          </cell>
          <cell r="E583" t="str">
            <v>FBS</v>
          </cell>
          <cell r="G583" t="str">
            <v>комбин</v>
          </cell>
          <cell r="H583" t="str">
            <v>2520000000824</v>
          </cell>
          <cell r="I583" t="str">
            <v>Вакансия</v>
          </cell>
        </row>
        <row r="584">
          <cell r="A584">
            <v>2646</v>
          </cell>
          <cell r="B584" t="str">
            <v>Стол обеденный Мальта Дуб сонома/Белое тиснение 670х760х670</v>
          </cell>
          <cell r="C584" t="str">
            <v>Вакансия</v>
          </cell>
          <cell r="D584" t="str">
            <v>СТОЛЫ ОБЕДЕННЫЕ</v>
          </cell>
          <cell r="E584" t="str">
            <v>FBS</v>
          </cell>
          <cell r="G584" t="str">
            <v>дуб сонома/белое тиснение</v>
          </cell>
          <cell r="H584" t="str">
            <v>2520000000831</v>
          </cell>
          <cell r="I584" t="str">
            <v>Вакансия</v>
          </cell>
        </row>
        <row r="585">
          <cell r="A585">
            <v>61569</v>
          </cell>
          <cell r="B585" t="str">
            <v>Стул Севиль Серый V12,опора черная</v>
          </cell>
          <cell r="C585" t="str">
            <v>Мисесина</v>
          </cell>
          <cell r="D585" t="str">
            <v>СТУЛЬЯ</v>
          </cell>
          <cell r="E585" t="str">
            <v>FBO</v>
          </cell>
          <cell r="F585" t="str">
            <v>Стул Севиль</v>
          </cell>
          <cell r="G585" t="str">
            <v>ткань</v>
          </cell>
          <cell r="H585" t="str">
            <v>2521897952814</v>
          </cell>
          <cell r="I585" t="str">
            <v>Вакансия</v>
          </cell>
        </row>
        <row r="586">
          <cell r="A586">
            <v>2665</v>
          </cell>
          <cell r="B586" t="str">
            <v>Стол обеденный Мальта Орех лион/Венге 670х760х670</v>
          </cell>
          <cell r="C586" t="str">
            <v>Вакансия</v>
          </cell>
          <cell r="D586" t="str">
            <v>СТОЛЫ ОБЕДЕННЫЕ</v>
          </cell>
          <cell r="E586" t="str">
            <v>FBS</v>
          </cell>
          <cell r="G586" t="str">
            <v>комбин</v>
          </cell>
          <cell r="H586" t="str">
            <v>2520000000879</v>
          </cell>
          <cell r="I586" t="str">
            <v>Вакансия</v>
          </cell>
        </row>
        <row r="587">
          <cell r="A587">
            <v>2648</v>
          </cell>
          <cell r="B587" t="str">
            <v>Стол обеденный Мальта Плюс Дуб сонома/Белое тиснение 1014х760х670</v>
          </cell>
          <cell r="C587" t="str">
            <v>Вакансия</v>
          </cell>
          <cell r="D587" t="str">
            <v>СТОЛЫ ОБЕДЕННЫЕ</v>
          </cell>
          <cell r="E587" t="str">
            <v>FBS</v>
          </cell>
          <cell r="F587" t="str">
            <v>Стол обеденный Мальта Плюс  1014х760х670</v>
          </cell>
          <cell r="G587" t="str">
            <v>дуб сонома/белое тиснение</v>
          </cell>
          <cell r="H587" t="str">
            <v>2520000000893</v>
          </cell>
          <cell r="I587" t="str">
            <v>Вакансия</v>
          </cell>
        </row>
        <row r="588">
          <cell r="A588">
            <v>2666</v>
          </cell>
          <cell r="B588" t="str">
            <v>Стол обеденный Мальта Плюс Орех лион/Венге 1014х760х670</v>
          </cell>
          <cell r="C588" t="str">
            <v>Вакансия</v>
          </cell>
          <cell r="D588" t="str">
            <v>СТОЛЫ ОБЕДЕННЫЕ</v>
          </cell>
          <cell r="E588" t="str">
            <v>FBS</v>
          </cell>
          <cell r="G588" t="str">
            <v>комбин</v>
          </cell>
          <cell r="H588" t="str">
            <v>2520000000909</v>
          </cell>
          <cell r="I588" t="str">
            <v>Вакансия</v>
          </cell>
        </row>
        <row r="589">
          <cell r="A589">
            <v>2649</v>
          </cell>
          <cell r="B589" t="str">
            <v>Стол обеденный Мальта Плюс Пельтро/Белое тиснение 1014х760х670</v>
          </cell>
          <cell r="C589" t="str">
            <v>Вакансия</v>
          </cell>
          <cell r="D589" t="str">
            <v>СТОЛЫ ОБЕДЕННЫЕ</v>
          </cell>
          <cell r="E589" t="str">
            <v>FBS</v>
          </cell>
          <cell r="G589" t="str">
            <v>Пельтро/Белое тиснение</v>
          </cell>
          <cell r="H589">
            <v>0</v>
          </cell>
          <cell r="I589" t="str">
            <v>Вакансия</v>
          </cell>
        </row>
        <row r="590">
          <cell r="A590">
            <v>61574</v>
          </cell>
          <cell r="B590" t="str">
            <v>Стул Палермо Зеленый V20, опора черная</v>
          </cell>
          <cell r="C590" t="str">
            <v>Мисесина</v>
          </cell>
          <cell r="D590" t="str">
            <v>СТУЛЬЯ</v>
          </cell>
          <cell r="E590" t="str">
            <v>FBO</v>
          </cell>
          <cell r="F590" t="str">
            <v xml:space="preserve">Стул Палермо </v>
          </cell>
          <cell r="G590" t="str">
            <v>ткань</v>
          </cell>
          <cell r="H590" t="str">
            <v>2521897952819</v>
          </cell>
          <cell r="I590" t="str">
            <v>Вакансия</v>
          </cell>
        </row>
        <row r="591">
          <cell r="A591">
            <v>9394</v>
          </cell>
          <cell r="B591" t="str">
            <v>Стол обеденный Ультра Венге 890х750х530</v>
          </cell>
          <cell r="C591" t="str">
            <v>Вакансия</v>
          </cell>
          <cell r="D591" t="str">
            <v>СТОЛЫ ОБЕДЕННЫЕ</v>
          </cell>
          <cell r="E591" t="str">
            <v>FBS</v>
          </cell>
          <cell r="G591" t="str">
            <v>Венге</v>
          </cell>
          <cell r="H591" t="str">
            <v>2520000002147</v>
          </cell>
          <cell r="I591" t="str">
            <v>Вакансия</v>
          </cell>
        </row>
        <row r="592">
          <cell r="A592">
            <v>135580</v>
          </cell>
          <cell r="B592" t="str">
            <v>Стул Комфорт  Фиолетовый V10</v>
          </cell>
          <cell r="C592" t="str">
            <v>Мисесина</v>
          </cell>
          <cell r="D592" t="str">
            <v>СТУЛЬЯ</v>
          </cell>
          <cell r="E592" t="str">
            <v>FBO</v>
          </cell>
          <cell r="F592" t="str">
            <v>Стул Комфорт</v>
          </cell>
          <cell r="G592" t="str">
            <v>ткань</v>
          </cell>
          <cell r="H592" t="str">
            <v>2521897952908</v>
          </cell>
          <cell r="I592" t="str">
            <v>Вакансия</v>
          </cell>
        </row>
        <row r="593">
          <cell r="A593">
            <v>2851</v>
          </cell>
          <cell r="B593" t="str">
            <v>Стол обеденный Ультра Дуб сонома 890х750х530</v>
          </cell>
          <cell r="C593" t="str">
            <v>Вакансия</v>
          </cell>
          <cell r="D593" t="str">
            <v>СТОЛЫ ОБЕДЕННЫЕ</v>
          </cell>
          <cell r="E593" t="str">
            <v>FBS</v>
          </cell>
          <cell r="G593" t="str">
            <v>Дуб сонома</v>
          </cell>
          <cell r="H593" t="str">
            <v>2520000000930</v>
          </cell>
          <cell r="I593" t="str">
            <v>Вакансия</v>
          </cell>
        </row>
        <row r="594">
          <cell r="A594">
            <v>2439</v>
          </cell>
          <cell r="B594" t="str">
            <v>Стол-книжка Бодега темный 302/1400х750х800</v>
          </cell>
          <cell r="C594" t="str">
            <v>Вакансия</v>
          </cell>
          <cell r="D594" t="str">
            <v>СТОЛЫ ОБЕДЕННЫЕ</v>
          </cell>
          <cell r="E594" t="str">
            <v>FBS</v>
          </cell>
          <cell r="G594" t="str">
            <v>Бодега</v>
          </cell>
          <cell r="H594">
            <v>0</v>
          </cell>
          <cell r="I594" t="str">
            <v>Вакансия</v>
          </cell>
        </row>
        <row r="595">
          <cell r="A595">
            <v>2438</v>
          </cell>
          <cell r="B595" t="str">
            <v>Стол-книжка Дуб сонома 302/1400х750х800</v>
          </cell>
          <cell r="C595" t="str">
            <v>Вакансия</v>
          </cell>
          <cell r="D595" t="str">
            <v>СТОЛЫ ОБЕДЕННЫЕ</v>
          </cell>
          <cell r="E595" t="str">
            <v>FBS</v>
          </cell>
          <cell r="G595" t="str">
            <v>Дуб сонома</v>
          </cell>
          <cell r="H595">
            <v>0</v>
          </cell>
          <cell r="I595" t="str">
            <v>Вакансия</v>
          </cell>
        </row>
        <row r="596">
          <cell r="A596">
            <v>2994</v>
          </cell>
          <cell r="B596" t="str">
            <v>Комод Прага 3 ящика малый Белое тиснение 400х732х410</v>
          </cell>
          <cell r="C596" t="str">
            <v>Ратникова</v>
          </cell>
          <cell r="D596" t="str">
            <v>КОМОДЫ</v>
          </cell>
          <cell r="E596" t="str">
            <v>FBO</v>
          </cell>
          <cell r="F596" t="str">
            <v>Комод Прага 3 ящика малый 400х732х410</v>
          </cell>
          <cell r="G596" t="str">
            <v>Белое тиснение</v>
          </cell>
          <cell r="H596" t="str">
            <v>2520000004215</v>
          </cell>
          <cell r="I596" t="str">
            <v>Вакансия</v>
          </cell>
        </row>
        <row r="597">
          <cell r="A597">
            <v>412339</v>
          </cell>
          <cell r="B597" t="str">
            <v>Табурет "Тополь" белый крокодил, комплект 2шт.</v>
          </cell>
          <cell r="C597" t="str">
            <v>Вакансия</v>
          </cell>
          <cell r="D597" t="str">
            <v>ТАБУРЕТЫ</v>
          </cell>
          <cell r="E597" t="str">
            <v>FBS</v>
          </cell>
          <cell r="G597" t="str">
            <v>Белый</v>
          </cell>
          <cell r="H597" t="str">
            <v>2520897922311</v>
          </cell>
          <cell r="I597" t="str">
            <v>Вакансия</v>
          </cell>
        </row>
        <row r="598">
          <cell r="A598">
            <v>517102</v>
          </cell>
          <cell r="B598" t="str">
            <v>Стол обеденный Дуб апрель темный</v>
          </cell>
          <cell r="C598" t="str">
            <v>Вакансия</v>
          </cell>
          <cell r="D598" t="str">
            <v>СТОЛЫ ОБЕДЕННЫЕ</v>
          </cell>
          <cell r="E598" t="str">
            <v>FBS</v>
          </cell>
          <cell r="G598" t="str">
            <v>дуб апрель темн</v>
          </cell>
          <cell r="H598" t="str">
            <v>2521897952827</v>
          </cell>
          <cell r="I598" t="str">
            <v>Вакансия</v>
          </cell>
        </row>
        <row r="599">
          <cell r="A599">
            <v>412340</v>
          </cell>
          <cell r="B599" t="str">
            <v>Табурет "Тополь" шоколад, комплект 2шт.</v>
          </cell>
          <cell r="C599" t="str">
            <v>Вакансия</v>
          </cell>
          <cell r="D599" t="str">
            <v>ТАБУРЕТЫ</v>
          </cell>
          <cell r="E599" t="str">
            <v>FBS</v>
          </cell>
          <cell r="G599" t="str">
            <v>шоколад</v>
          </cell>
          <cell r="H599" t="str">
            <v>2520897922312</v>
          </cell>
          <cell r="I599" t="str">
            <v>Вакансия</v>
          </cell>
        </row>
        <row r="600">
          <cell r="A600">
            <v>595959</v>
          </cell>
          <cell r="B600" t="str">
            <v>Кухонный табурет найс чоко сид. 33*33</v>
          </cell>
          <cell r="C600" t="str">
            <v>Вакансия</v>
          </cell>
          <cell r="D600" t="str">
            <v>ТАБУРЕТЫ</v>
          </cell>
          <cell r="E600" t="str">
            <v>FBO</v>
          </cell>
          <cell r="G600" t="str">
            <v>ткань</v>
          </cell>
          <cell r="H600" t="str">
            <v>2521897952502</v>
          </cell>
          <cell r="I600" t="str">
            <v>Вакансия</v>
          </cell>
        </row>
        <row r="601">
          <cell r="A601">
            <v>595960</v>
          </cell>
          <cell r="B601" t="str">
            <v>Кухонный табурет найс беж/сид. 33*33</v>
          </cell>
          <cell r="C601" t="str">
            <v>Вакансия</v>
          </cell>
          <cell r="D601" t="str">
            <v>ТАБУРЕТЫ</v>
          </cell>
          <cell r="E601" t="str">
            <v>FBO</v>
          </cell>
          <cell r="F601" t="str">
            <v>Кухонный табурет найс 33*33</v>
          </cell>
          <cell r="G601" t="str">
            <v>ткань</v>
          </cell>
          <cell r="H601" t="str">
            <v>2521897952503</v>
          </cell>
          <cell r="I601" t="str">
            <v>Вакансия</v>
          </cell>
        </row>
        <row r="602">
          <cell r="A602">
            <v>595962</v>
          </cell>
          <cell r="B602" t="str">
            <v>Кухонный табурет найс блек /сид. 33*33</v>
          </cell>
          <cell r="C602" t="str">
            <v>Вакансия</v>
          </cell>
          <cell r="D602" t="str">
            <v>ТАБУРЕТЫ</v>
          </cell>
          <cell r="E602" t="str">
            <v>FBO</v>
          </cell>
          <cell r="F602" t="str">
            <v>Кухонный табурет найс 33*33</v>
          </cell>
          <cell r="G602" t="str">
            <v>ткань</v>
          </cell>
          <cell r="H602" t="str">
            <v>2521897952505</v>
          </cell>
          <cell r="I602" t="str">
            <v>Вакансия</v>
          </cell>
        </row>
        <row r="603">
          <cell r="A603">
            <v>26981</v>
          </cell>
          <cell r="B603" t="str">
            <v>Стол-книжка Белое тиснение</v>
          </cell>
          <cell r="C603" t="str">
            <v>Леонтьева</v>
          </cell>
          <cell r="D603" t="str">
            <v>СТОЛЫ ОБЕДЕННЫЕ</v>
          </cell>
          <cell r="E603" t="str">
            <v>FBO</v>
          </cell>
          <cell r="F603" t="str">
            <v xml:space="preserve">Стол-книжка </v>
          </cell>
          <cell r="G603" t="str">
            <v>Белое тиснение</v>
          </cell>
          <cell r="H603" t="str">
            <v>2521897952923</v>
          </cell>
          <cell r="I603" t="str">
            <v>Вакансия</v>
          </cell>
        </row>
        <row r="604">
          <cell r="A604">
            <v>26982</v>
          </cell>
          <cell r="B604" t="str">
            <v>Стол-книжка Дуб сонома</v>
          </cell>
          <cell r="C604" t="str">
            <v>Леонтьева</v>
          </cell>
          <cell r="D604" t="str">
            <v>СТОЛЫ ОБЕДЕННЫЕ</v>
          </cell>
          <cell r="E604" t="str">
            <v>FBO</v>
          </cell>
          <cell r="F604" t="str">
            <v xml:space="preserve">Стол-книжка </v>
          </cell>
          <cell r="G604" t="str">
            <v>Дуб сонома</v>
          </cell>
          <cell r="H604" t="str">
            <v>2521897952924</v>
          </cell>
          <cell r="I604" t="str">
            <v>Вакансия</v>
          </cell>
        </row>
        <row r="605">
          <cell r="A605">
            <v>26984</v>
          </cell>
          <cell r="B605" t="str">
            <v>Стол-книжка дуб сонома/белый</v>
          </cell>
          <cell r="C605" t="str">
            <v>Леонтьева</v>
          </cell>
          <cell r="D605" t="str">
            <v>СТОЛЫ ОБЕДЕННЫЕ</v>
          </cell>
          <cell r="E605" t="str">
            <v>FBO</v>
          </cell>
          <cell r="F605" t="str">
            <v xml:space="preserve">Стол-книжка </v>
          </cell>
          <cell r="G605" t="str">
            <v>Дуб сонома</v>
          </cell>
          <cell r="H605" t="str">
            <v>2521897952954</v>
          </cell>
          <cell r="I605" t="str">
            <v>Вакансия</v>
          </cell>
        </row>
        <row r="606">
          <cell r="A606">
            <v>26983</v>
          </cell>
          <cell r="B606" t="str">
            <v>Стол-книжка Венге</v>
          </cell>
          <cell r="C606" t="str">
            <v>Леонтьева</v>
          </cell>
          <cell r="D606" t="str">
            <v>СТОЛЫ ОБЕДЕННЫЕ</v>
          </cell>
          <cell r="E606" t="str">
            <v>FBO</v>
          </cell>
          <cell r="F606" t="str">
            <v xml:space="preserve">Стол-книжка </v>
          </cell>
          <cell r="G606" t="str">
            <v>Венге</v>
          </cell>
          <cell r="H606" t="str">
            <v>2521897952925</v>
          </cell>
          <cell r="I606" t="str">
            <v>Вакансия</v>
          </cell>
        </row>
        <row r="607">
          <cell r="A607">
            <v>4060</v>
          </cell>
          <cell r="B607" t="str">
            <v>Комод Телави Белое тиснение 672х756х346</v>
          </cell>
          <cell r="C607" t="str">
            <v>Ратникова</v>
          </cell>
          <cell r="D607" t="str">
            <v>КОМОДЫ</v>
          </cell>
          <cell r="E607" t="str">
            <v>FBO</v>
          </cell>
          <cell r="F607" t="str">
            <v>Комод Телави 672х756х346</v>
          </cell>
          <cell r="G607" t="str">
            <v>Белое тиснение</v>
          </cell>
          <cell r="H607" t="str">
            <v>2521897953011</v>
          </cell>
          <cell r="I607" t="str">
            <v>Вакансия</v>
          </cell>
        </row>
        <row r="608">
          <cell r="A608">
            <v>412319</v>
          </cell>
          <cell r="B608" t="str">
            <v>Стул "Кактус" бежевый, комплект 2 шт.</v>
          </cell>
          <cell r="C608" t="str">
            <v>Вакансия</v>
          </cell>
          <cell r="D608" t="str">
            <v>СТУЛЬЯ</v>
          </cell>
          <cell r="E608" t="str">
            <v xml:space="preserve">СКГТ </v>
          </cell>
          <cell r="G608" t="str">
            <v>Бежевый</v>
          </cell>
          <cell r="H608" t="str">
            <v>2520897922291</v>
          </cell>
          <cell r="I608" t="str">
            <v>Вакансия</v>
          </cell>
        </row>
        <row r="609">
          <cell r="A609">
            <v>412320</v>
          </cell>
          <cell r="B609" t="str">
            <v>Стул "Кактус" черный/красный, комплект 2шт.</v>
          </cell>
          <cell r="C609" t="str">
            <v>Вакансия</v>
          </cell>
          <cell r="D609" t="str">
            <v>СТУЛЬЯ</v>
          </cell>
          <cell r="E609" t="str">
            <v xml:space="preserve">СКГТ </v>
          </cell>
          <cell r="G609" t="str">
            <v>красный</v>
          </cell>
          <cell r="H609" t="str">
            <v>2520897922292</v>
          </cell>
          <cell r="I609" t="str">
            <v>Вакансия</v>
          </cell>
        </row>
        <row r="610">
          <cell r="A610">
            <v>412341</v>
          </cell>
          <cell r="B610" t="str">
            <v>Стул "Кактус" шоколад, комплект 2 шт.</v>
          </cell>
          <cell r="C610" t="str">
            <v>Вакансия</v>
          </cell>
          <cell r="D610" t="str">
            <v>СТУЛЬЯ</v>
          </cell>
          <cell r="E610" t="str">
            <v xml:space="preserve">СКГТ </v>
          </cell>
          <cell r="G610" t="str">
            <v>шоколад</v>
          </cell>
          <cell r="H610" t="str">
            <v>2520897922313</v>
          </cell>
          <cell r="I610" t="str">
            <v>Вакансия</v>
          </cell>
        </row>
        <row r="611">
          <cell r="A611">
            <v>412342</v>
          </cell>
          <cell r="B611" t="str">
            <v>Стул "Кактус" шоколад/бежевый, комплект 2шт.</v>
          </cell>
          <cell r="C611" t="str">
            <v>Вакансия</v>
          </cell>
          <cell r="D611" t="str">
            <v>СТУЛЬЯ</v>
          </cell>
          <cell r="E611" t="str">
            <v xml:space="preserve">СКГТ </v>
          </cell>
          <cell r="G611" t="str">
            <v>Бежевый</v>
          </cell>
          <cell r="H611" t="str">
            <v>2520897922314</v>
          </cell>
          <cell r="I611" t="str">
            <v>Вакансия</v>
          </cell>
        </row>
        <row r="612">
          <cell r="A612">
            <v>59568</v>
          </cell>
          <cell r="B612" t="str">
            <v>Стул "Малибу" каркас хром бежевый, комплект 2шт.</v>
          </cell>
          <cell r="C612" t="str">
            <v>Мисесина</v>
          </cell>
          <cell r="D612" t="str">
            <v>СТУЛЬЯ</v>
          </cell>
          <cell r="E612" t="str">
            <v xml:space="preserve">СКГТ </v>
          </cell>
          <cell r="F612" t="str">
            <v>Стул "Малибу" комплект 2шт.</v>
          </cell>
          <cell r="G612" t="str">
            <v>ткань</v>
          </cell>
          <cell r="H612" t="str">
            <v>2520897927273</v>
          </cell>
          <cell r="I612" t="str">
            <v>Вакансия</v>
          </cell>
        </row>
        <row r="613">
          <cell r="A613">
            <v>59567</v>
          </cell>
          <cell r="B613" t="str">
            <v>Стул "Малибу" каркас хром белый, комплект 2шт.</v>
          </cell>
          <cell r="C613" t="str">
            <v>Мисесина</v>
          </cell>
          <cell r="D613" t="str">
            <v>СТУЛЬЯ</v>
          </cell>
          <cell r="E613" t="str">
            <v xml:space="preserve">СКГТ </v>
          </cell>
          <cell r="F613" t="str">
            <v>Стул "Малибу" комплект 2шт.</v>
          </cell>
          <cell r="G613" t="str">
            <v>Белый</v>
          </cell>
          <cell r="H613" t="str">
            <v>2520897927272</v>
          </cell>
          <cell r="I613" t="str">
            <v>Вакансия</v>
          </cell>
        </row>
        <row r="614">
          <cell r="A614">
            <v>59569</v>
          </cell>
          <cell r="B614" t="str">
            <v>Стул "Малибу" каркас хром светло-серый, комплект 2шт.</v>
          </cell>
          <cell r="C614" t="str">
            <v>Мисесина</v>
          </cell>
          <cell r="D614" t="str">
            <v>СТУЛЬЯ</v>
          </cell>
          <cell r="E614" t="str">
            <v xml:space="preserve">СКГТ </v>
          </cell>
          <cell r="F614" t="str">
            <v>Стул "Малибу" комплект 2шт.</v>
          </cell>
          <cell r="G614" t="str">
            <v>серый</v>
          </cell>
          <cell r="H614" t="str">
            <v>2520897927271</v>
          </cell>
          <cell r="I614" t="str">
            <v>Вакансия</v>
          </cell>
        </row>
        <row r="615">
          <cell r="A615">
            <v>3157</v>
          </cell>
          <cell r="B615" t="str">
            <v>Стеллаж тумба под ТВ Zett Орех Лион/Белое тиснен.</v>
          </cell>
          <cell r="C615" t="str">
            <v>Мисесина</v>
          </cell>
          <cell r="D615" t="str">
            <v>ТУМБЫ под ТВ</v>
          </cell>
          <cell r="E615" t="str">
            <v>FBS</v>
          </cell>
          <cell r="F615" t="str">
            <v>Стеллаж тумба под ТВ Zett 1100х1112(h)х280</v>
          </cell>
          <cell r="G615" t="str">
            <v>дуб крафт золотой/Белое тиснение</v>
          </cell>
          <cell r="H615" t="str">
            <v>2521897952399</v>
          </cell>
          <cell r="I615" t="str">
            <v>Вакансия</v>
          </cell>
        </row>
        <row r="616">
          <cell r="A616">
            <v>412322</v>
          </cell>
          <cell r="B616" t="str">
            <v>Стул "Пион" бежевый, комплект 2шт.</v>
          </cell>
          <cell r="C616" t="str">
            <v>Вакансия</v>
          </cell>
          <cell r="D616" t="str">
            <v>СТУЛЬЯ</v>
          </cell>
          <cell r="E616" t="str">
            <v xml:space="preserve">СКГТ </v>
          </cell>
          <cell r="G616" t="str">
            <v>Бежевый</v>
          </cell>
          <cell r="H616" t="str">
            <v>2520897922294</v>
          </cell>
          <cell r="I616" t="str">
            <v>Вакансия</v>
          </cell>
        </row>
        <row r="617">
          <cell r="A617">
            <v>3188</v>
          </cell>
          <cell r="B617" t="str">
            <v>Тумба под ТВ Blues Белое тиснение/Антрацит 1074х668х304</v>
          </cell>
          <cell r="C617" t="str">
            <v>Вакансия</v>
          </cell>
          <cell r="D617" t="str">
            <v>ТУМБЫ под ТВ</v>
          </cell>
          <cell r="E617" t="str">
            <v>FBS</v>
          </cell>
          <cell r="G617" t="str">
            <v>комбин</v>
          </cell>
          <cell r="H617" t="str">
            <v>2521897952485</v>
          </cell>
          <cell r="I617" t="str">
            <v>Вакансия</v>
          </cell>
        </row>
        <row r="618">
          <cell r="A618">
            <v>3160</v>
          </cell>
          <cell r="B618" t="str">
            <v>Тумба под ТВ Jazz Белое тиснение/Антрацит 1046х408х396</v>
          </cell>
          <cell r="C618" t="str">
            <v>Вакансия</v>
          </cell>
          <cell r="D618" t="str">
            <v>ТУМБЫ под ТВ</v>
          </cell>
          <cell r="E618" t="str">
            <v>FBS</v>
          </cell>
          <cell r="G618" t="str">
            <v>комбин</v>
          </cell>
          <cell r="H618" t="str">
            <v>2521897952478</v>
          </cell>
          <cell r="I618" t="str">
            <v>Вакансия</v>
          </cell>
        </row>
        <row r="619">
          <cell r="A619">
            <v>3172</v>
          </cell>
          <cell r="B619" t="str">
            <v>Тумба Universal Белое тиснение 978х361х368</v>
          </cell>
          <cell r="C619" t="str">
            <v>Вакансия</v>
          </cell>
          <cell r="D619" t="str">
            <v>ТУМБЫ ПРИКРОВАТНЫЕ</v>
          </cell>
          <cell r="E619" t="str">
            <v>FBS</v>
          </cell>
          <cell r="G619" t="str">
            <v>Белое тиснение</v>
          </cell>
          <cell r="H619" t="str">
            <v>2521897952493</v>
          </cell>
          <cell r="I619" t="str">
            <v>Вакансия</v>
          </cell>
        </row>
        <row r="620">
          <cell r="A620">
            <v>412326</v>
          </cell>
          <cell r="B620" t="str">
            <v>Стул "Ромашка" бежевый, комплект 2шт.</v>
          </cell>
          <cell r="C620" t="str">
            <v>Вакансия</v>
          </cell>
          <cell r="D620" t="str">
            <v>СТУЛЬЯ</v>
          </cell>
          <cell r="E620" t="str">
            <v xml:space="preserve">СКГТ </v>
          </cell>
          <cell r="G620" t="str">
            <v>Бежевый</v>
          </cell>
          <cell r="H620" t="str">
            <v>2520897922298</v>
          </cell>
          <cell r="I620" t="str">
            <v>Вакансия</v>
          </cell>
        </row>
        <row r="621">
          <cell r="A621">
            <v>412327</v>
          </cell>
          <cell r="B621" t="str">
            <v>Стул "Ромашка" белый крокодил, комплект 2шт.</v>
          </cell>
          <cell r="C621" t="str">
            <v>Вакансия</v>
          </cell>
          <cell r="D621" t="str">
            <v>СТУЛЬЯ</v>
          </cell>
          <cell r="E621" t="str">
            <v xml:space="preserve">СКГТ </v>
          </cell>
          <cell r="G621" t="str">
            <v>Белый</v>
          </cell>
          <cell r="H621">
            <v>0</v>
          </cell>
          <cell r="I621" t="str">
            <v>Вакансия</v>
          </cell>
        </row>
        <row r="622">
          <cell r="A622">
            <v>412328</v>
          </cell>
          <cell r="B622" t="str">
            <v>Стул "Ромашка" шоколад, комплект 2шт.</v>
          </cell>
          <cell r="C622" t="str">
            <v>Вакансия</v>
          </cell>
          <cell r="D622" t="str">
            <v>СТУЛЬЯ</v>
          </cell>
          <cell r="E622" t="str">
            <v xml:space="preserve">СКГТ </v>
          </cell>
          <cell r="G622" t="str">
            <v>шоколад</v>
          </cell>
          <cell r="H622" t="str">
            <v>2520897922300</v>
          </cell>
          <cell r="I622" t="str">
            <v>Вакансия</v>
          </cell>
        </row>
        <row r="623">
          <cell r="A623">
            <v>412329</v>
          </cell>
          <cell r="B623" t="str">
            <v>Стул "Фиалка" бежевый крокодил, комплект 2шт.</v>
          </cell>
          <cell r="C623" t="str">
            <v>Вакансия</v>
          </cell>
          <cell r="D623" t="str">
            <v>СТУЛЬЯ</v>
          </cell>
          <cell r="E623" t="str">
            <v xml:space="preserve">СКГТ </v>
          </cell>
          <cell r="G623" t="str">
            <v>Бежевый</v>
          </cell>
          <cell r="H623" t="str">
            <v>2520897922301</v>
          </cell>
          <cell r="I623" t="str">
            <v>Вакансия</v>
          </cell>
        </row>
        <row r="624">
          <cell r="A624">
            <v>412330</v>
          </cell>
          <cell r="B624" t="str">
            <v>Стул "Фиалка" бежевый, комплект 2шт.</v>
          </cell>
          <cell r="C624" t="str">
            <v>Вакансия</v>
          </cell>
          <cell r="D624" t="str">
            <v>СТУЛЬЯ</v>
          </cell>
          <cell r="E624" t="str">
            <v xml:space="preserve">СКГТ </v>
          </cell>
          <cell r="G624" t="str">
            <v>Бежевый</v>
          </cell>
          <cell r="H624">
            <v>0</v>
          </cell>
          <cell r="I624" t="str">
            <v>Вакансия</v>
          </cell>
        </row>
        <row r="625">
          <cell r="A625">
            <v>412331</v>
          </cell>
          <cell r="B625" t="str">
            <v>Стул "Фиалка" белый крокодил, комплект 2шт.</v>
          </cell>
          <cell r="C625" t="str">
            <v>Вакансия</v>
          </cell>
          <cell r="D625" t="str">
            <v>СТУЛЬЯ</v>
          </cell>
          <cell r="E625" t="str">
            <v xml:space="preserve">СКГТ </v>
          </cell>
          <cell r="G625" t="str">
            <v>Белый</v>
          </cell>
          <cell r="H625">
            <v>0</v>
          </cell>
          <cell r="I625" t="str">
            <v>Вакансия</v>
          </cell>
        </row>
        <row r="626">
          <cell r="A626" t="str">
            <v>MK00011</v>
          </cell>
          <cell r="B626" t="str">
            <v>Тумба под ТВ Frame ЛДСП Дуб Вотан, черн. Металл. 1100х420х290</v>
          </cell>
          <cell r="C626" t="str">
            <v>Мисесина</v>
          </cell>
          <cell r="D626" t="str">
            <v>ТУМБЫ под ТВ</v>
          </cell>
          <cell r="E626" t="str">
            <v>FBS</v>
          </cell>
          <cell r="F626" t="str">
            <v>Тумба под ТВ Frame 1100х420х290</v>
          </cell>
          <cell r="G626" t="str">
            <v>ЛДСП Дуб Вотан, Черн. металл.</v>
          </cell>
          <cell r="H626" t="str">
            <v>2521897952614</v>
          </cell>
          <cell r="I626" t="str">
            <v>Вакансия</v>
          </cell>
        </row>
        <row r="627">
          <cell r="A627">
            <v>10268</v>
          </cell>
          <cell r="B627" t="str">
            <v>Стул береза</v>
          </cell>
          <cell r="C627" t="str">
            <v>Вакансия</v>
          </cell>
          <cell r="D627" t="str">
            <v>СТУЛЬЯ</v>
          </cell>
          <cell r="E627" t="str">
            <v>FBO</v>
          </cell>
          <cell r="G627">
            <v>0</v>
          </cell>
          <cell r="H627" t="str">
            <v>2520000002139</v>
          </cell>
          <cell r="I627" t="str">
            <v>Вакансия</v>
          </cell>
        </row>
        <row r="628">
          <cell r="A628">
            <v>412284</v>
          </cell>
          <cell r="B628" t="str">
            <v>Стул Брусто Siesta grey,опора редуциров.,серая</v>
          </cell>
          <cell r="C628" t="str">
            <v>Вакансия</v>
          </cell>
          <cell r="D628" t="str">
            <v>СТУЛЬЯ</v>
          </cell>
          <cell r="E628" t="str">
            <v>FBS</v>
          </cell>
          <cell r="G628">
            <v>0</v>
          </cell>
          <cell r="H628" t="str">
            <v>2520000006129</v>
          </cell>
          <cell r="I628" t="str">
            <v>Вакансия</v>
          </cell>
        </row>
        <row r="629">
          <cell r="A629">
            <v>112284</v>
          </cell>
          <cell r="B629" t="str">
            <v>Стул Брусто Velutto 01,опора редуциров.,белая</v>
          </cell>
          <cell r="C629" t="str">
            <v>Вакансия</v>
          </cell>
          <cell r="D629" t="str">
            <v>СТУЛЬЯ</v>
          </cell>
          <cell r="E629" t="str">
            <v>FBS</v>
          </cell>
          <cell r="G629">
            <v>0</v>
          </cell>
          <cell r="H629" t="str">
            <v>2520000006126</v>
          </cell>
          <cell r="I629" t="str">
            <v>Вакансия</v>
          </cell>
        </row>
        <row r="630">
          <cell r="A630">
            <v>212284</v>
          </cell>
          <cell r="B630" t="str">
            <v>Стул Брусто Velutto 24,опора редуциров.,черная</v>
          </cell>
          <cell r="C630" t="str">
            <v>Вакансия</v>
          </cell>
          <cell r="D630" t="str">
            <v>СТУЛЬЯ</v>
          </cell>
          <cell r="E630" t="str">
            <v>FBS</v>
          </cell>
          <cell r="G630">
            <v>0</v>
          </cell>
          <cell r="H630" t="str">
            <v>2520000006127</v>
          </cell>
          <cell r="I630" t="str">
            <v>Вакансия</v>
          </cell>
        </row>
        <row r="631">
          <cell r="A631">
            <v>9258</v>
          </cell>
          <cell r="B631" t="str">
            <v>Стул Милано Velutto,04 опора белая</v>
          </cell>
          <cell r="C631" t="str">
            <v>Вакансия</v>
          </cell>
          <cell r="D631" t="str">
            <v>СТУЛЬЯ</v>
          </cell>
          <cell r="E631" t="str">
            <v xml:space="preserve">СКГТ </v>
          </cell>
          <cell r="G631">
            <v>0</v>
          </cell>
          <cell r="H631">
            <v>0</v>
          </cell>
          <cell r="I631" t="str">
            <v>Вакансия</v>
          </cell>
        </row>
        <row r="632">
          <cell r="A632">
            <v>412281</v>
          </cell>
          <cell r="B632" t="str">
            <v>Стул Найс Polo cream ,опора редуциров.,бежевая</v>
          </cell>
          <cell r="C632" t="str">
            <v>Вакансия</v>
          </cell>
          <cell r="D632" t="str">
            <v>СТУЛЬЯ</v>
          </cell>
          <cell r="E632" t="str">
            <v>FBS</v>
          </cell>
          <cell r="G632" t="str">
            <v>Бежевый</v>
          </cell>
          <cell r="H632" t="str">
            <v>2520000006125</v>
          </cell>
          <cell r="I632" t="str">
            <v>Вакансия</v>
          </cell>
        </row>
        <row r="633">
          <cell r="A633" t="str">
            <v>MK1580101</v>
          </cell>
          <cell r="B633" t="str">
            <v>Тумба под ТВ Tokyo с дверками ЛДСП Дуб Вотан, Черн. металл</v>
          </cell>
          <cell r="C633" t="str">
            <v>Мисесина</v>
          </cell>
          <cell r="D633" t="str">
            <v>ТУМБЫ под ТВ</v>
          </cell>
          <cell r="E633" t="str">
            <v>СКГТ (ОЗОН)</v>
          </cell>
          <cell r="F633" t="str">
            <v>Тумба под ТВ Tokyo с дверками</v>
          </cell>
          <cell r="G633" t="str">
            <v>ЛДСП Дуб Вотан, Черн. металл.</v>
          </cell>
          <cell r="H633" t="str">
            <v>2521897952905</v>
          </cell>
          <cell r="I633" t="str">
            <v>Вакансия</v>
          </cell>
        </row>
        <row r="634">
          <cell r="A634">
            <v>312281</v>
          </cell>
          <cell r="B634" t="str">
            <v>Стул Найс Замша 001-11 ,опора редуциров.,серая</v>
          </cell>
          <cell r="C634" t="str">
            <v>Вакансия</v>
          </cell>
          <cell r="D634" t="str">
            <v>СТУЛЬЯ</v>
          </cell>
          <cell r="E634" t="str">
            <v>FBS</v>
          </cell>
          <cell r="G634">
            <v>0</v>
          </cell>
          <cell r="H634" t="str">
            <v>2520000006124</v>
          </cell>
          <cell r="I634" t="str">
            <v>Вакансия</v>
          </cell>
        </row>
        <row r="635">
          <cell r="A635">
            <v>60337</v>
          </cell>
          <cell r="B635" t="str">
            <v>Стул мягкий Аника ноги черные CF 041-16, комплет 2шт.</v>
          </cell>
          <cell r="C635" t="str">
            <v>Вакансия</v>
          </cell>
          <cell r="D635" t="str">
            <v>СТУЛЬЯ</v>
          </cell>
          <cell r="E635" t="str">
            <v>FBO</v>
          </cell>
          <cell r="G635">
            <v>0</v>
          </cell>
          <cell r="H635" t="str">
            <v>2521897952381</v>
          </cell>
          <cell r="I635" t="str">
            <v>Вакансия</v>
          </cell>
        </row>
        <row r="636">
          <cell r="A636">
            <v>59795</v>
          </cell>
          <cell r="B636" t="str">
            <v>Стул мягкий Аника ноги белые, бирюзовый CF 041-11, комплет 2шт.</v>
          </cell>
          <cell r="C636" t="str">
            <v>Вакансия</v>
          </cell>
          <cell r="D636" t="str">
            <v>СТУЛЬЯ</v>
          </cell>
          <cell r="E636" t="str">
            <v>FBO</v>
          </cell>
          <cell r="G636">
            <v>0</v>
          </cell>
          <cell r="H636" t="str">
            <v>2521897952397</v>
          </cell>
          <cell r="I636" t="str">
            <v>Вакансия</v>
          </cell>
        </row>
        <row r="637">
          <cell r="A637">
            <v>60985</v>
          </cell>
          <cell r="B637" t="str">
            <v>Стул мягкий Аника ноги белые, светло-бежеый, комплет 2шт.</v>
          </cell>
          <cell r="C637" t="str">
            <v>Вакансия</v>
          </cell>
          <cell r="D637" t="str">
            <v>СТУЛЬЯ</v>
          </cell>
          <cell r="E637" t="str">
            <v>FBO</v>
          </cell>
          <cell r="G637" t="str">
            <v>Бежевый</v>
          </cell>
          <cell r="H637" t="str">
            <v>2521897952398</v>
          </cell>
          <cell r="I637" t="str">
            <v>Вакансия</v>
          </cell>
        </row>
        <row r="638">
          <cell r="A638">
            <v>512284</v>
          </cell>
          <cell r="B638" t="str">
            <v>Стул Брусто Парма 03,опора редуциров., ваниль моар (комплект 2шт.)</v>
          </cell>
          <cell r="C638" t="str">
            <v>Вакансия</v>
          </cell>
          <cell r="D638" t="str">
            <v>СТУЛЬЯ</v>
          </cell>
          <cell r="E638" t="str">
            <v>FBS</v>
          </cell>
          <cell r="G638">
            <v>0</v>
          </cell>
          <cell r="H638">
            <v>0</v>
          </cell>
          <cell r="I638" t="str">
            <v>Вакансия</v>
          </cell>
        </row>
        <row r="639">
          <cell r="A639">
            <v>612281</v>
          </cell>
          <cell r="B639" t="str">
            <v>Стул Найс Замша 001-11 ,опора редуциров., белый моар (комплект 2шт.)</v>
          </cell>
          <cell r="C639" t="str">
            <v>Вакансия</v>
          </cell>
          <cell r="D639" t="str">
            <v>СТУЛЬЯ</v>
          </cell>
          <cell r="E639" t="str">
            <v>FBS</v>
          </cell>
          <cell r="G639" t="str">
            <v>Белый</v>
          </cell>
          <cell r="H639" t="str">
            <v>2521897952377</v>
          </cell>
          <cell r="I639" t="str">
            <v>Вакансия</v>
          </cell>
        </row>
        <row r="640">
          <cell r="A640">
            <v>59561</v>
          </cell>
          <cell r="B640" t="str">
            <v>Стул Верона ножки черные, красный CF 041-06, комплект 2шт.</v>
          </cell>
          <cell r="C640" t="str">
            <v>Вакансия</v>
          </cell>
          <cell r="D640" t="str">
            <v>СТУЛЬЯ</v>
          </cell>
          <cell r="E640" t="str">
            <v>FBS</v>
          </cell>
          <cell r="G640">
            <v>0</v>
          </cell>
          <cell r="H640" t="str">
            <v>2521897952423</v>
          </cell>
          <cell r="I640" t="str">
            <v>Вакансия</v>
          </cell>
        </row>
        <row r="641">
          <cell r="A641">
            <v>59590</v>
          </cell>
          <cell r="B641" t="str">
            <v>Стул София ножки черные, бежевый CF 041-04, комплект 2шт.</v>
          </cell>
          <cell r="C641" t="str">
            <v>Вакансия</v>
          </cell>
          <cell r="D641" t="str">
            <v>СТУЛЬЯ</v>
          </cell>
          <cell r="E641" t="str">
            <v xml:space="preserve">СКГТ </v>
          </cell>
          <cell r="G641" t="str">
            <v>Бежевый</v>
          </cell>
          <cell r="H641" t="str">
            <v>2521897952432</v>
          </cell>
          <cell r="I641" t="str">
            <v>Вакансия</v>
          </cell>
        </row>
        <row r="642">
          <cell r="A642">
            <v>2977</v>
          </cell>
          <cell r="B642" t="str">
            <v>Тумба Jazz c ящиком Венге 406х399х342</v>
          </cell>
          <cell r="C642" t="str">
            <v>Вакансия</v>
          </cell>
          <cell r="D642" t="str">
            <v>ТУМБЫ ПРИКРОВАТНЫЕ</v>
          </cell>
          <cell r="E642" t="str">
            <v>FBO</v>
          </cell>
          <cell r="F642" t="str">
            <v>Тумба Jazz c ящиком 406х399х342</v>
          </cell>
          <cell r="G642" t="str">
            <v>Венге</v>
          </cell>
          <cell r="H642" t="str">
            <v>2520000001505</v>
          </cell>
          <cell r="I642" t="str">
            <v>Вакансия</v>
          </cell>
        </row>
        <row r="643">
          <cell r="A643">
            <v>59592</v>
          </cell>
          <cell r="B643" t="str">
            <v>Стул Софт ножки черные, серый  CF 041-16, комплект 2шт.</v>
          </cell>
          <cell r="C643" t="str">
            <v>Вакансия</v>
          </cell>
          <cell r="D643" t="str">
            <v>СТУЛЬЯ</v>
          </cell>
          <cell r="E643" t="str">
            <v xml:space="preserve">СКГТ </v>
          </cell>
          <cell r="G643" t="str">
            <v>серый</v>
          </cell>
          <cell r="H643">
            <v>0</v>
          </cell>
          <cell r="I643" t="str">
            <v>Вакансия</v>
          </cell>
        </row>
        <row r="644">
          <cell r="A644">
            <v>3038</v>
          </cell>
          <cell r="B644" t="str">
            <v>Тумба белое тиснение Плюс Ящик 426х590х448 (Тумба с дверкой Плюс)</v>
          </cell>
          <cell r="C644" t="str">
            <v>Вакансия</v>
          </cell>
          <cell r="D644" t="str">
            <v>ТУМБЫ ПРИКРОВАТНЫЕ</v>
          </cell>
          <cell r="E644" t="str">
            <v>FBO</v>
          </cell>
          <cell r="F644" t="str">
            <v>Тумба с дверкой Плюс</v>
          </cell>
          <cell r="G644" t="str">
            <v>Белое тиснение</v>
          </cell>
          <cell r="H644" t="str">
            <v>2520000002415</v>
          </cell>
          <cell r="I644" t="str">
            <v>Вакансия</v>
          </cell>
        </row>
        <row r="645">
          <cell r="A645">
            <v>3037</v>
          </cell>
          <cell r="B645" t="str">
            <v>Тумба Николь Лайт Плюс прикроватн. Белое тиснение</v>
          </cell>
          <cell r="C645" t="str">
            <v>Вакансия</v>
          </cell>
          <cell r="D645" t="str">
            <v>ТУМБЫ ПРИКРОВАТНЫЕ</v>
          </cell>
          <cell r="E645" t="str">
            <v>FBO</v>
          </cell>
          <cell r="G645" t="str">
            <v>Белое тиснение</v>
          </cell>
          <cell r="H645" t="str">
            <v>2520000002268</v>
          </cell>
          <cell r="I645" t="str">
            <v>Вакансия</v>
          </cell>
        </row>
        <row r="646">
          <cell r="A646">
            <v>59596</v>
          </cell>
          <cell r="B646" t="str">
            <v>Стул Коста ножки черные, морская волна CF 041-12, комплект 2шт.</v>
          </cell>
          <cell r="C646" t="str">
            <v>Вакансия</v>
          </cell>
          <cell r="D646" t="str">
            <v>СТУЛЬЯ</v>
          </cell>
          <cell r="E646" t="str">
            <v>FBS</v>
          </cell>
          <cell r="G646">
            <v>0</v>
          </cell>
          <cell r="H646" t="str">
            <v>2521897952427</v>
          </cell>
          <cell r="I646" t="str">
            <v>Вакансия</v>
          </cell>
        </row>
        <row r="647">
          <cell r="A647">
            <v>59598</v>
          </cell>
          <cell r="B647" t="str">
            <v>Стул Дуглас ножки черные, черный CF 041-20, комплект 2шт.</v>
          </cell>
          <cell r="C647" t="str">
            <v>Вакансия</v>
          </cell>
          <cell r="D647" t="str">
            <v>СТУЛЬЯ</v>
          </cell>
          <cell r="E647" t="str">
            <v>FBS</v>
          </cell>
          <cell r="G647" t="str">
            <v>ткань</v>
          </cell>
          <cell r="H647">
            <v>0</v>
          </cell>
          <cell r="I647" t="str">
            <v>Вакансия</v>
          </cell>
        </row>
        <row r="648">
          <cell r="A648">
            <v>59599</v>
          </cell>
          <cell r="B648" t="str">
            <v>Стул Дуглас ножки черные, св. серый CF 041-15, комплект 2шт.</v>
          </cell>
          <cell r="C648" t="str">
            <v>Вакансия</v>
          </cell>
          <cell r="D648" t="str">
            <v>СТУЛЬЯ</v>
          </cell>
          <cell r="E648" t="str">
            <v>FBS</v>
          </cell>
          <cell r="G648" t="str">
            <v>серый</v>
          </cell>
          <cell r="H648">
            <v>0</v>
          </cell>
          <cell r="I648" t="str">
            <v>Вакансия</v>
          </cell>
        </row>
        <row r="649">
          <cell r="A649">
            <v>59600</v>
          </cell>
          <cell r="B649" t="str">
            <v>Стул Комфорт Серый</v>
          </cell>
          <cell r="C649" t="str">
            <v>Мисесина</v>
          </cell>
          <cell r="D649" t="str">
            <v>СТУЛЬЯ</v>
          </cell>
          <cell r="E649" t="str">
            <v>FBO</v>
          </cell>
          <cell r="F649" t="str">
            <v>Стул Комфорт</v>
          </cell>
          <cell r="G649" t="str">
            <v>ткань</v>
          </cell>
          <cell r="H649" t="str">
            <v>2521897952506</v>
          </cell>
          <cell r="I649" t="str">
            <v>Вакансия</v>
          </cell>
        </row>
        <row r="650">
          <cell r="A650">
            <v>59601</v>
          </cell>
          <cell r="B650" t="str">
            <v>Стул Комфорт Светло-серый</v>
          </cell>
          <cell r="C650" t="str">
            <v>Мисесина</v>
          </cell>
          <cell r="D650" t="str">
            <v>СТУЛЬЯ</v>
          </cell>
          <cell r="E650" t="str">
            <v>FBO</v>
          </cell>
          <cell r="F650" t="str">
            <v>Стул Комфорт</v>
          </cell>
          <cell r="G650" t="str">
            <v>ткань</v>
          </cell>
          <cell r="H650" t="str">
            <v>2521897952507</v>
          </cell>
          <cell r="I650" t="str">
            <v>Вакансия</v>
          </cell>
        </row>
        <row r="651">
          <cell r="A651">
            <v>59575</v>
          </cell>
          <cell r="B651" t="str">
            <v>Стул "Малибу" каркас хром, Шоколад CF041-19, Комп. 2 шт</v>
          </cell>
          <cell r="C651" t="str">
            <v>Вакансия</v>
          </cell>
          <cell r="D651" t="str">
            <v>СТУЛЬЯ</v>
          </cell>
          <cell r="E651" t="str">
            <v xml:space="preserve">СКГТ </v>
          </cell>
          <cell r="F651" t="str">
            <v>Стул "Малибу"</v>
          </cell>
          <cell r="G651" t="str">
            <v>ткань</v>
          </cell>
          <cell r="H651" t="str">
            <v>2521897952510</v>
          </cell>
          <cell r="I651" t="str">
            <v>Вакансия</v>
          </cell>
        </row>
        <row r="652">
          <cell r="A652" t="str">
            <v>MK00025</v>
          </cell>
          <cell r="B652" t="str">
            <v>Тумба Frame ЛДСП Дуб Вотан, Черн.металл 408х470х304</v>
          </cell>
          <cell r="C652" t="str">
            <v>Кошкарева</v>
          </cell>
          <cell r="D652" t="str">
            <v>ТУМБЫ ПРИКРОВАТНЫЕ</v>
          </cell>
          <cell r="E652" t="str">
            <v>FBO</v>
          </cell>
          <cell r="F652" t="str">
            <v>Тумба Frame  408х470х304</v>
          </cell>
          <cell r="G652" t="str">
            <v>ЛДСП Дуб Вотан, Черн. металл.</v>
          </cell>
          <cell r="H652" t="str">
            <v>2521897952610</v>
          </cell>
          <cell r="I652" t="str">
            <v>Вакансия</v>
          </cell>
        </row>
        <row r="653">
          <cell r="A653">
            <v>59574</v>
          </cell>
          <cell r="B653" t="str">
            <v>Стул "Малибу" каркас хром, Зеленый CF041-14, копмл. 2 шт</v>
          </cell>
          <cell r="C653" t="str">
            <v>Вакансия</v>
          </cell>
          <cell r="D653" t="str">
            <v>СТУЛЬЯ</v>
          </cell>
          <cell r="E653" t="str">
            <v xml:space="preserve">СКГТ </v>
          </cell>
          <cell r="G653" t="str">
            <v>ткань</v>
          </cell>
          <cell r="H653" t="str">
            <v>2521897952509</v>
          </cell>
          <cell r="I653" t="str">
            <v>Вакансия</v>
          </cell>
        </row>
        <row r="654">
          <cell r="A654">
            <v>110110</v>
          </cell>
          <cell r="B654" t="str">
            <v>Стул Форест белый</v>
          </cell>
          <cell r="C654" t="str">
            <v>Мисесина</v>
          </cell>
          <cell r="D654" t="str">
            <v>СТУЛЬЯ</v>
          </cell>
          <cell r="E654" t="str">
            <v>FBS</v>
          </cell>
          <cell r="F654" t="str">
            <v xml:space="preserve">Стул Форест </v>
          </cell>
          <cell r="G654" t="str">
            <v>Белое тиснение</v>
          </cell>
          <cell r="H654">
            <v>0</v>
          </cell>
          <cell r="I654" t="str">
            <v>Вакансия</v>
          </cell>
        </row>
        <row r="655">
          <cell r="A655">
            <v>110111</v>
          </cell>
          <cell r="B655" t="str">
            <v>Стул Форест коричневый</v>
          </cell>
          <cell r="C655" t="str">
            <v>Мисесина</v>
          </cell>
          <cell r="D655" t="str">
            <v>СТУЛЬЯ</v>
          </cell>
          <cell r="E655" t="str">
            <v>FBS</v>
          </cell>
          <cell r="F655" t="str">
            <v xml:space="preserve">Стул Форест </v>
          </cell>
          <cell r="G655" t="str">
            <v>ткань</v>
          </cell>
          <cell r="H655">
            <v>0</v>
          </cell>
          <cell r="I655" t="str">
            <v>Вакансия</v>
          </cell>
        </row>
        <row r="656">
          <cell r="A656">
            <v>59562</v>
          </cell>
          <cell r="B656" t="str">
            <v>Стул Верона бежевый V06</v>
          </cell>
          <cell r="C656" t="str">
            <v>Вакансия</v>
          </cell>
          <cell r="D656" t="str">
            <v>СТУЛЬЯ</v>
          </cell>
          <cell r="E656" t="str">
            <v>FBS</v>
          </cell>
          <cell r="G656" t="str">
            <v>ткань</v>
          </cell>
          <cell r="H656" t="str">
            <v>2521897952720</v>
          </cell>
          <cell r="I656" t="str">
            <v>Вакансия</v>
          </cell>
        </row>
        <row r="657">
          <cell r="A657">
            <v>60986</v>
          </cell>
          <cell r="B657" t="str">
            <v>Стул мягкий Аника бирюзовый V44</v>
          </cell>
          <cell r="C657" t="str">
            <v>Мисесина</v>
          </cell>
          <cell r="D657" t="str">
            <v>СТУЛЬЯ</v>
          </cell>
          <cell r="E657" t="str">
            <v>FBO</v>
          </cell>
          <cell r="F657" t="str">
            <v xml:space="preserve">Стул мягкий Аника </v>
          </cell>
          <cell r="G657" t="str">
            <v>ткань</v>
          </cell>
          <cell r="H657" t="str">
            <v>2521897952718</v>
          </cell>
          <cell r="I657" t="str">
            <v>Вакансия</v>
          </cell>
        </row>
        <row r="658">
          <cell r="A658">
            <v>60987</v>
          </cell>
          <cell r="B658" t="str">
            <v>Стул мягкий Аника серый V32</v>
          </cell>
          <cell r="C658" t="str">
            <v>Мисесина</v>
          </cell>
          <cell r="D658" t="str">
            <v>СТУЛЬЯ</v>
          </cell>
          <cell r="E658" t="str">
            <v>FBO</v>
          </cell>
          <cell r="F658" t="str">
            <v xml:space="preserve">Стул мягкий Аника </v>
          </cell>
          <cell r="G658" t="str">
            <v>ткань</v>
          </cell>
          <cell r="H658" t="str">
            <v>2521897952719</v>
          </cell>
          <cell r="I658" t="str">
            <v>Вакансия</v>
          </cell>
        </row>
        <row r="659">
          <cell r="A659">
            <v>60988</v>
          </cell>
          <cell r="B659" t="str">
            <v>Стул мягкий Аника светло-бежевый V17</v>
          </cell>
          <cell r="C659" t="str">
            <v>Мисесина</v>
          </cell>
          <cell r="D659" t="str">
            <v>СТУЛЬЯ</v>
          </cell>
          <cell r="E659" t="str">
            <v>FBO</v>
          </cell>
          <cell r="F659" t="str">
            <v xml:space="preserve">Стул мягкий Аника </v>
          </cell>
          <cell r="G659" t="str">
            <v>ткань</v>
          </cell>
          <cell r="H659" t="str">
            <v>2521897952721</v>
          </cell>
          <cell r="I659" t="str">
            <v>Вакансия</v>
          </cell>
        </row>
        <row r="660">
          <cell r="A660">
            <v>60989</v>
          </cell>
          <cell r="B660" t="str">
            <v>Стул мягкий Аника Беж/шоколад V18/V24</v>
          </cell>
          <cell r="C660" t="str">
            <v>Мисесина</v>
          </cell>
          <cell r="D660" t="str">
            <v>СТУЛЬЯ</v>
          </cell>
          <cell r="E660" t="str">
            <v>FBO</v>
          </cell>
          <cell r="F660" t="str">
            <v xml:space="preserve">Стул мягкий Аника </v>
          </cell>
          <cell r="G660" t="str">
            <v>ткань</v>
          </cell>
          <cell r="H660" t="str">
            <v>2521897952725</v>
          </cell>
          <cell r="I660" t="str">
            <v>Вакансия</v>
          </cell>
        </row>
        <row r="661">
          <cell r="A661">
            <v>9397</v>
          </cell>
          <cell r="B661" t="str">
            <v>Тумба прикроватная Валенсия ТБ011 500*430*450</v>
          </cell>
          <cell r="C661" t="str">
            <v>Вакансия</v>
          </cell>
          <cell r="D661" t="str">
            <v>ТУМБЫ ПРИКРОВАТНЫЕ</v>
          </cell>
          <cell r="E661" t="str">
            <v>FBO</v>
          </cell>
          <cell r="G661" t="str">
            <v>ткань</v>
          </cell>
          <cell r="H661" t="str">
            <v>2520000002156</v>
          </cell>
          <cell r="I661" t="str">
            <v>Вакансия</v>
          </cell>
        </row>
        <row r="662">
          <cell r="A662">
            <v>414342</v>
          </cell>
          <cell r="B662" t="str">
            <v>Стул АРМА Серый V19</v>
          </cell>
          <cell r="C662" t="str">
            <v>Мисесина</v>
          </cell>
          <cell r="D662" t="str">
            <v>СТУЛЬЯ</v>
          </cell>
          <cell r="E662" t="str">
            <v>FBO</v>
          </cell>
          <cell r="F662" t="str">
            <v xml:space="preserve">Стул АРМА </v>
          </cell>
          <cell r="G662" t="str">
            <v>ткань</v>
          </cell>
          <cell r="H662" t="str">
            <v>2521897952727</v>
          </cell>
          <cell r="I662" t="str">
            <v>Вакансия</v>
          </cell>
        </row>
        <row r="663">
          <cell r="A663">
            <v>9392</v>
          </cell>
          <cell r="B663" t="str">
            <v>Тумба прикроватная Ультра 2 ящика Дуб Белфорт 400х445х386</v>
          </cell>
          <cell r="C663" t="str">
            <v>Вакансия</v>
          </cell>
          <cell r="D663" t="str">
            <v>ТУМБЫ ПРИКРОВАТНЫЕ</v>
          </cell>
          <cell r="E663" t="str">
            <v>FBO</v>
          </cell>
          <cell r="G663" t="str">
            <v>дуб белфорт</v>
          </cell>
          <cell r="H663" t="str">
            <v>2520000002143</v>
          </cell>
          <cell r="I663" t="str">
            <v>Вакансия</v>
          </cell>
        </row>
        <row r="664">
          <cell r="A664">
            <v>59602</v>
          </cell>
          <cell r="B664" t="str">
            <v>Стул Комфорт Зеленый</v>
          </cell>
          <cell r="C664" t="str">
            <v>Мисесина</v>
          </cell>
          <cell r="D664" t="str">
            <v>СТУЛЬЯ</v>
          </cell>
          <cell r="E664" t="str">
            <v>FBO</v>
          </cell>
          <cell r="F664" t="str">
            <v>Стул Комфорт</v>
          </cell>
          <cell r="G664" t="str">
            <v>ткань</v>
          </cell>
          <cell r="H664" t="str">
            <v>2521897952836</v>
          </cell>
          <cell r="I664" t="str">
            <v>Вакансия</v>
          </cell>
        </row>
        <row r="665">
          <cell r="A665" t="str">
            <v>MK122000130</v>
          </cell>
          <cell r="B665" t="str">
            <v>Cтул барный Frame Ткань VITAL PACIFIC, Черн. металл. 356х811(h)х336</v>
          </cell>
          <cell r="C665" t="str">
            <v>Вакансия</v>
          </cell>
          <cell r="D665" t="str">
            <v>СТУЛЬЯ</v>
          </cell>
          <cell r="E665" t="str">
            <v>FBS</v>
          </cell>
          <cell r="F665" t="str">
            <v>Cтул барный Frame</v>
          </cell>
          <cell r="G665" t="str">
            <v>ткань</v>
          </cell>
          <cell r="H665" t="str">
            <v>2521897952773</v>
          </cell>
          <cell r="I665" t="str">
            <v>Вакансия</v>
          </cell>
        </row>
        <row r="666">
          <cell r="A666" t="str">
            <v>MK122000120</v>
          </cell>
          <cell r="B666" t="str">
            <v>Cтул барный Frame Ткань OPHELIA 10, Черн. металл. 356х811(h)х336</v>
          </cell>
          <cell r="C666" t="str">
            <v>Вакансия</v>
          </cell>
          <cell r="D666" t="str">
            <v>СТУЛЬЯ</v>
          </cell>
          <cell r="E666" t="str">
            <v>FBS</v>
          </cell>
          <cell r="F666" t="str">
            <v>Cтул барный Frame</v>
          </cell>
          <cell r="G666" t="str">
            <v>ткань</v>
          </cell>
          <cell r="H666" t="str">
            <v>2521897952772</v>
          </cell>
          <cell r="I666" t="str">
            <v>Вакансия</v>
          </cell>
        </row>
        <row r="667">
          <cell r="A667" t="str">
            <v>MK122000140</v>
          </cell>
          <cell r="B667" t="str">
            <v>Cтул барный Frame Ткань Amigo Lagoon, Черн. металл. 356х811(h)х336</v>
          </cell>
          <cell r="C667" t="str">
            <v>Вакансия</v>
          </cell>
          <cell r="D667" t="str">
            <v>СТУЛЬЯ</v>
          </cell>
          <cell r="E667" t="str">
            <v>FBS</v>
          </cell>
          <cell r="F667" t="str">
            <v>Cтул барный Frame</v>
          </cell>
          <cell r="G667" t="str">
            <v>ткань</v>
          </cell>
          <cell r="H667" t="str">
            <v>2521897952774</v>
          </cell>
          <cell r="I667" t="str">
            <v>Вакансия</v>
          </cell>
        </row>
        <row r="668">
          <cell r="A668">
            <v>61567</v>
          </cell>
          <cell r="B668" t="str">
            <v>Стул Севиль Фиолетовый V25, опора черная</v>
          </cell>
          <cell r="C668" t="str">
            <v>Мисесина</v>
          </cell>
          <cell r="D668" t="str">
            <v>СТУЛЬЯ</v>
          </cell>
          <cell r="E668" t="str">
            <v>FBO</v>
          </cell>
          <cell r="F668" t="str">
            <v xml:space="preserve">Стул Севиль </v>
          </cell>
          <cell r="G668" t="str">
            <v>ткань</v>
          </cell>
          <cell r="H668" t="str">
            <v>2521897952812</v>
          </cell>
          <cell r="I668" t="str">
            <v>Вакансия</v>
          </cell>
        </row>
        <row r="669">
          <cell r="A669">
            <v>61568</v>
          </cell>
          <cell r="B669" t="str">
            <v>Стул Севиль Темно-Серый V08, опора черная</v>
          </cell>
          <cell r="C669" t="str">
            <v>Мисесина</v>
          </cell>
          <cell r="D669" t="str">
            <v>СТУЛЬЯ</v>
          </cell>
          <cell r="E669" t="str">
            <v>FBO</v>
          </cell>
          <cell r="F669" t="str">
            <v xml:space="preserve">Стул Севиль </v>
          </cell>
          <cell r="G669" t="str">
            <v>ткань</v>
          </cell>
          <cell r="H669" t="str">
            <v>2521897952813</v>
          </cell>
          <cell r="I669" t="str">
            <v>Вакансия</v>
          </cell>
        </row>
        <row r="670">
          <cell r="A670">
            <v>770326</v>
          </cell>
          <cell r="B670" t="str">
            <v>Тумба прикроватная Валенсия Дуб Сонома ТБ011 500*430*450</v>
          </cell>
          <cell r="C670" t="str">
            <v>Вакансия</v>
          </cell>
          <cell r="D670" t="str">
            <v>ТУМБЫ ПРИКРОВАТНЫЕ</v>
          </cell>
          <cell r="E670" t="str">
            <v>FBO</v>
          </cell>
          <cell r="G670" t="str">
            <v>Дуб сонома</v>
          </cell>
          <cell r="H670" t="str">
            <v>2521897952409</v>
          </cell>
          <cell r="I670" t="str">
            <v>Вакансия</v>
          </cell>
        </row>
        <row r="671">
          <cell r="A671">
            <v>61570</v>
          </cell>
          <cell r="B671" t="str">
            <v>Стул Севиль Зеленый V20, опора черная</v>
          </cell>
          <cell r="C671" t="str">
            <v>Мисесина</v>
          </cell>
          <cell r="D671" t="str">
            <v>СТУЛЬЯ</v>
          </cell>
          <cell r="E671" t="str">
            <v>FBO</v>
          </cell>
          <cell r="F671" t="str">
            <v xml:space="preserve">Стул Севиль </v>
          </cell>
          <cell r="G671" t="str">
            <v>ткань</v>
          </cell>
          <cell r="H671" t="str">
            <v>2521897952815</v>
          </cell>
          <cell r="I671" t="str">
            <v>Вакансия</v>
          </cell>
        </row>
        <row r="672">
          <cell r="A672">
            <v>61571</v>
          </cell>
          <cell r="B672" t="str">
            <v>Стул Палермо Фиолетовый V25, опора черная</v>
          </cell>
          <cell r="C672" t="str">
            <v>Мисесина</v>
          </cell>
          <cell r="D672" t="str">
            <v>СТУЛЬЯ</v>
          </cell>
          <cell r="E672" t="str">
            <v>FBO</v>
          </cell>
          <cell r="F672" t="str">
            <v xml:space="preserve">Стул Палермо </v>
          </cell>
          <cell r="G672" t="str">
            <v>ткань</v>
          </cell>
          <cell r="H672" t="str">
            <v>2521897952816</v>
          </cell>
          <cell r="I672" t="str">
            <v>Вакансия</v>
          </cell>
        </row>
        <row r="673">
          <cell r="A673">
            <v>61572</v>
          </cell>
          <cell r="B673" t="str">
            <v>Стул Палермо Темно-Серый V08, опора черная</v>
          </cell>
          <cell r="C673" t="str">
            <v>Мисесина</v>
          </cell>
          <cell r="D673" t="str">
            <v>СТУЛЬЯ</v>
          </cell>
          <cell r="E673" t="str">
            <v>FBO</v>
          </cell>
          <cell r="F673" t="str">
            <v xml:space="preserve">Стул Палермо </v>
          </cell>
          <cell r="G673" t="str">
            <v>ткань</v>
          </cell>
          <cell r="H673" t="str">
            <v>2521897952817</v>
          </cell>
          <cell r="I673" t="str">
            <v>Вакансия</v>
          </cell>
        </row>
        <row r="674">
          <cell r="A674">
            <v>61573</v>
          </cell>
          <cell r="B674" t="str">
            <v>Стул Палермо Серый V12, опора черная</v>
          </cell>
          <cell r="C674" t="str">
            <v>Мисесина</v>
          </cell>
          <cell r="D674" t="str">
            <v>СТУЛЬЯ</v>
          </cell>
          <cell r="E674" t="str">
            <v>FBO</v>
          </cell>
          <cell r="F674" t="str">
            <v>Стул Палермо</v>
          </cell>
          <cell r="G674" t="str">
            <v>ткань</v>
          </cell>
          <cell r="H674" t="str">
            <v>2521897952818</v>
          </cell>
          <cell r="I674" t="str">
            <v>Вакансия</v>
          </cell>
        </row>
        <row r="675">
          <cell r="A675">
            <v>135579</v>
          </cell>
          <cell r="B675" t="str">
            <v>Стул Комфорт Синий V54</v>
          </cell>
          <cell r="C675" t="str">
            <v>Мисесина</v>
          </cell>
          <cell r="D675" t="str">
            <v>СТУЛЬЯ</v>
          </cell>
          <cell r="E675" t="str">
            <v>FBO</v>
          </cell>
          <cell r="F675" t="str">
            <v>Стул Комфорт</v>
          </cell>
          <cell r="G675" t="str">
            <v>ткань</v>
          </cell>
          <cell r="H675" t="str">
            <v>2521897952907</v>
          </cell>
          <cell r="I675" t="str">
            <v>Вакансия</v>
          </cell>
        </row>
        <row r="676">
          <cell r="A676">
            <v>135581</v>
          </cell>
          <cell r="B676" t="str">
            <v>Стул Комфорт Черный V34</v>
          </cell>
          <cell r="C676" t="str">
            <v>Мисесина</v>
          </cell>
          <cell r="D676" t="str">
            <v>СТУЛЬЯ</v>
          </cell>
          <cell r="E676" t="str">
            <v>FBO</v>
          </cell>
          <cell r="F676" t="str">
            <v>Стул Комфорт</v>
          </cell>
          <cell r="G676" t="str">
            <v>Черный</v>
          </cell>
          <cell r="H676" t="str">
            <v>2521897952909</v>
          </cell>
          <cell r="I676" t="str">
            <v>Вакансия</v>
          </cell>
        </row>
        <row r="677">
          <cell r="A677">
            <v>59571</v>
          </cell>
          <cell r="B677" t="str">
            <v>Кухонный табурет "Малибу" бежевый, комплект 2шт.</v>
          </cell>
          <cell r="C677" t="str">
            <v>Вакансия</v>
          </cell>
          <cell r="D677" t="str">
            <v>ТАБУРЕТЫ</v>
          </cell>
          <cell r="E677" t="str">
            <v>FBO</v>
          </cell>
          <cell r="F677" t="str">
            <v>Кухонный табурет "Малибу" комплект 2шт.</v>
          </cell>
          <cell r="G677" t="str">
            <v>ткань</v>
          </cell>
          <cell r="H677" t="str">
            <v>2520897927274</v>
          </cell>
          <cell r="I677" t="str">
            <v>Вакансия</v>
          </cell>
        </row>
        <row r="678">
          <cell r="A678">
            <v>59570</v>
          </cell>
          <cell r="B678" t="str">
            <v>Кухонный табурет "Малибу" белый, комплект 2шт.</v>
          </cell>
          <cell r="C678" t="str">
            <v>Вакансия</v>
          </cell>
          <cell r="D678" t="str">
            <v>ТАБУРЕТЫ</v>
          </cell>
          <cell r="E678" t="str">
            <v>FBO</v>
          </cell>
          <cell r="F678" t="str">
            <v>Кухонный табурет "Малибу" комплект 2шт.</v>
          </cell>
          <cell r="G678" t="str">
            <v>Белое тиснение</v>
          </cell>
          <cell r="H678" t="str">
            <v>2520897927276</v>
          </cell>
          <cell r="I678" t="str">
            <v>Вакансия</v>
          </cell>
        </row>
        <row r="679">
          <cell r="A679">
            <v>59572</v>
          </cell>
          <cell r="B679" t="str">
            <v>Кухонный табурет "Малибу" светло-серый, комплект 2шт.</v>
          </cell>
          <cell r="C679" t="str">
            <v>Мисесина</v>
          </cell>
          <cell r="D679" t="str">
            <v>ТАБУРЕТЫ</v>
          </cell>
          <cell r="E679" t="str">
            <v>FBO</v>
          </cell>
          <cell r="F679" t="str">
            <v>Кухонный табурет "Малибу" комплект 2шт.</v>
          </cell>
          <cell r="G679" t="str">
            <v>ткань</v>
          </cell>
          <cell r="H679" t="str">
            <v>2520897927275</v>
          </cell>
          <cell r="I679" t="str">
            <v>Вакансия</v>
          </cell>
        </row>
        <row r="680">
          <cell r="A680">
            <v>412333</v>
          </cell>
          <cell r="B680" t="str">
            <v>Табурет "Сосна" бежевый, комплект 2шт.</v>
          </cell>
          <cell r="C680" t="str">
            <v>Вакансия</v>
          </cell>
          <cell r="D680" t="str">
            <v>ТАБУРЕТЫ</v>
          </cell>
          <cell r="E680" t="str">
            <v>FBS</v>
          </cell>
          <cell r="G680" t="str">
            <v>Бежевый</v>
          </cell>
          <cell r="H680" t="str">
            <v>2520897922305</v>
          </cell>
          <cell r="I680" t="str">
            <v>Вакансия</v>
          </cell>
        </row>
        <row r="681">
          <cell r="A681">
            <v>412335</v>
          </cell>
          <cell r="B681" t="str">
            <v>Табурет "Сосна" белый крокодил, комплект 2шт.</v>
          </cell>
          <cell r="C681" t="str">
            <v>Вакансия</v>
          </cell>
          <cell r="D681" t="str">
            <v>ТАБУРЕТЫ</v>
          </cell>
          <cell r="E681" t="str">
            <v>FBS</v>
          </cell>
          <cell r="G681" t="str">
            <v>Белый</v>
          </cell>
          <cell r="H681" t="str">
            <v>2520897922307</v>
          </cell>
          <cell r="I681" t="str">
            <v>Вакансия</v>
          </cell>
        </row>
        <row r="682">
          <cell r="A682">
            <v>412334</v>
          </cell>
          <cell r="B682" t="str">
            <v>Табурет "Сосна" черный, комплект 2шт.</v>
          </cell>
          <cell r="C682" t="str">
            <v>Вакансия</v>
          </cell>
          <cell r="D682" t="str">
            <v>ТАБУРЕТЫ</v>
          </cell>
          <cell r="E682" t="str">
            <v>FBS</v>
          </cell>
          <cell r="G682" t="str">
            <v>Черный</v>
          </cell>
          <cell r="H682" t="str">
            <v>2520897922306</v>
          </cell>
          <cell r="I682" t="str">
            <v>Вакансия</v>
          </cell>
        </row>
        <row r="683">
          <cell r="A683">
            <v>412336</v>
          </cell>
          <cell r="B683" t="str">
            <v>Табурет "Сосна" шоколад, комплект 2шт.</v>
          </cell>
          <cell r="C683" t="str">
            <v>Вакансия</v>
          </cell>
          <cell r="D683" t="str">
            <v>ТАБУРЕТЫ</v>
          </cell>
          <cell r="E683" t="str">
            <v>FBS</v>
          </cell>
          <cell r="G683" t="str">
            <v>шоколад</v>
          </cell>
          <cell r="H683">
            <v>0</v>
          </cell>
          <cell r="I683" t="str">
            <v>Вакансия</v>
          </cell>
        </row>
        <row r="684">
          <cell r="A684">
            <v>412337</v>
          </cell>
          <cell r="B684" t="str">
            <v>Табурет "Тополь" бежевый, комплект 2шт.</v>
          </cell>
          <cell r="C684" t="str">
            <v>Вакансия</v>
          </cell>
          <cell r="D684" t="str">
            <v>ТАБУРЕТЫ</v>
          </cell>
          <cell r="E684" t="str">
            <v>FBS</v>
          </cell>
          <cell r="G684" t="str">
            <v>Бежевый</v>
          </cell>
          <cell r="H684" t="str">
            <v>2520897922309</v>
          </cell>
          <cell r="I684" t="str">
            <v>Вакансия</v>
          </cell>
        </row>
        <row r="685">
          <cell r="A685">
            <v>19010</v>
          </cell>
          <cell r="B685" t="str">
            <v>Шезлонг деревянный с веревочными стяжками</v>
          </cell>
          <cell r="C685" t="str">
            <v>Мисесина</v>
          </cell>
          <cell r="D685" t="str">
            <v>ШЕЗЛОНГ</v>
          </cell>
          <cell r="E685" t="str">
            <v xml:space="preserve">СКГТ </v>
          </cell>
          <cell r="F685" t="str">
            <v>шезлонг</v>
          </cell>
          <cell r="G685" t="str">
            <v>ткань</v>
          </cell>
          <cell r="H685">
            <v>0</v>
          </cell>
          <cell r="I685" t="str">
            <v>Вакансия</v>
          </cell>
        </row>
        <row r="686">
          <cell r="A686">
            <v>412338</v>
          </cell>
          <cell r="B686" t="str">
            <v>Табурет "Тополь" черный, комплект 2шт.</v>
          </cell>
          <cell r="C686" t="str">
            <v>Вакансия</v>
          </cell>
          <cell r="D686" t="str">
            <v>ТАБУРЕТЫ</v>
          </cell>
          <cell r="E686" t="str">
            <v>FBS</v>
          </cell>
          <cell r="G686" t="str">
            <v>Черный</v>
          </cell>
          <cell r="H686" t="str">
            <v>2520897922310</v>
          </cell>
          <cell r="I686" t="str">
            <v>Вакансия</v>
          </cell>
        </row>
        <row r="687">
          <cell r="A687">
            <v>4069</v>
          </cell>
          <cell r="B687" t="str">
            <v>Комод Телави Дуб Крафт Золотой 672х756х346</v>
          </cell>
          <cell r="C687" t="str">
            <v>Ратникова</v>
          </cell>
          <cell r="D687" t="str">
            <v>КОМОДЫ</v>
          </cell>
          <cell r="E687" t="str">
            <v>FBO</v>
          </cell>
          <cell r="F687" t="str">
            <v>Комод Телави 672х756х346</v>
          </cell>
          <cell r="G687" t="str">
            <v>Дуб Крафт золотой</v>
          </cell>
          <cell r="H687" t="str">
            <v>2521897953061</v>
          </cell>
          <cell r="I687" t="str">
            <v>Вакансия</v>
          </cell>
        </row>
        <row r="688">
          <cell r="A688">
            <v>3076</v>
          </cell>
          <cell r="B688" t="str">
            <v>Шкаф книжный Ultra 4 секции Белое тиснение 400х1157х290</v>
          </cell>
          <cell r="C688" t="str">
            <v>Вакансия</v>
          </cell>
          <cell r="D688" t="str">
            <v>ШКАФЫ</v>
          </cell>
          <cell r="E688" t="str">
            <v>FBS</v>
          </cell>
          <cell r="G688" t="str">
            <v>Белое тиснение</v>
          </cell>
          <cell r="H688" t="str">
            <v>2520897927261</v>
          </cell>
          <cell r="I688" t="str">
            <v>Вакансия</v>
          </cell>
        </row>
        <row r="689">
          <cell r="A689">
            <v>2908</v>
          </cell>
          <cell r="B689" t="str">
            <v>Шкаф книжный Ультра с открытыми полками Белое  тиснение 978х1001х304</v>
          </cell>
          <cell r="C689" t="str">
            <v>Вакансия</v>
          </cell>
          <cell r="D689" t="str">
            <v>ШКАФЫ</v>
          </cell>
          <cell r="E689" t="str">
            <v>СКГТ</v>
          </cell>
          <cell r="G689" t="str">
            <v>ткань</v>
          </cell>
          <cell r="H689" t="str">
            <v>2520000000017</v>
          </cell>
          <cell r="I689" t="str">
            <v>Вакансия</v>
          </cell>
        </row>
        <row r="690">
          <cell r="A690">
            <v>595961</v>
          </cell>
          <cell r="B690" t="str">
            <v>Кухонный табурет найс вайт сид. 33*33</v>
          </cell>
          <cell r="C690" t="str">
            <v>Вакансия</v>
          </cell>
          <cell r="D690" t="str">
            <v>ТАБУРЕТЫ</v>
          </cell>
          <cell r="E690" t="str">
            <v>FBO</v>
          </cell>
          <cell r="G690" t="str">
            <v>ткань</v>
          </cell>
          <cell r="H690" t="str">
            <v>2521897952504</v>
          </cell>
          <cell r="I690" t="str">
            <v>Вакансия</v>
          </cell>
        </row>
        <row r="691">
          <cell r="A691">
            <v>2910</v>
          </cell>
          <cell r="B691" t="str">
            <v>Шкаф книжный Ультра с открытыми полками Дуб сонома 978х1001х304</v>
          </cell>
          <cell r="C691" t="str">
            <v>Вакансия</v>
          </cell>
          <cell r="D691" t="str">
            <v>ШКАФЫ</v>
          </cell>
          <cell r="E691" t="str">
            <v>СКГТ</v>
          </cell>
          <cell r="G691" t="str">
            <v>Дуб сонома</v>
          </cell>
          <cell r="H691" t="str">
            <v>2520000001529</v>
          </cell>
          <cell r="I691" t="str">
            <v>Вакансия</v>
          </cell>
        </row>
        <row r="692">
          <cell r="A692">
            <v>55556</v>
          </cell>
          <cell r="B692" t="str">
            <v>Табурет "Family" квадратный с жестким сиденьем</v>
          </cell>
          <cell r="C692" t="str">
            <v>Вакансия</v>
          </cell>
          <cell r="D692" t="str">
            <v>ТАБУРЕТЫ</v>
          </cell>
          <cell r="E692" t="str">
            <v>FBO</v>
          </cell>
          <cell r="F692" t="str">
            <v>Табурет "Family" квадратный с жестким сиденьем</v>
          </cell>
          <cell r="G692" t="str">
            <v>ткань</v>
          </cell>
          <cell r="H692" t="str">
            <v>2521897952572</v>
          </cell>
          <cell r="I692" t="str">
            <v>Вакансия</v>
          </cell>
        </row>
        <row r="693">
          <cell r="A693">
            <v>55555</v>
          </cell>
          <cell r="B693" t="str">
            <v>Табурет "Family" с жестким сиденьем круглый</v>
          </cell>
          <cell r="C693" t="str">
            <v>Вакансия</v>
          </cell>
          <cell r="D693" t="str">
            <v>ТАБУРЕТЫ</v>
          </cell>
          <cell r="E693" t="str">
            <v>FBO</v>
          </cell>
          <cell r="G693" t="str">
            <v>ткань</v>
          </cell>
          <cell r="H693" t="str">
            <v>2521897952571</v>
          </cell>
          <cell r="I693" t="str">
            <v>Вакансия</v>
          </cell>
        </row>
        <row r="694">
          <cell r="A694">
            <v>55558</v>
          </cell>
          <cell r="B694" t="str">
            <v>Табурет "Family" квадратный с жестким сиденьем, комплект 2 шт</v>
          </cell>
          <cell r="C694" t="str">
            <v>Мисесина</v>
          </cell>
          <cell r="D694" t="str">
            <v>ТАБУРЕТЫ</v>
          </cell>
          <cell r="E694" t="str">
            <v>FBO</v>
          </cell>
          <cell r="F694" t="str">
            <v>Табурет "Family" квадратный с жестким сиденьем, комплект 2 шт</v>
          </cell>
          <cell r="G694" t="str">
            <v>ткань</v>
          </cell>
          <cell r="H694" t="str">
            <v>2521897952625</v>
          </cell>
          <cell r="I694" t="str">
            <v>Вакансия</v>
          </cell>
        </row>
        <row r="695">
          <cell r="A695">
            <v>55557</v>
          </cell>
          <cell r="B695" t="str">
            <v>Табурет "Family" с жестким сиденьем круглый, комплект 2 шт</v>
          </cell>
          <cell r="C695" t="str">
            <v>Мисесина</v>
          </cell>
          <cell r="D695" t="str">
            <v>ТАБУРЕТЫ</v>
          </cell>
          <cell r="E695" t="str">
            <v>FBO</v>
          </cell>
          <cell r="F695" t="str">
            <v>Табурет "Family" с жестким сиденьем круглый, комплект 2 шт</v>
          </cell>
          <cell r="G695" t="str">
            <v>ткань</v>
          </cell>
          <cell r="H695" t="str">
            <v>2521897952624</v>
          </cell>
          <cell r="I695" t="str">
            <v>Вакансия</v>
          </cell>
        </row>
        <row r="696">
          <cell r="A696">
            <v>19015</v>
          </cell>
          <cell r="B696" t="str">
            <v>Скамейка-стремянка</v>
          </cell>
          <cell r="C696" t="str">
            <v>Вакансия</v>
          </cell>
          <cell r="D696" t="str">
            <v>ТАБУРЕТЫ</v>
          </cell>
          <cell r="E696" t="str">
            <v>FBO</v>
          </cell>
          <cell r="G696" t="str">
            <v>ткань</v>
          </cell>
          <cell r="H696">
            <v>0</v>
          </cell>
          <cell r="I696" t="str">
            <v>Вакансия</v>
          </cell>
        </row>
        <row r="697">
          <cell r="A697">
            <v>3094</v>
          </cell>
          <cell r="B697" t="str">
            <v>Книжный шкаф  Style с  дверкой Белое тиснение 362х704х300</v>
          </cell>
          <cell r="C697" t="str">
            <v>Вакансия</v>
          </cell>
          <cell r="D697" t="str">
            <v>ШКАФЫ</v>
          </cell>
          <cell r="E697" t="str">
            <v>FBO</v>
          </cell>
          <cell r="G697" t="str">
            <v>Белое тиснение</v>
          </cell>
          <cell r="H697" t="str">
            <v>2521897952395</v>
          </cell>
          <cell r="I697" t="str">
            <v>Вакансия</v>
          </cell>
        </row>
        <row r="698">
          <cell r="A698">
            <v>2466</v>
          </cell>
          <cell r="B698" t="str">
            <v>Тумба Бодега тем. Плюс Ящик 426х590х448 (Тумба с дверкой Плюс)</v>
          </cell>
          <cell r="C698" t="str">
            <v>Вакансия</v>
          </cell>
          <cell r="D698" t="str">
            <v>ТУМБЫ под ТВ</v>
          </cell>
          <cell r="E698" t="str">
            <v>FBO</v>
          </cell>
          <cell r="G698" t="str">
            <v>Бодега</v>
          </cell>
          <cell r="H698">
            <v>0</v>
          </cell>
          <cell r="I698" t="str">
            <v>Вакансия</v>
          </cell>
        </row>
        <row r="699">
          <cell r="A699">
            <v>3208</v>
          </cell>
          <cell r="B699" t="str">
            <v>Шкаф Style 1-о дверн. Белое тиснение 362х1190х254</v>
          </cell>
          <cell r="C699" t="str">
            <v>Вакансия</v>
          </cell>
          <cell r="D699" t="str">
            <v>ШКАФЫ</v>
          </cell>
          <cell r="E699" t="str">
            <v>FBS</v>
          </cell>
          <cell r="G699" t="str">
            <v>Белое тиснение</v>
          </cell>
          <cell r="H699" t="str">
            <v>2521897952499</v>
          </cell>
          <cell r="I699" t="str">
            <v>Вакансия</v>
          </cell>
        </row>
        <row r="700">
          <cell r="A700">
            <v>29001</v>
          </cell>
          <cell r="B700" t="str">
            <v>Шкаф-комод Ультра 2-х дверный Бетон</v>
          </cell>
          <cell r="C700" t="str">
            <v>Ратникова</v>
          </cell>
          <cell r="D700" t="str">
            <v>КОМОДЫ</v>
          </cell>
          <cell r="E700" t="str">
            <v>FBO</v>
          </cell>
          <cell r="F700" t="str">
            <v>Шкаф-комод Ультра 2-х дверный 602х701х304</v>
          </cell>
          <cell r="G700" t="str">
            <v>Бетон</v>
          </cell>
          <cell r="H700" t="str">
            <v>2521897953121</v>
          </cell>
          <cell r="I700" t="str">
            <v>Вакансия</v>
          </cell>
        </row>
        <row r="701">
          <cell r="A701">
            <v>14119</v>
          </cell>
          <cell r="B701" t="str">
            <v>Шкаф навесной Мальта Бетон</v>
          </cell>
          <cell r="C701" t="str">
            <v>Перепечаева</v>
          </cell>
          <cell r="D701" t="str">
            <v>ШКАФЫ</v>
          </cell>
          <cell r="E701" t="str">
            <v>FBO</v>
          </cell>
          <cell r="F701" t="str">
            <v xml:space="preserve">Шкаф навесной Мальта </v>
          </cell>
          <cell r="G701" t="str">
            <v>Бетон</v>
          </cell>
          <cell r="H701" t="str">
            <v>2521897953126</v>
          </cell>
          <cell r="I701" t="str">
            <v>Вакансия</v>
          </cell>
        </row>
        <row r="702">
          <cell r="A702">
            <v>3159</v>
          </cell>
          <cell r="B702" t="str">
            <v>Стеллаж тумба под ТВ Bali Белое тиснение, шт</v>
          </cell>
          <cell r="C702" t="str">
            <v>Вакансия</v>
          </cell>
          <cell r="D702" t="str">
            <v>ТУМБЫ под ТВ</v>
          </cell>
          <cell r="E702" t="str">
            <v xml:space="preserve">СКГТ </v>
          </cell>
          <cell r="G702" t="str">
            <v>Белое тиснение</v>
          </cell>
          <cell r="H702" t="str">
            <v>2521897952448</v>
          </cell>
          <cell r="I702" t="str">
            <v>Вакансия</v>
          </cell>
        </row>
        <row r="703">
          <cell r="A703">
            <v>29003</v>
          </cell>
          <cell r="B703" t="str">
            <v>Шкаф-комод Ультра 2-х дверный Графит</v>
          </cell>
          <cell r="C703" t="str">
            <v>Ратникова</v>
          </cell>
          <cell r="D703" t="str">
            <v>КОМОДЫ</v>
          </cell>
          <cell r="E703" t="str">
            <v>FBO</v>
          </cell>
          <cell r="F703" t="str">
            <v>Шкаф-комод Ультра 2-х дверный 602х701х304</v>
          </cell>
          <cell r="G703" t="str">
            <v>Графит</v>
          </cell>
          <cell r="H703" t="str">
            <v>2521897953123</v>
          </cell>
          <cell r="I703" t="str">
            <v>Вакансия</v>
          </cell>
        </row>
        <row r="704">
          <cell r="A704">
            <v>3171</v>
          </cell>
          <cell r="B704" t="str">
            <v>Стеллаж тумба под ТВ Lite Орех лион/Белое тисн. 1100х1112х280</v>
          </cell>
          <cell r="C704" t="str">
            <v>Вакансия</v>
          </cell>
          <cell r="D704" t="str">
            <v>ТУМБЫ под ТВ</v>
          </cell>
          <cell r="E704" t="str">
            <v>FBS</v>
          </cell>
          <cell r="G704" t="str">
            <v>комбин</v>
          </cell>
          <cell r="H704" t="str">
            <v>2521897952477</v>
          </cell>
          <cell r="I704" t="str">
            <v>Вакансия</v>
          </cell>
        </row>
        <row r="705">
          <cell r="A705">
            <v>3361</v>
          </cell>
          <cell r="B705" t="str">
            <v>Тумба под ТВ Zетт с ящиком Дуб сонома 1042х443(h)х283</v>
          </cell>
          <cell r="C705" t="str">
            <v>Мисесина</v>
          </cell>
          <cell r="D705" t="str">
            <v>ТУМБЫ под ТВ</v>
          </cell>
          <cell r="E705" t="str">
            <v>FBS</v>
          </cell>
          <cell r="F705" t="str">
            <v>Тумба под ТВ Zett с ящиком 1042х443х283</v>
          </cell>
          <cell r="G705" t="str">
            <v>Дуб сонома</v>
          </cell>
          <cell r="H705" t="str">
            <v>2521897952529</v>
          </cell>
          <cell r="I705" t="str">
            <v>Вакансия</v>
          </cell>
        </row>
        <row r="706">
          <cell r="A706">
            <v>3362</v>
          </cell>
          <cell r="B706" t="str">
            <v>Тумба под ТВ Zетт с ящиком Черная 1042х443(h)х283</v>
          </cell>
          <cell r="C706" t="str">
            <v>Мисесина</v>
          </cell>
          <cell r="D706" t="str">
            <v>ТУМБЫ под ТВ</v>
          </cell>
          <cell r="E706" t="str">
            <v>FBS</v>
          </cell>
          <cell r="F706" t="str">
            <v>Тумба под ТВ Zett с ящиком 1042х443х283</v>
          </cell>
          <cell r="G706" t="str">
            <v>Черный</v>
          </cell>
          <cell r="H706" t="str">
            <v>2521897952517</v>
          </cell>
          <cell r="I706" t="str">
            <v>Вакансия</v>
          </cell>
        </row>
        <row r="707">
          <cell r="A707">
            <v>3363</v>
          </cell>
          <cell r="B707" t="str">
            <v>Стеллаж тумба под ТВ Zett Пельтро/Белое тиснение 1100х1112(h)х280</v>
          </cell>
          <cell r="C707" t="str">
            <v>Мисесина</v>
          </cell>
          <cell r="D707" t="str">
            <v>ТУМБЫ под ТВ</v>
          </cell>
          <cell r="E707" t="str">
            <v>FBS</v>
          </cell>
          <cell r="F707" t="str">
            <v>Стеллаж тумба под ТВ Zett 1100х1112(h)х280</v>
          </cell>
          <cell r="G707" t="str">
            <v>комбин</v>
          </cell>
          <cell r="H707" t="str">
            <v>2521897952516</v>
          </cell>
          <cell r="I707" t="str">
            <v>Вакансия</v>
          </cell>
        </row>
        <row r="708">
          <cell r="A708">
            <v>3624</v>
          </cell>
          <cell r="B708" t="str">
            <v>Обувница Ultra вертикальная 1 секция Венге 532х374х170</v>
          </cell>
          <cell r="C708" t="str">
            <v xml:space="preserve">Петрова </v>
          </cell>
          <cell r="D708" t="str">
            <v>ОБУВНИЦЫ</v>
          </cell>
          <cell r="E708" t="str">
            <v>FBO</v>
          </cell>
          <cell r="F708" t="str">
            <v>Обувница Ultra вертикальная 1 секция  532х374х170</v>
          </cell>
          <cell r="G708" t="str">
            <v>Венге</v>
          </cell>
          <cell r="H708" t="str">
            <v>2521897953067</v>
          </cell>
          <cell r="I708" t="str">
            <v>Вакансия</v>
          </cell>
        </row>
        <row r="709">
          <cell r="A709" t="str">
            <v>MK00020</v>
          </cell>
          <cell r="B709" t="str">
            <v>Тумба под ТВ Tokyo с ящиком ЛДСП Дуб Вотан, Черн. металл. 900х470х300</v>
          </cell>
          <cell r="C709" t="str">
            <v>Мисесина</v>
          </cell>
          <cell r="D709" t="str">
            <v>ТУМБЫ под ТВ</v>
          </cell>
          <cell r="E709" t="str">
            <v>FBS</v>
          </cell>
          <cell r="F709" t="str">
            <v>Тумба под ТВ Tokyo с ящиком 900х470х300</v>
          </cell>
          <cell r="G709" t="str">
            <v>ЛДСП Дуб Вотан, Черн. металл.</v>
          </cell>
          <cell r="H709" t="str">
            <v>2521897952606</v>
          </cell>
          <cell r="I709" t="str">
            <v>Вакансия</v>
          </cell>
        </row>
        <row r="710">
          <cell r="A710">
            <v>775</v>
          </cell>
          <cell r="B710" t="str">
            <v>Гостиная Интеро Лайт</v>
          </cell>
          <cell r="C710" t="str">
            <v>Вакансия</v>
          </cell>
          <cell r="D710" t="str">
            <v>ГОСТИНАЯ</v>
          </cell>
          <cell r="E710" t="str">
            <v xml:space="preserve">СКГТ </v>
          </cell>
          <cell r="G710">
            <v>0</v>
          </cell>
          <cell r="H710" t="str">
            <v>2521897952492</v>
          </cell>
          <cell r="I710" t="str">
            <v>Вакансия</v>
          </cell>
        </row>
        <row r="711">
          <cell r="A711">
            <v>3195</v>
          </cell>
          <cell r="B711" t="str">
            <v>Тумба под ТВ Country Белое тиснение 1100х450х350</v>
          </cell>
          <cell r="C711" t="str">
            <v>Вакансия</v>
          </cell>
          <cell r="D711" t="str">
            <v>ТУМБЫ под ТВ</v>
          </cell>
          <cell r="E711" t="str">
            <v>FBS</v>
          </cell>
          <cell r="G711" t="str">
            <v>Белое тиснение</v>
          </cell>
          <cell r="H711" t="str">
            <v>2521897952471</v>
          </cell>
          <cell r="I711" t="str">
            <v>Вакансия</v>
          </cell>
        </row>
        <row r="712">
          <cell r="A712">
            <v>8565</v>
          </cell>
          <cell r="B712" t="str">
            <v>Тумба под ТВ Ницца Белое тиснение 1152*510*330</v>
          </cell>
          <cell r="C712" t="str">
            <v>Мисесина</v>
          </cell>
          <cell r="D712" t="str">
            <v>ТУМБЫ под ТВ</v>
          </cell>
          <cell r="E712" t="str">
            <v>FBS</v>
          </cell>
          <cell r="F712" t="str">
            <v>Тумба под ТВ Ницца  1152*510*330</v>
          </cell>
          <cell r="G712" t="str">
            <v>Белое тиснение</v>
          </cell>
          <cell r="H712">
            <v>0</v>
          </cell>
          <cell r="I712" t="str">
            <v>Вакансия</v>
          </cell>
        </row>
        <row r="713">
          <cell r="A713">
            <v>8566</v>
          </cell>
          <cell r="B713" t="str">
            <v>Тумба под ТВ Ницца Дуб сонома 1152*510*330</v>
          </cell>
          <cell r="C713" t="str">
            <v>Мисесина</v>
          </cell>
          <cell r="D713" t="str">
            <v>ТУМБЫ под ТВ</v>
          </cell>
          <cell r="E713" t="str">
            <v>FBS</v>
          </cell>
          <cell r="F713" t="str">
            <v>Тумба под ТВ Ницца  1152*510*330</v>
          </cell>
          <cell r="G713" t="str">
            <v>Дуб сонома</v>
          </cell>
          <cell r="H713">
            <v>0</v>
          </cell>
          <cell r="I713" t="str">
            <v>Вакансия</v>
          </cell>
        </row>
        <row r="714">
          <cell r="A714">
            <v>8567</v>
          </cell>
          <cell r="B714" t="str">
            <v>Тумба под ТВ Ницца Венге 1152*510*330</v>
          </cell>
          <cell r="C714" t="str">
            <v>Мисесина</v>
          </cell>
          <cell r="D714" t="str">
            <v>ТУМБЫ под ТВ</v>
          </cell>
          <cell r="E714" t="str">
            <v>FBS</v>
          </cell>
          <cell r="F714" t="str">
            <v>Тумба под ТВ Ницца  1152*510*330</v>
          </cell>
          <cell r="G714" t="str">
            <v>Венге</v>
          </cell>
          <cell r="H714">
            <v>0</v>
          </cell>
          <cell r="I714" t="str">
            <v>Вакансия</v>
          </cell>
        </row>
        <row r="715">
          <cell r="A715">
            <v>45575</v>
          </cell>
          <cell r="B715" t="str">
            <v>Подушка Glow</v>
          </cell>
          <cell r="C715" t="str">
            <v>Кошкарева</v>
          </cell>
          <cell r="D715" t="str">
            <v>ПОДУШКИ</v>
          </cell>
          <cell r="E715" t="str">
            <v>FBO</v>
          </cell>
          <cell r="F715" t="str">
            <v>Подушка Glow</v>
          </cell>
          <cell r="G715" t="str">
            <v>ткань</v>
          </cell>
          <cell r="H715" t="str">
            <v>2521897952800</v>
          </cell>
          <cell r="I715" t="str">
            <v>Вакансия</v>
          </cell>
        </row>
        <row r="716">
          <cell r="A716">
            <v>135585</v>
          </cell>
          <cell r="B716" t="str">
            <v>Обувница вертикальная Мальта Лайт Дуб сонома/Белое тиснение 53х82х22</v>
          </cell>
          <cell r="C716" t="str">
            <v xml:space="preserve">Петрова </v>
          </cell>
          <cell r="D716" t="str">
            <v>ОБУВНИЦЫ</v>
          </cell>
          <cell r="E716" t="str">
            <v>FBO</v>
          </cell>
          <cell r="F716" t="str">
            <v>Обувница вертикальная Мальта Лайт 53х82х22</v>
          </cell>
          <cell r="G716" t="str">
            <v>дуб сонома/белое тиснение</v>
          </cell>
          <cell r="H716" t="str">
            <v>2521897952913</v>
          </cell>
          <cell r="I716" t="str">
            <v>Вакансия</v>
          </cell>
        </row>
        <row r="717">
          <cell r="A717">
            <v>2693</v>
          </cell>
          <cell r="B717" t="str">
            <v>Стеллаж Quattro Белое  тиснение 1050х1048х320</v>
          </cell>
          <cell r="C717" t="str">
            <v>Зимакова</v>
          </cell>
          <cell r="D717" t="str">
            <v>СТЕЛЛАЖИ</v>
          </cell>
          <cell r="E717" t="str">
            <v>FBO</v>
          </cell>
          <cell r="F717" t="str">
            <v>Стеллаж Quattro  1050х1048х320</v>
          </cell>
          <cell r="G717" t="str">
            <v>Белое тиснение</v>
          </cell>
          <cell r="H717" t="str">
            <v>2520000000251</v>
          </cell>
          <cell r="I717" t="str">
            <v>Вакансия</v>
          </cell>
        </row>
        <row r="718">
          <cell r="A718">
            <v>2623</v>
          </cell>
          <cell r="B718" t="str">
            <v>Тумба с дверкой Плюс Венге 426х590х448</v>
          </cell>
          <cell r="C718" t="str">
            <v>Вакансия</v>
          </cell>
          <cell r="D718" t="str">
            <v>ТУМБЫ ПРИКРОВАТНЫЕ</v>
          </cell>
          <cell r="E718" t="str">
            <v>FBO</v>
          </cell>
          <cell r="F718" t="str">
            <v>Тумба с дверкой Плюс</v>
          </cell>
          <cell r="G718" t="str">
            <v>Венге</v>
          </cell>
          <cell r="H718" t="str">
            <v>2520000000015</v>
          </cell>
          <cell r="I718" t="str">
            <v>Вакансия</v>
          </cell>
        </row>
        <row r="719">
          <cell r="A719">
            <v>3104</v>
          </cell>
          <cell r="B719" t="str">
            <v>Тумба Twist Белое тиснение 400х438х304</v>
          </cell>
          <cell r="C719" t="str">
            <v>Вакансия</v>
          </cell>
          <cell r="D719" t="str">
            <v>ТУМБЫ ПРИКРОВАТНЫЕ</v>
          </cell>
          <cell r="E719" t="str">
            <v>FBO</v>
          </cell>
          <cell r="F719" t="str">
            <v>Тумба Twist 400х438х304</v>
          </cell>
          <cell r="G719" t="str">
            <v>Белое тиснение</v>
          </cell>
          <cell r="H719" t="str">
            <v>2521897952455</v>
          </cell>
          <cell r="I719" t="str">
            <v>Вакансия</v>
          </cell>
        </row>
        <row r="720">
          <cell r="A720">
            <v>2687</v>
          </cell>
          <cell r="B720" t="str">
            <v>Стеллаж Zett средний Дуб сонома  730х899х250</v>
          </cell>
          <cell r="C720" t="str">
            <v>Зимакова</v>
          </cell>
          <cell r="D720" t="str">
            <v>СТЕЛЛАЖИ</v>
          </cell>
          <cell r="E720" t="str">
            <v>FBO</v>
          </cell>
          <cell r="F720" t="str">
            <v>Стеллаж Zett средний 730х899х250</v>
          </cell>
          <cell r="G720" t="str">
            <v>Дуб сонома</v>
          </cell>
          <cell r="H720" t="str">
            <v>2520000000336</v>
          </cell>
          <cell r="I720" t="str">
            <v>Вакансия</v>
          </cell>
        </row>
        <row r="721">
          <cell r="A721">
            <v>2493</v>
          </cell>
          <cell r="B721" t="str">
            <v>Стол дошкольника для творчества Венге 678х750х400</v>
          </cell>
          <cell r="C721" t="str">
            <v>Перепечаева</v>
          </cell>
          <cell r="D721" t="str">
            <v>СТОЛЫ</v>
          </cell>
          <cell r="E721" t="str">
            <v>FBO</v>
          </cell>
          <cell r="F721" t="str">
            <v>Стол дошкольника для творчества  678х750х400</v>
          </cell>
          <cell r="G721" t="str">
            <v>Венге</v>
          </cell>
          <cell r="H721" t="str">
            <v>2520000000961</v>
          </cell>
          <cell r="I721" t="str">
            <v>Вакансия</v>
          </cell>
        </row>
        <row r="722">
          <cell r="A722" t="str">
            <v>MK00003</v>
          </cell>
          <cell r="B722" t="str">
            <v>Стол журнальный Frame  Дуб Вотан, Черный металл 900х422х450</v>
          </cell>
          <cell r="C722" t="str">
            <v>Леонтьева</v>
          </cell>
          <cell r="D722" t="str">
            <v>СТОЛИКИ ЖУРНАЛЬНЫЕ</v>
          </cell>
          <cell r="E722" t="str">
            <v>FBS</v>
          </cell>
          <cell r="F722" t="str">
            <v>Стол журнальный Frame  900х422х450</v>
          </cell>
          <cell r="G722" t="str">
            <v>Дуб Вотан, Черн. металл.</v>
          </cell>
          <cell r="H722" t="str">
            <v>2521897952564</v>
          </cell>
          <cell r="I722" t="str">
            <v>Вакансия</v>
          </cell>
        </row>
        <row r="723">
          <cell r="A723">
            <v>3397</v>
          </cell>
          <cell r="B723" t="str">
            <v>Стол рабочий маникюрный Blues с полками Белое тиснение 450х750/904(h)х300/984</v>
          </cell>
          <cell r="C723" t="str">
            <v>Леонтьева</v>
          </cell>
          <cell r="D723" t="str">
            <v>СТОЛЫ МАНИКЮРНЫЕ</v>
          </cell>
          <cell r="E723" t="str">
            <v>FBO</v>
          </cell>
          <cell r="F723" t="str">
            <v>Стол рабочий маникюрный Blues с полками  450х750/904(h)х300/984</v>
          </cell>
          <cell r="G723" t="str">
            <v>Белое тиснение</v>
          </cell>
          <cell r="H723" t="str">
            <v>2521897952729</v>
          </cell>
          <cell r="I723" t="str">
            <v>Вакансия</v>
          </cell>
        </row>
        <row r="724">
          <cell r="A724">
            <v>3300</v>
          </cell>
          <cell r="B724" t="str">
            <v>Тумба Neoletta 2 ящика Белое тиснен./Дуб Вотан 400х520(h)х354</v>
          </cell>
          <cell r="C724" t="str">
            <v>Вакансия</v>
          </cell>
          <cell r="D724" t="str">
            <v>ТУМБЫ ПРИКРОВАТНЫЕ</v>
          </cell>
          <cell r="E724" t="str">
            <v>FBO</v>
          </cell>
          <cell r="F724" t="str">
            <v>Тумба Neoletta 2 ящика 400х520(h)х354</v>
          </cell>
          <cell r="G724" t="str">
            <v>комбин</v>
          </cell>
          <cell r="H724" t="str">
            <v>2521897952590</v>
          </cell>
          <cell r="I724" t="str">
            <v>Вакансия</v>
          </cell>
        </row>
        <row r="725">
          <cell r="A725">
            <v>517104</v>
          </cell>
          <cell r="B725" t="str">
            <v>Стол круглый Белый</v>
          </cell>
          <cell r="C725" t="str">
            <v>Леонтьева</v>
          </cell>
          <cell r="D725" t="str">
            <v>СТОЛЫ ОБЕДЕННЫЕ</v>
          </cell>
          <cell r="E725" t="str">
            <v>FBS</v>
          </cell>
          <cell r="F725" t="str">
            <v xml:space="preserve">Стол круглый </v>
          </cell>
          <cell r="G725" t="str">
            <v>Белое тиснение</v>
          </cell>
          <cell r="H725" t="str">
            <v>2521897952894</v>
          </cell>
          <cell r="I725" t="str">
            <v>Вакансия</v>
          </cell>
        </row>
        <row r="726">
          <cell r="A726" t="str">
            <v>MK00021</v>
          </cell>
          <cell r="B726" t="str">
            <v>Тумба Tokyo ЛДСП Дуб Вотан, Черн. металл. 450х470х300</v>
          </cell>
          <cell r="C726" t="str">
            <v>Кошкарева</v>
          </cell>
          <cell r="D726" t="str">
            <v>ТУМБЫ ПРИКРОВАТНЫЕ</v>
          </cell>
          <cell r="E726" t="str">
            <v>FBO</v>
          </cell>
          <cell r="F726" t="str">
            <v>Тумба Tokyo ЛДСП 450х470х300</v>
          </cell>
          <cell r="G726" t="str">
            <v>ЛДСП Дуб Вотан, Черн. металл.</v>
          </cell>
          <cell r="H726" t="str">
            <v>2521897952607</v>
          </cell>
          <cell r="I726" t="str">
            <v>Вакансия</v>
          </cell>
        </row>
        <row r="727">
          <cell r="A727">
            <v>3642</v>
          </cell>
          <cell r="B727" t="str">
            <v>Стол рабочий угловой Мальта Plus с полками Венге 730*754(h)*730</v>
          </cell>
          <cell r="C727" t="str">
            <v>Ратникова</v>
          </cell>
          <cell r="D727" t="str">
            <v>СТОЛЫ</v>
          </cell>
          <cell r="E727" t="str">
            <v>FBO</v>
          </cell>
          <cell r="F727" t="str">
            <v>Стол рабочий угловой Мальта Plus с полками 730*754(h)*730</v>
          </cell>
          <cell r="G727" t="str">
            <v>Венге</v>
          </cell>
          <cell r="H727" t="str">
            <v>2521897953077</v>
          </cell>
          <cell r="I727" t="str">
            <v>Вакансия</v>
          </cell>
        </row>
        <row r="728">
          <cell r="A728">
            <v>2467</v>
          </cell>
          <cell r="B728" t="str">
            <v>Тумба Николь Лайт Плюс прикроватн. Бодега темн Фасад Бодега св. ящик 450х445х386</v>
          </cell>
          <cell r="C728" t="str">
            <v>Вакансия</v>
          </cell>
          <cell r="D728" t="str">
            <v>ТУМБЫ ПРИКРОВАТНЫЕ</v>
          </cell>
          <cell r="E728" t="str">
            <v>FBO</v>
          </cell>
          <cell r="F728" t="str">
            <v>Тумба Николь Лайт Плюс прикроватн. 450х445х386</v>
          </cell>
          <cell r="G728" t="str">
            <v>ткань</v>
          </cell>
          <cell r="H728">
            <v>0</v>
          </cell>
          <cell r="I728" t="str">
            <v>Вакансия</v>
          </cell>
        </row>
        <row r="729">
          <cell r="A729">
            <v>2468</v>
          </cell>
          <cell r="B729" t="str">
            <v>Тумба Николь Плюс прикроватн. Дуб сонома/Бодега светлый 400х445х386</v>
          </cell>
          <cell r="C729" t="str">
            <v>Вакансия</v>
          </cell>
          <cell r="D729" t="str">
            <v>ТУМБЫ ПРИКРОВАТНЫЕ</v>
          </cell>
          <cell r="E729" t="str">
            <v>FBO</v>
          </cell>
          <cell r="G729" t="str">
            <v>комбин</v>
          </cell>
          <cell r="H729">
            <v>0</v>
          </cell>
          <cell r="I729" t="str">
            <v>Вакансия</v>
          </cell>
        </row>
        <row r="730">
          <cell r="A730">
            <v>2619</v>
          </cell>
          <cell r="B730" t="str">
            <v>Тумба Николь Лайт Плюс прикроватн. Венге/Белое тиснение 450х445х386</v>
          </cell>
          <cell r="C730" t="str">
            <v>Вакансия</v>
          </cell>
          <cell r="D730" t="str">
            <v>ТУМБЫ ПРИКРОВАТНЫЕ</v>
          </cell>
          <cell r="E730" t="str">
            <v>FBO</v>
          </cell>
          <cell r="F730" t="str">
            <v>Тумба Николь Лайт Плюс прикроватн. 450х445х386</v>
          </cell>
          <cell r="G730" t="str">
            <v>комбин</v>
          </cell>
          <cell r="H730" t="str">
            <v>2520000000039</v>
          </cell>
          <cell r="I730" t="str">
            <v>Вакансия</v>
          </cell>
        </row>
        <row r="731">
          <cell r="A731">
            <v>2620</v>
          </cell>
          <cell r="B731" t="str">
            <v>Тумба Николь Плюс прикроватн. Дуб сонома/Белое тиснение 400х445х386</v>
          </cell>
          <cell r="C731" t="str">
            <v>Вакансия</v>
          </cell>
          <cell r="D731" t="str">
            <v>ТУМБЫ ПРИКРОВАТНЫЕ</v>
          </cell>
          <cell r="E731" t="str">
            <v>FBO</v>
          </cell>
          <cell r="G731" t="str">
            <v>дуб сонома/белое тиснение</v>
          </cell>
          <cell r="H731" t="str">
            <v>2520000000121</v>
          </cell>
          <cell r="I731" t="str">
            <v>Вакансия</v>
          </cell>
        </row>
        <row r="732">
          <cell r="A732">
            <v>3641</v>
          </cell>
          <cell r="B732" t="str">
            <v>Стол рабочий угловой Мальта Plus с полками Ателье светлое 730*754(h)*730</v>
          </cell>
          <cell r="C732" t="str">
            <v>Ратникова</v>
          </cell>
          <cell r="D732" t="str">
            <v>СТОЛЫ</v>
          </cell>
          <cell r="E732" t="str">
            <v>FBO</v>
          </cell>
          <cell r="F732" t="str">
            <v>Стол рабочий угловой Мальта Plus с полками 730*754(h)*730</v>
          </cell>
          <cell r="G732" t="str">
            <v>Бетон</v>
          </cell>
          <cell r="H732" t="str">
            <v>2521897953078</v>
          </cell>
          <cell r="I732" t="str">
            <v>Вакансия</v>
          </cell>
        </row>
        <row r="733">
          <cell r="A733" t="str">
            <v>3756.09/01</v>
          </cell>
          <cell r="B733" t="str">
            <v>Стеллаж Estet Plus Серый Графит 730*1425*220</v>
          </cell>
          <cell r="C733" t="str">
            <v>Загашева</v>
          </cell>
          <cell r="D733" t="str">
            <v>СТЕЛЛАЖИ</v>
          </cell>
          <cell r="E733" t="str">
            <v>FBO</v>
          </cell>
          <cell r="F733" t="str">
            <v>Стеллаж Estet Plus 730*1425*220</v>
          </cell>
          <cell r="G733" t="str">
            <v>Графит</v>
          </cell>
          <cell r="H733" t="str">
            <v>2521897953238</v>
          </cell>
          <cell r="I733" t="str">
            <v>Вакансия</v>
          </cell>
        </row>
        <row r="734">
          <cell r="A734">
            <v>417102</v>
          </cell>
          <cell r="B734" t="str">
            <v>Стол раздвижной Дуб апрель темный</v>
          </cell>
          <cell r="C734" t="str">
            <v>Леонтьева</v>
          </cell>
          <cell r="D734" t="str">
            <v>СТОЛЫ ОБЕДЕННЫЕ</v>
          </cell>
          <cell r="E734" t="str">
            <v>FBS</v>
          </cell>
          <cell r="F734" t="str">
            <v xml:space="preserve">Стол раздвижной </v>
          </cell>
          <cell r="G734" t="str">
            <v>дуб апрель темн</v>
          </cell>
          <cell r="H734" t="str">
            <v>2521897952824</v>
          </cell>
          <cell r="I734" t="str">
            <v>Вакансия</v>
          </cell>
        </row>
        <row r="735">
          <cell r="A735">
            <v>417105</v>
          </cell>
          <cell r="B735" t="str">
            <v>Стол раздвижной Дуб Вотан</v>
          </cell>
          <cell r="C735" t="str">
            <v>Леонтьева</v>
          </cell>
          <cell r="D735" t="str">
            <v>СТОЛЫ ОБЕДЕННЫЕ</v>
          </cell>
          <cell r="E735" t="str">
            <v>FBS</v>
          </cell>
          <cell r="F735" t="str">
            <v xml:space="preserve">Стол раздвижной </v>
          </cell>
          <cell r="G735" t="str">
            <v>Дуб Вотан</v>
          </cell>
          <cell r="H735" t="str">
            <v>2521897953159</v>
          </cell>
          <cell r="I735" t="str">
            <v>Вакансия</v>
          </cell>
        </row>
        <row r="736">
          <cell r="A736">
            <v>63021</v>
          </cell>
          <cell r="B736" t="str">
            <v>Комод City 3 ящика Белое тиснение 700х675х354</v>
          </cell>
          <cell r="C736" t="str">
            <v>Платонова</v>
          </cell>
          <cell r="D736" t="str">
            <v>КОМОДЫ</v>
          </cell>
          <cell r="E736" t="str">
            <v>FBO</v>
          </cell>
          <cell r="F736" t="str">
            <v>Комод City 3 ящика</v>
          </cell>
          <cell r="G736" t="str">
            <v>Белое тиснение</v>
          </cell>
          <cell r="H736" t="str">
            <v>2521897953318</v>
          </cell>
          <cell r="I736" t="str">
            <v>Вакансия</v>
          </cell>
        </row>
        <row r="737">
          <cell r="A737">
            <v>135609</v>
          </cell>
          <cell r="B737" t="str">
            <v>Стул Комфорт Зеленый V20 (комплект 2 шт.)</v>
          </cell>
          <cell r="C737" t="str">
            <v>Мисесина</v>
          </cell>
          <cell r="D737" t="str">
            <v>СТУЛЬЯ</v>
          </cell>
          <cell r="E737" t="str">
            <v>FBO</v>
          </cell>
          <cell r="F737" t="str">
            <v>Стул Комфорт (комплект 2 шт.)</v>
          </cell>
          <cell r="G737" t="str">
            <v>ткань</v>
          </cell>
          <cell r="H737" t="str">
            <v>2521897953146</v>
          </cell>
          <cell r="I737" t="str">
            <v>Вакансия</v>
          </cell>
        </row>
        <row r="738">
          <cell r="A738">
            <v>3204</v>
          </cell>
          <cell r="B738" t="str">
            <v>Тумба прикроватная Ultra с ящ. Белое тиснение 390х414х284</v>
          </cell>
          <cell r="C738" t="str">
            <v>Вакансия</v>
          </cell>
          <cell r="D738" t="str">
            <v>ТУМБЫ ПРИКРОВАТНЫЕ</v>
          </cell>
          <cell r="E738" t="str">
            <v>FBO</v>
          </cell>
          <cell r="G738" t="str">
            <v>Белое тиснение</v>
          </cell>
          <cell r="H738" t="str">
            <v>2521897952469</v>
          </cell>
          <cell r="I738" t="str">
            <v>Вакансия</v>
          </cell>
        </row>
        <row r="739">
          <cell r="A739">
            <v>770325</v>
          </cell>
          <cell r="B739" t="str">
            <v>Тумба прикроватная Валенсия Венге ТБ011 500*430*450</v>
          </cell>
          <cell r="C739" t="str">
            <v>Вакансия</v>
          </cell>
          <cell r="D739" t="str">
            <v>ТУМБЫ ПРИКРОВАТНЫЕ</v>
          </cell>
          <cell r="E739" t="str">
            <v>FBO</v>
          </cell>
          <cell r="F739" t="str">
            <v>Тумба прикроватная Валенсия 500*430*450</v>
          </cell>
          <cell r="G739" t="str">
            <v>Венге</v>
          </cell>
          <cell r="H739" t="str">
            <v>2521897952408</v>
          </cell>
          <cell r="I739" t="str">
            <v>Вакансия</v>
          </cell>
        </row>
        <row r="740">
          <cell r="A740">
            <v>770327</v>
          </cell>
          <cell r="B740" t="str">
            <v>Тумба прикроватная Валенсия Дуб Белфорт ТБ011 500*430*450</v>
          </cell>
          <cell r="C740" t="str">
            <v>Вакансия</v>
          </cell>
          <cell r="D740" t="str">
            <v>ТУМБЫ ПРИКРОВАТНЫЕ</v>
          </cell>
          <cell r="E740" t="str">
            <v>FBO</v>
          </cell>
          <cell r="F740" t="str">
            <v>Тумба прикроватная Валенсия 500*430*450</v>
          </cell>
          <cell r="G740" t="str">
            <v>дуб белфорт</v>
          </cell>
          <cell r="H740" t="str">
            <v>2521897952410</v>
          </cell>
          <cell r="I740" t="str">
            <v>Вакансия</v>
          </cell>
        </row>
        <row r="741">
          <cell r="A741">
            <v>3197</v>
          </cell>
          <cell r="B741" t="str">
            <v>Тумба прикроватная Nicole New 2 ящ.Белое тиснен./Пельтро 400Х445х381</v>
          </cell>
          <cell r="C741" t="str">
            <v>Вакансия</v>
          </cell>
          <cell r="D741" t="str">
            <v>ТУМБЫ ПРИКРОВАТНЫЕ</v>
          </cell>
          <cell r="E741" t="str">
            <v>FBO</v>
          </cell>
          <cell r="F741" t="str">
            <v>Тумба прикроватная Nicole New 2 ящ</v>
          </cell>
          <cell r="G741" t="str">
            <v>Белое тиснение/Пельтро</v>
          </cell>
          <cell r="H741">
            <v>0</v>
          </cell>
          <cell r="I741" t="str">
            <v>Вакансия</v>
          </cell>
        </row>
        <row r="742">
          <cell r="A742">
            <v>9380</v>
          </cell>
          <cell r="B742" t="str">
            <v>Шезлонг садовый зеленый</v>
          </cell>
          <cell r="C742" t="str">
            <v>Вакансия</v>
          </cell>
          <cell r="D742" t="str">
            <v>ШЕЗЛОНГ</v>
          </cell>
          <cell r="E742" t="str">
            <v>FBS</v>
          </cell>
          <cell r="G742">
            <v>0</v>
          </cell>
          <cell r="H742" t="str">
            <v>2520000002115</v>
          </cell>
          <cell r="I742" t="str">
            <v>Вакансия</v>
          </cell>
        </row>
        <row r="743">
          <cell r="A743">
            <v>12473</v>
          </cell>
          <cell r="B743" t="str">
            <v>Шезлонг садовый красный</v>
          </cell>
          <cell r="C743" t="str">
            <v>Вакансия</v>
          </cell>
          <cell r="D743" t="str">
            <v>ШЕЗЛОНГ</v>
          </cell>
          <cell r="E743" t="str">
            <v>FBS</v>
          </cell>
          <cell r="G743">
            <v>0</v>
          </cell>
          <cell r="H743" t="str">
            <v>2520897922343</v>
          </cell>
          <cell r="I743" t="str">
            <v>Вакансия</v>
          </cell>
        </row>
        <row r="744">
          <cell r="A744">
            <v>9379</v>
          </cell>
          <cell r="B744" t="str">
            <v>Шезлонг садовый синий</v>
          </cell>
          <cell r="C744" t="str">
            <v>Вакансия</v>
          </cell>
          <cell r="D744" t="str">
            <v>ШЕЗЛОНГ</v>
          </cell>
          <cell r="E744" t="str">
            <v>FBS</v>
          </cell>
          <cell r="G744" t="str">
            <v>синий</v>
          </cell>
          <cell r="H744" t="str">
            <v>2520000002122</v>
          </cell>
          <cell r="I744" t="str">
            <v>Вакансия</v>
          </cell>
        </row>
        <row r="745">
          <cell r="A745">
            <v>19379</v>
          </cell>
          <cell r="B745" t="str">
            <v>Шезлонг с матерчатым сиденьем синий</v>
          </cell>
          <cell r="C745" t="str">
            <v>Вакансия</v>
          </cell>
          <cell r="D745" t="str">
            <v>ШЕЗЛОНГ</v>
          </cell>
          <cell r="E745" t="str">
            <v>FBS</v>
          </cell>
          <cell r="G745" t="str">
            <v>ткань</v>
          </cell>
          <cell r="H745">
            <v>0</v>
          </cell>
          <cell r="I745" t="str">
            <v>Вакансия</v>
          </cell>
        </row>
        <row r="746">
          <cell r="A746">
            <v>19380</v>
          </cell>
          <cell r="B746" t="str">
            <v>Шезлонг с матерчатым сиденьем зеленый</v>
          </cell>
          <cell r="C746" t="str">
            <v>Вакансия</v>
          </cell>
          <cell r="D746" t="str">
            <v>ШЕЗЛОНГ</v>
          </cell>
          <cell r="E746" t="str">
            <v>FBS</v>
          </cell>
          <cell r="G746">
            <v>0</v>
          </cell>
          <cell r="H746">
            <v>0</v>
          </cell>
          <cell r="I746" t="str">
            <v>Вакансия</v>
          </cell>
        </row>
        <row r="747">
          <cell r="A747">
            <v>2909</v>
          </cell>
          <cell r="B747" t="str">
            <v>Шкаф книжный Ультра с открытыми полками Венге 978х1001х304</v>
          </cell>
          <cell r="C747" t="str">
            <v>Вакансия</v>
          </cell>
          <cell r="D747" t="str">
            <v>ШКАФЫ</v>
          </cell>
          <cell r="E747" t="str">
            <v>СКГТ</v>
          </cell>
          <cell r="G747" t="str">
            <v>Венге</v>
          </cell>
          <cell r="H747" t="str">
            <v>2520000001535</v>
          </cell>
          <cell r="I747" t="str">
            <v>Вакансия</v>
          </cell>
        </row>
        <row r="748">
          <cell r="A748">
            <v>3130</v>
          </cell>
          <cell r="B748" t="str">
            <v>Шкаф стеллаж Malta Дуб сонома/Белое  тиснение 786х1133х254</v>
          </cell>
          <cell r="C748" t="str">
            <v>Вакансия</v>
          </cell>
          <cell r="D748" t="str">
            <v>ШКАФЫ</v>
          </cell>
          <cell r="E748" t="str">
            <v>FBS</v>
          </cell>
          <cell r="G748" t="str">
            <v>дуб сонома/белое тиснение</v>
          </cell>
          <cell r="H748" t="str">
            <v>2520000000139</v>
          </cell>
          <cell r="I748" t="str">
            <v>Вакансия</v>
          </cell>
        </row>
        <row r="749">
          <cell r="A749">
            <v>3077</v>
          </cell>
          <cell r="B749" t="str">
            <v>Шкаф книжный Ultra 4 секции Венге 400х1157х290</v>
          </cell>
          <cell r="C749" t="str">
            <v>Вакансия</v>
          </cell>
          <cell r="D749" t="str">
            <v>ШКАФЫ</v>
          </cell>
          <cell r="E749" t="str">
            <v>FBS</v>
          </cell>
          <cell r="G749" t="str">
            <v>Венге</v>
          </cell>
          <cell r="H749" t="str">
            <v>2521897952387</v>
          </cell>
          <cell r="I749" t="str">
            <v>Вакансия</v>
          </cell>
        </row>
        <row r="750">
          <cell r="A750">
            <v>3078</v>
          </cell>
          <cell r="B750" t="str">
            <v>Шкаф книжный Ultra 4 секции Дуб сонома 400х1157х290</v>
          </cell>
          <cell r="C750" t="str">
            <v>Вакансия</v>
          </cell>
          <cell r="D750" t="str">
            <v>ШКАФЫ</v>
          </cell>
          <cell r="E750" t="str">
            <v>FBS</v>
          </cell>
          <cell r="G750" t="str">
            <v>Дуб сонома</v>
          </cell>
          <cell r="H750" t="str">
            <v>2521897952389</v>
          </cell>
          <cell r="I750" t="str">
            <v>Вакансия</v>
          </cell>
        </row>
        <row r="751">
          <cell r="A751">
            <v>2996</v>
          </cell>
          <cell r="B751" t="str">
            <v>Комод Прага 3 ящика малый Дуб сонома 400х732х410</v>
          </cell>
          <cell r="C751" t="str">
            <v>Ратникова</v>
          </cell>
          <cell r="D751" t="str">
            <v>КОМОДЫ</v>
          </cell>
          <cell r="E751" t="str">
            <v>FBO</v>
          </cell>
          <cell r="F751" t="str">
            <v>Комод Прага 3 ящика малый 400х732х410</v>
          </cell>
          <cell r="G751" t="str">
            <v>Дуб сонома</v>
          </cell>
          <cell r="H751" t="str">
            <v>2520000002218</v>
          </cell>
          <cell r="I751" t="str">
            <v>Вакансия</v>
          </cell>
        </row>
        <row r="752">
          <cell r="A752">
            <v>2900</v>
          </cell>
          <cell r="B752" t="str">
            <v>Шкаф-комод Ультра 2-х дверный Белое тиснение 602х701х304</v>
          </cell>
          <cell r="C752" t="str">
            <v>Ратникова</v>
          </cell>
          <cell r="D752" t="str">
            <v>КОМОДЫ</v>
          </cell>
          <cell r="E752" t="str">
            <v>FBO</v>
          </cell>
          <cell r="F752" t="str">
            <v>Шкаф-комод Ультра 2-х дверный 602х701х304</v>
          </cell>
          <cell r="G752" t="str">
            <v>Белое тиснение</v>
          </cell>
          <cell r="H752" t="str">
            <v>2520000000558</v>
          </cell>
          <cell r="I752" t="str">
            <v>Вакансия</v>
          </cell>
        </row>
        <row r="753">
          <cell r="A753">
            <v>3190</v>
          </cell>
          <cell r="B753" t="str">
            <v>Шкаф стеллаж Blues Белое тиснение /Антрацит 722х1857х320</v>
          </cell>
          <cell r="C753" t="str">
            <v>Вакансия</v>
          </cell>
          <cell r="D753" t="str">
            <v>ШКАФЫ</v>
          </cell>
          <cell r="E753" t="str">
            <v xml:space="preserve">СКГТ </v>
          </cell>
          <cell r="G753" t="str">
            <v>комбин</v>
          </cell>
          <cell r="H753" t="str">
            <v>2521897952463</v>
          </cell>
          <cell r="I753" t="str">
            <v>Вакансия</v>
          </cell>
        </row>
        <row r="754">
          <cell r="A754">
            <v>9601</v>
          </cell>
          <cell r="B754" t="str">
            <v>Шкаф-полка Ницца Белое тиснение</v>
          </cell>
          <cell r="C754" t="str">
            <v>Перепечаева</v>
          </cell>
          <cell r="D754" t="str">
            <v>ШКАФЫ</v>
          </cell>
          <cell r="E754" t="str">
            <v>FBS</v>
          </cell>
          <cell r="F754" t="str">
            <v xml:space="preserve">Шкаф-полка Ницца </v>
          </cell>
          <cell r="G754" t="str">
            <v>Белое тиснение</v>
          </cell>
          <cell r="H754" t="str">
            <v>2521897952790</v>
          </cell>
          <cell r="I754" t="str">
            <v>Вакансия</v>
          </cell>
        </row>
        <row r="755">
          <cell r="A755">
            <v>14016</v>
          </cell>
          <cell r="B755" t="str">
            <v>Шкаф навесной Мальта Белое тиснение</v>
          </cell>
          <cell r="C755" t="str">
            <v>Перепечаева</v>
          </cell>
          <cell r="D755" t="str">
            <v>ШКАФЫ</v>
          </cell>
          <cell r="E755" t="str">
            <v>FBO</v>
          </cell>
          <cell r="F755" t="str">
            <v xml:space="preserve">Шкаф навесной Мальта </v>
          </cell>
          <cell r="G755" t="str">
            <v>Белое тиснение</v>
          </cell>
          <cell r="H755" t="str">
            <v>2521897952741</v>
          </cell>
          <cell r="I755" t="str">
            <v>Вакансия</v>
          </cell>
        </row>
        <row r="756">
          <cell r="A756">
            <v>14117</v>
          </cell>
          <cell r="B756" t="str">
            <v>Шкаф навесной Мальта Графит</v>
          </cell>
          <cell r="C756" t="str">
            <v>Перепечаева</v>
          </cell>
          <cell r="D756" t="str">
            <v>ШКАФЫ</v>
          </cell>
          <cell r="E756" t="str">
            <v>FBO</v>
          </cell>
          <cell r="F756" t="str">
            <v xml:space="preserve">Шкаф навесной Мальта </v>
          </cell>
          <cell r="G756" t="str">
            <v>Графит</v>
          </cell>
          <cell r="H756" t="str">
            <v>2521897953124</v>
          </cell>
          <cell r="I756" t="str">
            <v>Вакансия</v>
          </cell>
        </row>
        <row r="757">
          <cell r="A757">
            <v>14118</v>
          </cell>
          <cell r="B757" t="str">
            <v>Шкаф навесной Мальта Крафт белый</v>
          </cell>
          <cell r="C757" t="str">
            <v>Перепечаева</v>
          </cell>
          <cell r="D757" t="str">
            <v>ШКАФЫ</v>
          </cell>
          <cell r="E757" t="str">
            <v>FBO</v>
          </cell>
          <cell r="F757" t="str">
            <v xml:space="preserve">Шкаф навесной Мальта </v>
          </cell>
          <cell r="G757" t="str">
            <v>дуб крафт белый</v>
          </cell>
          <cell r="H757" t="str">
            <v>2521897953125</v>
          </cell>
          <cell r="I757" t="str">
            <v>Вакансия</v>
          </cell>
        </row>
        <row r="758">
          <cell r="A758">
            <v>14120</v>
          </cell>
          <cell r="B758" t="str">
            <v>Шкаф навесной Мальта Крафт золотой</v>
          </cell>
          <cell r="C758" t="str">
            <v>Перепечаева</v>
          </cell>
          <cell r="D758" t="str">
            <v>ШКАФЫ</v>
          </cell>
          <cell r="E758" t="str">
            <v>FBO</v>
          </cell>
          <cell r="F758" t="str">
            <v xml:space="preserve">Шкаф навесной Мальта </v>
          </cell>
          <cell r="G758" t="str">
            <v>Дуб Крафт золотой</v>
          </cell>
          <cell r="H758" t="str">
            <v>2521897953127</v>
          </cell>
          <cell r="I758" t="str">
            <v>Вакансия</v>
          </cell>
        </row>
        <row r="759">
          <cell r="A759" t="str">
            <v>03536/03537</v>
          </cell>
          <cell r="B759" t="str">
            <v>Прихожая Астерия Белое тиснение 1200х2045х354</v>
          </cell>
          <cell r="C759" t="str">
            <v>Вакансия</v>
          </cell>
          <cell r="D759" t="str">
            <v>ПРИХОЖАЯ</v>
          </cell>
          <cell r="E759" t="str">
            <v>СКГТ (ОЗОН)</v>
          </cell>
          <cell r="F759" t="str">
            <v>Прихожая Астерия</v>
          </cell>
          <cell r="G759" t="str">
            <v>Белое тиснение</v>
          </cell>
          <cell r="H759" t="str">
            <v>2521897952761</v>
          </cell>
          <cell r="I759" t="str">
            <v>Вакансия</v>
          </cell>
        </row>
        <row r="760">
          <cell r="A760" t="str">
            <v>03538/03539</v>
          </cell>
          <cell r="B760" t="str">
            <v>Гостиная Интеро Лайт Белое тиснение/Венге 1460х1515х354</v>
          </cell>
          <cell r="C760" t="str">
            <v xml:space="preserve">Петрова </v>
          </cell>
          <cell r="D760" t="str">
            <v>ГОСТИНАЯ</v>
          </cell>
          <cell r="E760">
            <v>0</v>
          </cell>
          <cell r="F760" t="str">
            <v>Гостиная Интеро Лайт 1460х1515х354</v>
          </cell>
          <cell r="G760" t="str">
            <v>комбин</v>
          </cell>
          <cell r="H760" t="str">
            <v>2521897952679</v>
          </cell>
          <cell r="I760" t="str">
            <v>Вакансия</v>
          </cell>
        </row>
        <row r="761">
          <cell r="A761">
            <v>16057</v>
          </cell>
          <cell r="B761" t="str">
            <v>Этажерка Blues Белое тиснение</v>
          </cell>
          <cell r="C761" t="str">
            <v>Вакансия</v>
          </cell>
          <cell r="D761" t="str">
            <v>ЭТАЖЕРКИ</v>
          </cell>
          <cell r="E761" t="str">
            <v>FBO</v>
          </cell>
          <cell r="G761" t="str">
            <v>Белое тиснение</v>
          </cell>
          <cell r="H761" t="str">
            <v>2521897952532</v>
          </cell>
          <cell r="I761" t="str">
            <v>Вакансия</v>
          </cell>
        </row>
        <row r="762">
          <cell r="A762">
            <v>45475</v>
          </cell>
          <cell r="B762" t="str">
            <v>Подушка Cotton</v>
          </cell>
          <cell r="C762" t="str">
            <v>Вакансия</v>
          </cell>
          <cell r="D762" t="str">
            <v>ПОДУШКИ</v>
          </cell>
          <cell r="E762" t="str">
            <v>FBO</v>
          </cell>
          <cell r="F762" t="str">
            <v>Подушка Cotton</v>
          </cell>
          <cell r="G762" t="str">
            <v>ткань</v>
          </cell>
          <cell r="H762" t="str">
            <v>2521897952801</v>
          </cell>
          <cell r="I762" t="str">
            <v>Вакансия</v>
          </cell>
        </row>
        <row r="763">
          <cell r="A763">
            <v>45675</v>
          </cell>
          <cell r="B763" t="str">
            <v>Подушка Green bamboo</v>
          </cell>
          <cell r="C763" t="str">
            <v>Кошкарева</v>
          </cell>
          <cell r="D763" t="str">
            <v>ПОДУШКИ</v>
          </cell>
          <cell r="E763" t="str">
            <v>FBO</v>
          </cell>
          <cell r="F763" t="str">
            <v>Подушка Green bamboo</v>
          </cell>
          <cell r="G763" t="str">
            <v>ткань</v>
          </cell>
          <cell r="H763" t="str">
            <v>2521897952799</v>
          </cell>
          <cell r="I763" t="str">
            <v>Вакансия</v>
          </cell>
        </row>
        <row r="764">
          <cell r="A764">
            <v>14068</v>
          </cell>
          <cell r="B764" t="str">
            <v>Матрас Spring Compact 160*200 (скрутка)</v>
          </cell>
          <cell r="C764" t="str">
            <v>Кошкарева</v>
          </cell>
          <cell r="D764" t="str">
            <v>МАТРАСЫ</v>
          </cell>
          <cell r="E764" t="str">
            <v>FBO</v>
          </cell>
          <cell r="F764" t="str">
            <v>Матрас</v>
          </cell>
          <cell r="G764" t="str">
            <v>ткань</v>
          </cell>
          <cell r="H764">
            <v>0</v>
          </cell>
          <cell r="I764" t="str">
            <v>Вакансия</v>
          </cell>
        </row>
        <row r="765">
          <cell r="A765">
            <v>14067</v>
          </cell>
          <cell r="B765" t="str">
            <v>Матрас Spring Compact 140*200 (скрутка)</v>
          </cell>
          <cell r="C765" t="str">
            <v>Кошкарева</v>
          </cell>
          <cell r="D765" t="str">
            <v>МАТРАСЫ</v>
          </cell>
          <cell r="E765" t="str">
            <v>FBO</v>
          </cell>
          <cell r="F765" t="str">
            <v>Матрас</v>
          </cell>
          <cell r="G765" t="str">
            <v>ткань</v>
          </cell>
          <cell r="H765">
            <v>0</v>
          </cell>
          <cell r="I765" t="str">
            <v>Вакансия</v>
          </cell>
        </row>
        <row r="766">
          <cell r="A766">
            <v>14066</v>
          </cell>
          <cell r="B766" t="str">
            <v>Матрас Spring Compact 90*200 (скрутка)</v>
          </cell>
          <cell r="C766" t="str">
            <v>Кошкарева</v>
          </cell>
          <cell r="D766" t="str">
            <v>МАТРАСЫ</v>
          </cell>
          <cell r="E766" t="str">
            <v>FBO</v>
          </cell>
          <cell r="F766" t="str">
            <v>Матрас</v>
          </cell>
          <cell r="G766" t="str">
            <v>ткань</v>
          </cell>
          <cell r="H766" t="str">
            <v>2521897953205</v>
          </cell>
          <cell r="I766" t="str">
            <v>Вакансия</v>
          </cell>
        </row>
        <row r="767">
          <cell r="A767" t="str">
            <v>MK1710101</v>
          </cell>
          <cell r="B767" t="str">
            <v>Стол угловой Tokyo ЛДСП Дуб Вотан, Черн. металл. 1100х750(h)х1100/450</v>
          </cell>
          <cell r="C767" t="str">
            <v>Ратникова</v>
          </cell>
          <cell r="D767" t="str">
            <v>СТОЛЫ</v>
          </cell>
          <cell r="E767" t="str">
            <v>FBS</v>
          </cell>
          <cell r="F767" t="str">
            <v>Стол угловой Tokyo</v>
          </cell>
          <cell r="G767" t="str">
            <v>ЛДСП Дуб Вотан, Черн. металл.</v>
          </cell>
          <cell r="H767" t="str">
            <v>2521897953256</v>
          </cell>
          <cell r="I767" t="str">
            <v>Вакансия</v>
          </cell>
        </row>
        <row r="768">
          <cell r="A768">
            <v>3767</v>
          </cell>
          <cell r="B768" t="str">
            <v>Обувница стеллаж Мальта с ящиком Белое тиснение 600*750*256</v>
          </cell>
          <cell r="C768" t="str">
            <v xml:space="preserve">Петрова </v>
          </cell>
          <cell r="D768" t="str">
            <v>ОБУВНИЦЫ</v>
          </cell>
          <cell r="E768" t="str">
            <v>FBO</v>
          </cell>
          <cell r="F768" t="str">
            <v>Обувница стеллаж Мальта с ящиком 600*750256</v>
          </cell>
          <cell r="G768" t="str">
            <v>Белое тиснение</v>
          </cell>
          <cell r="H768" t="str">
            <v>2521897953240</v>
          </cell>
          <cell r="I768" t="str">
            <v>Вакансия</v>
          </cell>
        </row>
        <row r="769">
          <cell r="A769" t="str">
            <v>80317945.09/01</v>
          </cell>
          <cell r="B769" t="str">
            <v>Стеллаж Hardy Лайт 2 Графит</v>
          </cell>
          <cell r="C769" t="str">
            <v>Загашева</v>
          </cell>
          <cell r="D769" t="str">
            <v>СТЕЛЛАЖИ</v>
          </cell>
          <cell r="E769" t="str">
            <v>FBO</v>
          </cell>
          <cell r="F769" t="str">
            <v>Стеллаж Hardy Лайт 2</v>
          </cell>
          <cell r="G769" t="str">
            <v>Графит</v>
          </cell>
          <cell r="H769" t="str">
            <v>2521897953213</v>
          </cell>
          <cell r="I769" t="str">
            <v>Вакансия</v>
          </cell>
        </row>
        <row r="770">
          <cell r="A770">
            <v>2902</v>
          </cell>
          <cell r="B770" t="str">
            <v>Шкаф-комод Ультра 2-х дверный Дуб сонома 602х701х304</v>
          </cell>
          <cell r="C770" t="str">
            <v>Ратникова</v>
          </cell>
          <cell r="D770" t="str">
            <v>КОМОДЫ</v>
          </cell>
          <cell r="E770" t="str">
            <v>FBO</v>
          </cell>
          <cell r="F770" t="str">
            <v>Шкаф-комод Ультра 2-х дверный 602х701х304</v>
          </cell>
          <cell r="G770" t="str">
            <v>Дуб сонома</v>
          </cell>
          <cell r="H770" t="str">
            <v>2520000000572</v>
          </cell>
          <cell r="I770" t="str">
            <v>Вакансия</v>
          </cell>
        </row>
        <row r="771">
          <cell r="A771">
            <v>2970</v>
          </cell>
          <cell r="B771" t="str">
            <v>Обувница Ультра вертикальная Белое тиснение 584х10148х244</v>
          </cell>
          <cell r="C771" t="str">
            <v xml:space="preserve">Петрова </v>
          </cell>
          <cell r="D771" t="str">
            <v>ОБУВНИЦЫ</v>
          </cell>
          <cell r="E771" t="str">
            <v>FBS</v>
          </cell>
          <cell r="F771" t="str">
            <v>Обувница Ультра вертикальная  584х10148х244</v>
          </cell>
          <cell r="G771" t="str">
            <v>Белое тиснение</v>
          </cell>
          <cell r="H771" t="str">
            <v>2520000001515</v>
          </cell>
          <cell r="I771" t="str">
            <v>Вакансия</v>
          </cell>
        </row>
        <row r="772">
          <cell r="A772">
            <v>135607</v>
          </cell>
          <cell r="B772" t="str">
            <v>Стул Комфорт Серый V32 (комплект 2 шт.)</v>
          </cell>
          <cell r="C772" t="str">
            <v>Мисесина</v>
          </cell>
          <cell r="D772" t="str">
            <v>СТУЛЬЯ</v>
          </cell>
          <cell r="E772" t="str">
            <v>FBO</v>
          </cell>
          <cell r="F772" t="str">
            <v>Стул Комфорт (комплект 2 шт.)</v>
          </cell>
          <cell r="G772" t="str">
            <v>ткань</v>
          </cell>
          <cell r="H772" t="str">
            <v>2521897953144</v>
          </cell>
          <cell r="I772" t="str">
            <v>Вакансия</v>
          </cell>
        </row>
        <row r="773">
          <cell r="A773">
            <v>135593</v>
          </cell>
          <cell r="B773" t="str">
            <v>Комод City 3 ящика Дуб крафт табачный</v>
          </cell>
          <cell r="C773" t="str">
            <v>Платонова</v>
          </cell>
          <cell r="D773" t="str">
            <v>КОМОДЫ</v>
          </cell>
          <cell r="E773" t="str">
            <v>FBO</v>
          </cell>
          <cell r="F773" t="str">
            <v>Комод City 3 ящика 700х675х354</v>
          </cell>
          <cell r="G773" t="str">
            <v>дуб крафт табачный</v>
          </cell>
          <cell r="H773" t="str">
            <v>2521897953051</v>
          </cell>
          <cell r="I773" t="str">
            <v>Вакансия</v>
          </cell>
        </row>
        <row r="774">
          <cell r="A774">
            <v>12604</v>
          </cell>
          <cell r="B774" t="str">
            <v>Диван - Книжка Style 45/2/41 Розовый-Фиолетовый</v>
          </cell>
          <cell r="C774" t="str">
            <v>Вакансия</v>
          </cell>
          <cell r="D774" t="str">
            <v>ДИВАНЫ</v>
          </cell>
          <cell r="E774" t="str">
            <v xml:space="preserve">СКГТ </v>
          </cell>
          <cell r="G774">
            <v>0</v>
          </cell>
          <cell r="H774" t="str">
            <v>2521897952555</v>
          </cell>
          <cell r="I774" t="str">
            <v>Вакансия</v>
          </cell>
        </row>
        <row r="775">
          <cell r="A775">
            <v>2653</v>
          </cell>
          <cell r="B775" t="str">
            <v>Вешалка Ультра лайт Бодега темн.</v>
          </cell>
          <cell r="C775" t="str">
            <v>Вакансия</v>
          </cell>
          <cell r="D775" t="str">
            <v>ВЕШАЛКИ</v>
          </cell>
          <cell r="E775" t="str">
            <v xml:space="preserve">СКГТ </v>
          </cell>
          <cell r="G775" t="str">
            <v>Бодега</v>
          </cell>
          <cell r="H775">
            <v>0</v>
          </cell>
          <cell r="I775" t="str">
            <v>Вакансия</v>
          </cell>
        </row>
        <row r="776">
          <cell r="A776">
            <v>3036</v>
          </cell>
          <cell r="B776" t="str">
            <v>Вешалка Ультра Лайт Белое тиснение  608х1196х154</v>
          </cell>
          <cell r="C776" t="str">
            <v>Вакансия</v>
          </cell>
          <cell r="D776" t="str">
            <v>ВЕШАЛКИ</v>
          </cell>
          <cell r="E776" t="str">
            <v xml:space="preserve">СКГТ </v>
          </cell>
          <cell r="G776" t="str">
            <v>Белое тиснение</v>
          </cell>
          <cell r="H776">
            <v>0</v>
          </cell>
          <cell r="I776" t="str">
            <v>Вакансия</v>
          </cell>
        </row>
        <row r="777">
          <cell r="A777">
            <v>2487</v>
          </cell>
          <cell r="B777" t="str">
            <v>Вешалка Ультра Лайт Дуб сонома 608х1196х154</v>
          </cell>
          <cell r="C777" t="str">
            <v>Вакансия</v>
          </cell>
          <cell r="D777" t="str">
            <v>ВЕШАЛКИ</v>
          </cell>
          <cell r="E777" t="str">
            <v xml:space="preserve">СКГТ </v>
          </cell>
          <cell r="G777" t="str">
            <v>Дуб сонома</v>
          </cell>
          <cell r="H777">
            <v>0</v>
          </cell>
          <cell r="I777" t="str">
            <v>Вакансия</v>
          </cell>
        </row>
        <row r="778">
          <cell r="A778">
            <v>2488</v>
          </cell>
          <cell r="B778" t="str">
            <v>Вешалка Ультра Лайт Венге 608х1196х155</v>
          </cell>
          <cell r="C778" t="str">
            <v>Вакансия</v>
          </cell>
          <cell r="D778" t="str">
            <v>ВЕШАЛКИ</v>
          </cell>
          <cell r="E778" t="str">
            <v xml:space="preserve">СКГТ </v>
          </cell>
          <cell r="G778" t="str">
            <v>Венге</v>
          </cell>
          <cell r="H778" t="str">
            <v>2520000000435</v>
          </cell>
          <cell r="I778" t="str">
            <v>Вакансия</v>
          </cell>
        </row>
        <row r="779">
          <cell r="A779" t="str">
            <v>М0459</v>
          </cell>
          <cell r="B779" t="str">
            <v>Диван-кровать Найс с подлокотниками Велюр Бель Латте 1420х820х907</v>
          </cell>
          <cell r="C779" t="str">
            <v>Вакансия</v>
          </cell>
          <cell r="D779" t="str">
            <v>ДИВАНЫ</v>
          </cell>
          <cell r="E779" t="str">
            <v xml:space="preserve">СКГТ </v>
          </cell>
          <cell r="G779" t="str">
            <v>Велюр</v>
          </cell>
          <cell r="H779">
            <v>0</v>
          </cell>
          <cell r="I779" t="str">
            <v>Вакансия</v>
          </cell>
        </row>
        <row r="780">
          <cell r="A780">
            <v>12615</v>
          </cell>
          <cell r="B780" t="str">
            <v>Диван-книжка Next - Balance 996</v>
          </cell>
          <cell r="C780" t="str">
            <v>Вакансия</v>
          </cell>
          <cell r="D780" t="str">
            <v>ДИВАНЫ</v>
          </cell>
          <cell r="E780" t="str">
            <v xml:space="preserve">СКГТ </v>
          </cell>
          <cell r="G780">
            <v>0</v>
          </cell>
          <cell r="H780">
            <v>0</v>
          </cell>
          <cell r="I780" t="str">
            <v>Вакансия</v>
          </cell>
        </row>
        <row r="781">
          <cell r="A781">
            <v>12017</v>
          </cell>
          <cell r="B781" t="str">
            <v>Диван - Книжка Комфорт Голубой 2000х950х850</v>
          </cell>
          <cell r="C781" t="str">
            <v>Вакансия</v>
          </cell>
          <cell r="D781" t="str">
            <v>ДИВАНЫ</v>
          </cell>
          <cell r="E781" t="str">
            <v xml:space="preserve">СКГТ </v>
          </cell>
          <cell r="G781">
            <v>0</v>
          </cell>
          <cell r="H781" t="str">
            <v>2521897952550</v>
          </cell>
          <cell r="I781" t="str">
            <v>Вакансия</v>
          </cell>
        </row>
        <row r="782">
          <cell r="A782">
            <v>3013</v>
          </cell>
          <cell r="B782" t="str">
            <v>Комод City 4 ящика Венге 700х867х354</v>
          </cell>
          <cell r="C782" t="str">
            <v>Вакансия</v>
          </cell>
          <cell r="D782" t="str">
            <v>КОМОДЫ</v>
          </cell>
          <cell r="E782" t="str">
            <v xml:space="preserve">СКГТ </v>
          </cell>
          <cell r="G782" t="str">
            <v>Венге</v>
          </cell>
          <cell r="H782" t="str">
            <v>2520897922359</v>
          </cell>
          <cell r="I782" t="str">
            <v>Вакансия</v>
          </cell>
        </row>
        <row r="783">
          <cell r="A783">
            <v>4068</v>
          </cell>
          <cell r="B783" t="str">
            <v>Комод Телави Бетон 672х756х346</v>
          </cell>
          <cell r="C783" t="str">
            <v>Ратникова</v>
          </cell>
          <cell r="D783" t="str">
            <v>КОМОДЫ</v>
          </cell>
          <cell r="E783" t="str">
            <v>FBO</v>
          </cell>
          <cell r="F783" t="str">
            <v>Комод Телави 672х756х346</v>
          </cell>
          <cell r="G783" t="str">
            <v>Бетон</v>
          </cell>
          <cell r="H783" t="str">
            <v>2521897953060</v>
          </cell>
          <cell r="I783" t="str">
            <v>Вакансия</v>
          </cell>
        </row>
        <row r="784">
          <cell r="A784">
            <v>29980</v>
          </cell>
          <cell r="B784" t="str">
            <v>Комод Прага 3 ящика малый Крафт белый</v>
          </cell>
          <cell r="C784" t="str">
            <v>Ратникова</v>
          </cell>
          <cell r="D784" t="str">
            <v>КОМОДЫ</v>
          </cell>
          <cell r="E784" t="str">
            <v>FBO</v>
          </cell>
          <cell r="F784" t="str">
            <v>Комод Прага 3 ящика малый 400х732х410</v>
          </cell>
          <cell r="G784" t="str">
            <v>дуб крафт белый</v>
          </cell>
          <cell r="H784" t="str">
            <v>2521897953131</v>
          </cell>
          <cell r="I784" t="str">
            <v>Вакансия</v>
          </cell>
        </row>
        <row r="785">
          <cell r="A785">
            <v>29990</v>
          </cell>
          <cell r="B785" t="str">
            <v>Комод Прага 3 ящика малый Крафт золотой</v>
          </cell>
          <cell r="C785" t="str">
            <v>Ратникова</v>
          </cell>
          <cell r="D785" t="str">
            <v>КОМОДЫ</v>
          </cell>
          <cell r="E785" t="str">
            <v>FBO</v>
          </cell>
          <cell r="F785" t="str">
            <v>Комод Прага 3 ящика малый 400х732х410</v>
          </cell>
          <cell r="G785" t="str">
            <v>Дуб Крафт золотой</v>
          </cell>
          <cell r="H785" t="str">
            <v>2521897953132</v>
          </cell>
          <cell r="I785" t="str">
            <v>Вакансия</v>
          </cell>
        </row>
        <row r="786">
          <cell r="A786">
            <v>2642</v>
          </cell>
          <cell r="B786" t="str">
            <v>Тумба для обуви Мальта Венге/Орех лион 614х470х314</v>
          </cell>
          <cell r="C786" t="str">
            <v xml:space="preserve">Петрова </v>
          </cell>
          <cell r="D786" t="str">
            <v>ОБУВНИЦЫ</v>
          </cell>
          <cell r="E786" t="str">
            <v>FBO</v>
          </cell>
          <cell r="F786" t="str">
            <v>Тумба для обуви Мальта  614х470х314</v>
          </cell>
          <cell r="G786" t="str">
            <v>Венге/Дуб крафт золотой</v>
          </cell>
          <cell r="H786" t="str">
            <v>2520000001432</v>
          </cell>
          <cell r="I786" t="str">
            <v>Вакансия</v>
          </cell>
        </row>
        <row r="787">
          <cell r="A787" t="str">
            <v>3709.20/01</v>
          </cell>
          <cell r="B787" t="str">
            <v>Стеллаж Quattro New со штангой для вещей Цемент светлый Вельвет 642*1236*288</v>
          </cell>
          <cell r="C787" t="str">
            <v>Зимакова</v>
          </cell>
          <cell r="D787" t="str">
            <v>СТЕЛЛАЖИ</v>
          </cell>
          <cell r="E787" t="str">
            <v>FBO</v>
          </cell>
          <cell r="F787" t="str">
            <v>Стеллаж Quattro New со штангой для вещей</v>
          </cell>
          <cell r="G787" t="str">
            <v>Цемент светлый вельвет</v>
          </cell>
          <cell r="H787" t="str">
            <v>2521897953327</v>
          </cell>
          <cell r="I787" t="str">
            <v>Вакансия</v>
          </cell>
        </row>
        <row r="788">
          <cell r="A788" t="str">
            <v>3709.05/01</v>
          </cell>
          <cell r="B788" t="str">
            <v>Стеллаж Quattro New со штангой для вещей Дуб Крафт золотой 642*1236*288</v>
          </cell>
          <cell r="C788" t="str">
            <v>Зимакова</v>
          </cell>
          <cell r="D788" t="str">
            <v>СТЕЛЛАЖИ</v>
          </cell>
          <cell r="E788" t="str">
            <v>FBO</v>
          </cell>
          <cell r="F788" t="str">
            <v>Стеллаж Quattro New со штангой для вещей</v>
          </cell>
          <cell r="G788" t="str">
            <v>Дуб Крафт золотой</v>
          </cell>
          <cell r="H788" t="str">
            <v>2521897953326</v>
          </cell>
          <cell r="I788" t="str">
            <v>Вакансия</v>
          </cell>
        </row>
        <row r="789">
          <cell r="A789">
            <v>3709</v>
          </cell>
          <cell r="B789" t="str">
            <v>Стеллаж Quattro New со штангой для вещей Белое тиснение 642*1236*288</v>
          </cell>
          <cell r="C789" t="str">
            <v>Зимакова</v>
          </cell>
          <cell r="D789" t="str">
            <v>СТЕЛЛАЖИ</v>
          </cell>
          <cell r="E789" t="str">
            <v>FBO</v>
          </cell>
          <cell r="F789" t="str">
            <v>Стеллаж Quattro New со штангой для вещей</v>
          </cell>
          <cell r="G789" t="str">
            <v>Белое тиснение</v>
          </cell>
          <cell r="H789" t="str">
            <v>2521897953325</v>
          </cell>
          <cell r="I789" t="str">
            <v>Вакансия</v>
          </cell>
        </row>
        <row r="790">
          <cell r="A790" t="str">
            <v>3898.09/01</v>
          </cell>
          <cell r="B790" t="str">
            <v>Стеллаж Quattro New в детскую для книг и игрушек Серый Графит 642*864*288</v>
          </cell>
          <cell r="C790" t="str">
            <v>Зимакова</v>
          </cell>
          <cell r="D790" t="str">
            <v>СТЕЛЛАЖИ</v>
          </cell>
          <cell r="E790" t="str">
            <v>FBO</v>
          </cell>
          <cell r="F790" t="str">
            <v>Стеллаж Quattro New в детскую для книг и игрушек</v>
          </cell>
          <cell r="G790" t="str">
            <v>Графит</v>
          </cell>
          <cell r="H790" t="str">
            <v>2521897953334</v>
          </cell>
          <cell r="I790" t="str">
            <v>Вакансия</v>
          </cell>
        </row>
        <row r="791">
          <cell r="A791">
            <v>3622</v>
          </cell>
          <cell r="B791" t="str">
            <v>Обувница Ultra вертикальная 1 секция Белое тиснение 532х374х170</v>
          </cell>
          <cell r="C791" t="str">
            <v xml:space="preserve">Петрова </v>
          </cell>
          <cell r="D791" t="str">
            <v>ОБУВНИЦЫ</v>
          </cell>
          <cell r="E791" t="str">
            <v>FBO</v>
          </cell>
          <cell r="F791" t="str">
            <v>Обувница Ultra вертикальная 1 секция  532х374х170</v>
          </cell>
          <cell r="G791" t="str">
            <v>Белое тиснение</v>
          </cell>
          <cell r="H791" t="str">
            <v>2521897953065</v>
          </cell>
          <cell r="I791" t="str">
            <v>Вакансия</v>
          </cell>
        </row>
        <row r="792">
          <cell r="A792">
            <v>2959</v>
          </cell>
          <cell r="B792" t="str">
            <v>Стол  письменный компьютерный угловой Jazz Венге 1100х750х500/872</v>
          </cell>
          <cell r="C792" t="str">
            <v>Ратникова</v>
          </cell>
          <cell r="D792" t="str">
            <v>СТОЛЫ</v>
          </cell>
          <cell r="E792" t="str">
            <v>FBS</v>
          </cell>
          <cell r="F792" t="str">
            <v>Стол  письменный компьютерный угловой Jazz  1100х750х500/872</v>
          </cell>
          <cell r="G792" t="str">
            <v>Венге</v>
          </cell>
          <cell r="H792" t="str">
            <v>2520000001523</v>
          </cell>
          <cell r="I792" t="str">
            <v>Вакансия</v>
          </cell>
        </row>
        <row r="793">
          <cell r="A793" t="str">
            <v>3898.05/01</v>
          </cell>
          <cell r="B793" t="str">
            <v>Стеллаж Quattro New в детскую для книг и игрушек Дуб Крафт золотой 642*864*288</v>
          </cell>
          <cell r="C793" t="str">
            <v>Зимакова</v>
          </cell>
          <cell r="D793" t="str">
            <v>СТЕЛЛАЖИ</v>
          </cell>
          <cell r="E793" t="str">
            <v>FBO</v>
          </cell>
          <cell r="F793" t="str">
            <v>Стеллаж Quattro New в детскую для книг и игрушек</v>
          </cell>
          <cell r="G793" t="str">
            <v>Дуб Крафт золотой</v>
          </cell>
          <cell r="H793" t="str">
            <v>2521897953333</v>
          </cell>
          <cell r="I793" t="str">
            <v>Вакансия</v>
          </cell>
        </row>
        <row r="794">
          <cell r="A794" t="str">
            <v>3897.09/01</v>
          </cell>
          <cell r="B794" t="str">
            <v>Стеллаж Quattro New 5 секций универс. Серый Графит 642*996*454</v>
          </cell>
          <cell r="C794" t="str">
            <v>Загашева</v>
          </cell>
          <cell r="D794" t="str">
            <v>СТЕЛЛАЖИ</v>
          </cell>
          <cell r="E794" t="str">
            <v>FBO</v>
          </cell>
          <cell r="F794" t="str">
            <v>Стеллаж Quattro New 5 секций универс.</v>
          </cell>
          <cell r="G794" t="str">
            <v>Графит</v>
          </cell>
          <cell r="H794" t="str">
            <v>2521897953354</v>
          </cell>
          <cell r="I794" t="str">
            <v>Вакансия</v>
          </cell>
        </row>
        <row r="795">
          <cell r="A795" t="str">
            <v>3897.05/01</v>
          </cell>
          <cell r="B795" t="str">
            <v>Стеллаж Quattro New 5 секций универс. Дуб Крафт золотой 642*996*454</v>
          </cell>
          <cell r="C795" t="str">
            <v>Загашева</v>
          </cell>
          <cell r="D795" t="str">
            <v>СТЕЛЛАЖИ</v>
          </cell>
          <cell r="E795" t="str">
            <v>FBO</v>
          </cell>
          <cell r="F795" t="str">
            <v>Стеллаж Quattro New 5 секций универс.</v>
          </cell>
          <cell r="G795" t="str">
            <v>Дуб Крафт золотой</v>
          </cell>
          <cell r="H795" t="str">
            <v>2521897953353</v>
          </cell>
          <cell r="I795" t="str">
            <v>Вакансия</v>
          </cell>
        </row>
        <row r="796">
          <cell r="A796" t="str">
            <v>3708.05/01</v>
          </cell>
          <cell r="B796" t="str">
            <v>Стеллаж Quattro New 4 секций с дверками Дуб Крафт Золотой 642*644*292</v>
          </cell>
          <cell r="C796" t="str">
            <v>Зимакова</v>
          </cell>
          <cell r="D796" t="str">
            <v>СТЕЛЛАЖИ</v>
          </cell>
          <cell r="E796" t="str">
            <v>FBO</v>
          </cell>
          <cell r="F796" t="str">
            <v>Стеллаж Quattro New 4 секций с дверками</v>
          </cell>
          <cell r="G796" t="str">
            <v>Дуб Крафт золотой</v>
          </cell>
          <cell r="H796" t="str">
            <v>2521897953320</v>
          </cell>
          <cell r="I796" t="str">
            <v>Вакансия</v>
          </cell>
        </row>
        <row r="797">
          <cell r="A797" t="str">
            <v>MK2951701</v>
          </cell>
          <cell r="B797" t="str">
            <v>Комод Boston 3 ящика ЛДСП Белая гладкая, Черн. металл 750*728*334</v>
          </cell>
          <cell r="C797">
            <v>0</v>
          </cell>
          <cell r="D797" t="str">
            <v>КОМОДЫ</v>
          </cell>
          <cell r="E797" t="str">
            <v>FBO</v>
          </cell>
          <cell r="F797" t="str">
            <v>Комод Boston 3 ящика</v>
          </cell>
          <cell r="G797" t="str">
            <v>Белая гладкая, Черн. металл</v>
          </cell>
          <cell r="H797" t="str">
            <v>2521897953360</v>
          </cell>
          <cell r="I797" t="str">
            <v>Вакансия</v>
          </cell>
        </row>
        <row r="798">
          <cell r="A798" t="str">
            <v>3708.09/01</v>
          </cell>
          <cell r="B798" t="str">
            <v>Стеллаж Quattro New 4 секций с дверками Графит 642*644*292</v>
          </cell>
          <cell r="C798" t="str">
            <v>Зимакова</v>
          </cell>
          <cell r="D798" t="str">
            <v>СТЕЛЛАЖИ</v>
          </cell>
          <cell r="E798" t="str">
            <v>FBO</v>
          </cell>
          <cell r="F798" t="str">
            <v>Стеллаж Quattro New 4 секций с дверками</v>
          </cell>
          <cell r="G798" t="str">
            <v>Графит</v>
          </cell>
          <cell r="H798" t="str">
            <v>2521897953321</v>
          </cell>
          <cell r="I798" t="str">
            <v>Вакансия</v>
          </cell>
        </row>
        <row r="799">
          <cell r="A799" t="str">
            <v>MK2630101</v>
          </cell>
          <cell r="B799" t="str">
            <v>Тумба прикроватная Fiji с дверкой Дуб Вотан, Черный металл</v>
          </cell>
          <cell r="C799">
            <v>0</v>
          </cell>
          <cell r="D799" t="str">
            <v>ТУМБЫ ПРИКРОВАТНЫЕ</v>
          </cell>
          <cell r="E799" t="str">
            <v>FBO</v>
          </cell>
          <cell r="F799" t="str">
            <v>Тумба прикроватная Fiji с дверкой</v>
          </cell>
          <cell r="G799" t="str">
            <v>Дуб Вотан, Черн. металл.</v>
          </cell>
          <cell r="H799" t="str">
            <v>2521897953421</v>
          </cell>
          <cell r="I799" t="str">
            <v>Вакансия</v>
          </cell>
        </row>
        <row r="800">
          <cell r="A800">
            <v>3708</v>
          </cell>
          <cell r="B800" t="str">
            <v>Стеллаж Quattro New 4 секций с дверками Белое тиснение 642*644*292</v>
          </cell>
          <cell r="C800" t="str">
            <v>Зимакова</v>
          </cell>
          <cell r="D800" t="str">
            <v>СТЕЛЛАЖИ</v>
          </cell>
          <cell r="E800" t="str">
            <v>FBO</v>
          </cell>
          <cell r="F800" t="str">
            <v>Стеллаж Quattro New 4 секций с дверками</v>
          </cell>
          <cell r="G800" t="str">
            <v>Белое тиснение</v>
          </cell>
          <cell r="H800" t="str">
            <v>2521897953319</v>
          </cell>
          <cell r="I800" t="str">
            <v>Вакансия</v>
          </cell>
        </row>
        <row r="801">
          <cell r="A801" t="str">
            <v>3774.05/01</v>
          </cell>
          <cell r="B801" t="str">
            <v>Стеллаж Quattro New 4 секций (квадрат) Дуб Крафт Золотой 642*644*288</v>
          </cell>
          <cell r="C801" t="str">
            <v>Загашева</v>
          </cell>
          <cell r="D801" t="str">
            <v>СТЕЛЛАЖИ</v>
          </cell>
          <cell r="E801" t="str">
            <v>FBO</v>
          </cell>
          <cell r="F801" t="str">
            <v>Стеллаж Quattro New 4 секций (квадрат)</v>
          </cell>
          <cell r="G801" t="str">
            <v>Дуб Крафт золотой</v>
          </cell>
          <cell r="H801" t="str">
            <v>2521897953323</v>
          </cell>
          <cell r="I801" t="str">
            <v>Вакансия</v>
          </cell>
        </row>
        <row r="802">
          <cell r="A802" t="str">
            <v>3774.09/01</v>
          </cell>
          <cell r="B802" t="str">
            <v>Стеллаж Quattro New 4 секций (квадрат) Графит 642*644*288</v>
          </cell>
          <cell r="C802" t="str">
            <v>Загашева</v>
          </cell>
          <cell r="D802" t="str">
            <v>СТЕЛЛАЖИ</v>
          </cell>
          <cell r="E802" t="str">
            <v>FBO</v>
          </cell>
          <cell r="F802" t="str">
            <v>Стеллаж Quattro New 4 секций (квадрат)</v>
          </cell>
          <cell r="G802" t="str">
            <v>Графит</v>
          </cell>
          <cell r="H802" t="str">
            <v>2521897953324</v>
          </cell>
          <cell r="I802" t="str">
            <v>Вакансия</v>
          </cell>
        </row>
        <row r="803">
          <cell r="A803">
            <v>3139</v>
          </cell>
          <cell r="B803" t="str">
            <v>Стол стеллаж Zett Дуб Сонома</v>
          </cell>
          <cell r="C803" t="str">
            <v>Кошкарева</v>
          </cell>
          <cell r="D803" t="str">
            <v>СТОЛЫ</v>
          </cell>
          <cell r="E803" t="str">
            <v>FBO</v>
          </cell>
          <cell r="F803" t="str">
            <v xml:space="preserve">Стол стеллаж Zett </v>
          </cell>
          <cell r="G803" t="str">
            <v>Дуб сонома</v>
          </cell>
          <cell r="H803" t="str">
            <v>2521897952458</v>
          </cell>
          <cell r="I803" t="str">
            <v>Вакансия</v>
          </cell>
        </row>
        <row r="804">
          <cell r="A804">
            <v>3774</v>
          </cell>
          <cell r="B804" t="str">
            <v>Стеллаж Quattro New 4 секций (квадрат) Белое тиснение 642*644*288</v>
          </cell>
          <cell r="C804" t="str">
            <v>Загашева</v>
          </cell>
          <cell r="D804" t="str">
            <v>СТЕЛЛАЖИ</v>
          </cell>
          <cell r="E804" t="str">
            <v>FBO</v>
          </cell>
          <cell r="F804" t="str">
            <v>Стеллаж Quattro New 4 секций (квадрат)</v>
          </cell>
          <cell r="G804" t="str">
            <v>Белое тиснение</v>
          </cell>
          <cell r="H804" t="str">
            <v>2521897953322</v>
          </cell>
          <cell r="I804" t="str">
            <v>Вакансия</v>
          </cell>
        </row>
        <row r="805">
          <cell r="A805" t="str">
            <v>3920.07/01</v>
          </cell>
          <cell r="B805" t="str">
            <v>Модуль многофункциональный 950х250(h)х394 Антрацит</v>
          </cell>
          <cell r="C805">
            <v>0</v>
          </cell>
          <cell r="D805" t="str">
            <v>ТУМБЫ ПРИКРОВАТНЫЕ</v>
          </cell>
          <cell r="E805" t="str">
            <v>FBO</v>
          </cell>
          <cell r="F805" t="str">
            <v>Модуль многофункциональный 950х250(h)х394</v>
          </cell>
          <cell r="G805" t="str">
            <v>Антрацит</v>
          </cell>
          <cell r="H805" t="str">
            <v>2521897953440</v>
          </cell>
          <cell r="I805" t="str">
            <v>Вакансия</v>
          </cell>
        </row>
        <row r="806">
          <cell r="A806" t="str">
            <v>3919.05/01</v>
          </cell>
          <cell r="B806" t="str">
            <v>Модуль многофункциональный 750х250(h)х394 Дуб Крафт золотой</v>
          </cell>
          <cell r="C806">
            <v>0</v>
          </cell>
          <cell r="D806" t="str">
            <v>ТУМБЫ ПРИКРОВАТНЫЕ</v>
          </cell>
          <cell r="E806" t="str">
            <v>FBO</v>
          </cell>
          <cell r="F806" t="str">
            <v>Модуль многофункциональный 750х250(h)х394</v>
          </cell>
          <cell r="G806" t="str">
            <v>Дуб Крафт золотой</v>
          </cell>
          <cell r="H806" t="str">
            <v>2521897953439</v>
          </cell>
          <cell r="I806" t="str">
            <v>Вакансия</v>
          </cell>
        </row>
        <row r="807">
          <cell r="A807" t="str">
            <v>3918.06/01</v>
          </cell>
          <cell r="B807" t="str">
            <v>Модуль многофункциональный 550х250(h)х394 Дуб Крафт Белый</v>
          </cell>
          <cell r="C807">
            <v>0</v>
          </cell>
          <cell r="D807" t="str">
            <v>ТУМБЫ ПРИКРОВАТНЫЕ</v>
          </cell>
          <cell r="E807" t="str">
            <v>FBO</v>
          </cell>
          <cell r="F807" t="str">
            <v>Модуль многофункциональный 550х250(h)х394</v>
          </cell>
          <cell r="G807" t="str">
            <v>Дуб Крафт Белый</v>
          </cell>
          <cell r="H807" t="str">
            <v>2521897953438</v>
          </cell>
          <cell r="I807" t="str">
            <v>Вакансия</v>
          </cell>
        </row>
        <row r="808">
          <cell r="A808" t="str">
            <v>4153.17.05/01</v>
          </cell>
          <cell r="B808" t="str">
            <v>Тумба прикроватная Рокки 2 ящика Белая гладкая/Дуб Крафт золотой 480*420*398</v>
          </cell>
          <cell r="D808" t="str">
            <v>ТУМБЫ ПРИКРОВАТНЫЕ</v>
          </cell>
          <cell r="E808" t="str">
            <v>FBO</v>
          </cell>
          <cell r="F808" t="str">
            <v>Тумба прикроватная Рокки 2 ящика</v>
          </cell>
          <cell r="G808" t="str">
            <v>Белая гладкая/Дуб Крафт золотой</v>
          </cell>
          <cell r="H808" t="str">
            <v>2521897953504</v>
          </cell>
          <cell r="I808" t="str">
            <v>Вакансия</v>
          </cell>
        </row>
        <row r="809">
          <cell r="A809" t="str">
            <v>4151.17.05/01</v>
          </cell>
          <cell r="B809" t="str">
            <v>Комод Рокки 3 ящика Белая гладкая/Дуб Крафт Золотой 878х858(h)х398</v>
          </cell>
          <cell r="D809" t="str">
            <v>КОМОДЫ</v>
          </cell>
          <cell r="E809" t="str">
            <v>СКГТ (ОЗОН)</v>
          </cell>
          <cell r="F809" t="str">
            <v>Комод Рокки 3 ящика</v>
          </cell>
          <cell r="G809" t="str">
            <v>Белая гладкая/Дуб Крафт золотой</v>
          </cell>
          <cell r="H809" t="str">
            <v>2521897953514</v>
          </cell>
          <cell r="I809" t="str">
            <v>Вакансия</v>
          </cell>
        </row>
        <row r="810">
          <cell r="A810" t="str">
            <v>MK00035</v>
          </cell>
          <cell r="B810" t="str">
            <v>Тумба под ТВ Tokyo с ящиком ЛДСП Белое тиснен., черн.металл. 900х470х300</v>
          </cell>
          <cell r="C810" t="str">
            <v>Мисесина</v>
          </cell>
          <cell r="D810" t="str">
            <v>ТУМБЫ под ТВ</v>
          </cell>
          <cell r="E810" t="str">
            <v>FBS</v>
          </cell>
          <cell r="F810" t="str">
            <v>Тумба под ТВ Tokyo с ящиком 900х470х300</v>
          </cell>
          <cell r="G810" t="str">
            <v xml:space="preserve">ЛДСП Белое тиснение, Черн. металл. </v>
          </cell>
          <cell r="H810" t="str">
            <v>2521897952618</v>
          </cell>
          <cell r="I810" t="str">
            <v>Вакансия</v>
          </cell>
        </row>
        <row r="811">
          <cell r="A811" t="str">
            <v>4157.17.05/01</v>
          </cell>
          <cell r="B811" t="str">
            <v>Банкетка Рокки с ящиком Белая гладкая/Дуб крафт золотой/Кожзам белый 750*450*398</v>
          </cell>
          <cell r="D811" t="str">
            <v>ОБУВНИЦЫ</v>
          </cell>
          <cell r="E811" t="str">
            <v>FBO</v>
          </cell>
          <cell r="F811" t="str">
            <v>Банкетка Рокки с ящиком</v>
          </cell>
          <cell r="G811" t="str">
            <v>Белая гладкая/Дуб крафт золотой/Кожзам белый</v>
          </cell>
          <cell r="H811" t="str">
            <v>2521897953538</v>
          </cell>
          <cell r="I811" t="str">
            <v>Вакансия</v>
          </cell>
        </row>
        <row r="812">
          <cell r="A812">
            <v>4051</v>
          </cell>
          <cell r="B812" t="str">
            <v>Стеллаж тумба с дверкой Breeze  Дуб Крафт золотой/Белая гладкая 330*756*292</v>
          </cell>
          <cell r="D812" t="str">
            <v>СТЕЛЛАЖИ</v>
          </cell>
          <cell r="E812" t="str">
            <v>FBO</v>
          </cell>
          <cell r="F812" t="str">
            <v>Стеллаж тумба с дверкой Breeze</v>
          </cell>
          <cell r="G812" t="str">
            <v>Дуб Крафт золотой/Белая гладкая</v>
          </cell>
          <cell r="H812" t="str">
            <v>2521897953540</v>
          </cell>
          <cell r="I812" t="str">
            <v>Вакансия</v>
          </cell>
        </row>
        <row r="813">
          <cell r="A813" t="str">
            <v>4458.05.17/01</v>
          </cell>
          <cell r="B813" t="str">
            <v>Прихожая Модуль 2 Дуб крафт золотой/Белая гладкая/Кожзам белый 800*1894*320</v>
          </cell>
          <cell r="D813" t="str">
            <v>ПРИХОЖАЯ</v>
          </cell>
          <cell r="E813" t="str">
            <v>СКГТ (ОЗОН)</v>
          </cell>
          <cell r="F813" t="str">
            <v>Прихожая Модуль</v>
          </cell>
          <cell r="G813" t="str">
            <v>Дуб крафт золотой/Белая гладкая/Кожзам белый</v>
          </cell>
          <cell r="H813" t="str">
            <v>2521897953546</v>
          </cell>
          <cell r="I813" t="str">
            <v>Вакансия</v>
          </cell>
        </row>
        <row r="814">
          <cell r="A814" t="str">
            <v>MK2630901</v>
          </cell>
          <cell r="B814" t="str">
            <v>Тумба прикроватная Fiji с дверкой ЛДСП Серый Графит, Черн.металл 426х615(h)х448</v>
          </cell>
          <cell r="D814" t="str">
            <v>ТУМБЫ ПРИКРОВАТНЫЕ</v>
          </cell>
          <cell r="E814" t="str">
            <v>FBO</v>
          </cell>
          <cell r="F814" t="str">
            <v>Тумба прикроватная Fiji с дверкой</v>
          </cell>
          <cell r="G814" t="str">
            <v>Графит, Черн.металл</v>
          </cell>
          <cell r="H814" t="str">
            <v>2521897953581</v>
          </cell>
          <cell r="I814" t="str">
            <v>Вакансия</v>
          </cell>
        </row>
        <row r="815">
          <cell r="A815">
            <v>2515</v>
          </cell>
          <cell r="B815" t="str">
            <v>Тумба прикроватная Ультра Дуб сонома 430х410х330</v>
          </cell>
          <cell r="C815" t="str">
            <v>Кошкарева</v>
          </cell>
          <cell r="D815" t="str">
            <v>ТУМБЫ ПРИКРОВАТНЫЕ</v>
          </cell>
          <cell r="E815" t="str">
            <v>FBO</v>
          </cell>
          <cell r="F815" t="str">
            <v>Тумба прикроватная Ультра 430х410х330</v>
          </cell>
          <cell r="G815" t="str">
            <v>Дуб сонома</v>
          </cell>
          <cell r="H815" t="str">
            <v>2520000000183</v>
          </cell>
          <cell r="I815" t="str">
            <v>Вакансия</v>
          </cell>
        </row>
        <row r="816">
          <cell r="A816" t="str">
            <v>MK262010151</v>
          </cell>
          <cell r="B816" t="str">
            <v>Тумба прикроватная Tokyo комбинированная ЛДСП Дуб Вотан/Спанбонд черный, черн.металл 400*584*385</v>
          </cell>
          <cell r="D816" t="str">
            <v>ТУМБЫ ПРИКРОВАТНЫЕ</v>
          </cell>
          <cell r="E816" t="str">
            <v>FBO</v>
          </cell>
          <cell r="F816" t="str">
            <v>Тумба прикроватная Tokyo комбинированная</v>
          </cell>
          <cell r="G816" t="str">
            <v>ЛДСП Дуб Вотан/Спанбонд черный, Черн. Металл</v>
          </cell>
          <cell r="H816" t="str">
            <v>2521897953543</v>
          </cell>
          <cell r="I816" t="str">
            <v>Вакансия</v>
          </cell>
        </row>
        <row r="817">
          <cell r="A817" t="str">
            <v>MK3081701</v>
          </cell>
          <cell r="B817" t="str">
            <v>Стол книжка Лайт ЛДСП Белая гладкая, черн.металл 1550/190*750*750</v>
          </cell>
          <cell r="D817" t="str">
            <v>СТОЛЫ ОБЕДЕННЫЕ</v>
          </cell>
          <cell r="E817" t="str">
            <v>FBO</v>
          </cell>
          <cell r="F817" t="str">
            <v>Стол книжка Лайт</v>
          </cell>
          <cell r="G817" t="str">
            <v>Белая гладкая, Черн. металл</v>
          </cell>
          <cell r="H817" t="str">
            <v>4640219959209</v>
          </cell>
          <cell r="I817" t="str">
            <v>Вакансия</v>
          </cell>
        </row>
        <row r="818">
          <cell r="A818" t="str">
            <v>MK3080601</v>
          </cell>
          <cell r="B818" t="str">
            <v>Стол книжка Лайт ЛДСП Дуб Крафт Белый, черн.металл 1550/190*750*750</v>
          </cell>
          <cell r="D818" t="str">
            <v>СТОЛЫ ОБЕДЕННЫЕ</v>
          </cell>
          <cell r="E818" t="str">
            <v>FBO</v>
          </cell>
          <cell r="F818" t="str">
            <v>Стол книжка Лайт</v>
          </cell>
          <cell r="G818" t="str">
            <v>ЛДСП Дуб Крафт белый, Черн. металл.</v>
          </cell>
          <cell r="H818" t="str">
            <v>4640219959247</v>
          </cell>
          <cell r="I818" t="str">
            <v>Вакансия</v>
          </cell>
        </row>
        <row r="819">
          <cell r="A819" t="str">
            <v>MK3080901</v>
          </cell>
          <cell r="B819" t="str">
            <v>Стол книжка Лайт ЛДСП Серый Графит, Черн. металл. 1550/190х750(h)х750</v>
          </cell>
          <cell r="D819" t="str">
            <v>СТОЛЫ ОБЕДЕННЫЕ</v>
          </cell>
          <cell r="E819" t="str">
            <v>FBO</v>
          </cell>
          <cell r="F819" t="str">
            <v>Стол книжка Лайт</v>
          </cell>
          <cell r="G819" t="str">
            <v>ЛДСП Серый Графит, Черн. металл.</v>
          </cell>
          <cell r="H819" t="str">
            <v>4640219959223</v>
          </cell>
          <cell r="I819" t="str">
            <v>Вакансия</v>
          </cell>
        </row>
        <row r="820">
          <cell r="A820" t="str">
            <v>MK2630601</v>
          </cell>
          <cell r="B820" t="str">
            <v>Тумба прикроватная Fiji с дверкой ЛДСП Дуб Крафт Белый, Черн.металл 426х615(h)х448</v>
          </cell>
          <cell r="D820" t="str">
            <v>ТУМБЫ ПРИКРОВАТНЫЕ</v>
          </cell>
          <cell r="E820" t="str">
            <v>FBO</v>
          </cell>
          <cell r="F820" t="str">
            <v>Тумба прикроватная Fiji с дверкой</v>
          </cell>
          <cell r="G820" t="str">
            <v>ЛДСП Дуб Крафт белый, Черн. металл.</v>
          </cell>
          <cell r="H820" t="str">
            <v>4620263150258</v>
          </cell>
          <cell r="I820" t="str">
            <v>Вакансия</v>
          </cell>
        </row>
        <row r="821">
          <cell r="A821" t="str">
            <v>MK3080501</v>
          </cell>
          <cell r="B821" t="str">
            <v>Стол книжка Лайт ЛДСП Дуб Крафт золотой, Черн. металл. 1550/190х750(h)х750</v>
          </cell>
          <cell r="D821" t="str">
            <v>СТОЛЫ ОБЕДЕННЫЕ</v>
          </cell>
          <cell r="E821" t="str">
            <v>FBO</v>
          </cell>
          <cell r="F821" t="str">
            <v>Стол книжка Лайт</v>
          </cell>
          <cell r="G821" t="str">
            <v>ЛДСП Дуб Крафт золотой, Черн. металл.</v>
          </cell>
          <cell r="H821" t="str">
            <v>4640219959230</v>
          </cell>
          <cell r="I821" t="str">
            <v>Вакансия</v>
          </cell>
        </row>
        <row r="822">
          <cell r="A822" t="str">
            <v>3945.17/01</v>
          </cell>
          <cell r="B822" t="str">
            <v>Обувница Нео Белая гладкая/Кожзам белый 562*489*334</v>
          </cell>
          <cell r="D822" t="str">
            <v>ОБУВНИЦЫ</v>
          </cell>
          <cell r="E822" t="str">
            <v>FBO</v>
          </cell>
          <cell r="F822" t="str">
            <v>Обувница Нео</v>
          </cell>
          <cell r="G822" t="str">
            <v>Белая гладкая/Кожзам белый</v>
          </cell>
          <cell r="H822" t="str">
            <v>2521897953458</v>
          </cell>
          <cell r="I822" t="str">
            <v>Вакансия</v>
          </cell>
        </row>
        <row r="823">
          <cell r="A823">
            <v>3855</v>
          </cell>
          <cell r="B823" t="str">
            <v>Комод Универсальный детский 3 ящика с выдвижной полкой Белое тиснение 750х644(h)х334</v>
          </cell>
          <cell r="D823" t="str">
            <v>КОМОДЫ</v>
          </cell>
          <cell r="E823" t="str">
            <v>FBO</v>
          </cell>
          <cell r="F823" t="str">
            <v>Комод Универсальный детский 3 ящика с выдвижной полкой</v>
          </cell>
          <cell r="G823" t="str">
            <v>Белое тиснение</v>
          </cell>
          <cell r="H823" t="str">
            <v>4620263152382</v>
          </cell>
          <cell r="I823" t="str">
            <v>Вакансия</v>
          </cell>
        </row>
        <row r="824">
          <cell r="A824">
            <v>3088</v>
          </cell>
          <cell r="B824" t="str">
            <v>Книжный шкаф  Style с 3 дверками Белое тиснение 706х1048х300</v>
          </cell>
          <cell r="C824" t="str">
            <v>Перепечаева</v>
          </cell>
          <cell r="D824" t="str">
            <v>ШКАФЫ</v>
          </cell>
          <cell r="E824" t="str">
            <v>FBS</v>
          </cell>
          <cell r="F824" t="str">
            <v>Книжный шкаф  Style с 3 дверками</v>
          </cell>
          <cell r="G824" t="str">
            <v>Белое тиснение</v>
          </cell>
          <cell r="H824" t="str">
            <v>2520000002153</v>
          </cell>
          <cell r="I824" t="str">
            <v>Вакансия</v>
          </cell>
        </row>
        <row r="825">
          <cell r="A825">
            <v>3840</v>
          </cell>
          <cell r="B825" t="str">
            <v xml:space="preserve"> Комод Универсальный 4 ящика с выдвижной полкой  Дуб Вотан 886х890(h)х454</v>
          </cell>
          <cell r="D825" t="str">
            <v>КОМОДЫ</v>
          </cell>
          <cell r="E825" t="str">
            <v>СКГТ (ОЗОН)</v>
          </cell>
          <cell r="F825" t="str">
            <v xml:space="preserve"> Комод Универсальный 4 ящика с выдвижной полкой</v>
          </cell>
          <cell r="G825" t="str">
            <v xml:space="preserve">Дуб Вотан </v>
          </cell>
          <cell r="H825" t="str">
            <v>4620263152313</v>
          </cell>
          <cell r="I825" t="str">
            <v>Вакансия</v>
          </cell>
        </row>
        <row r="826">
          <cell r="A826" t="str">
            <v>3708.17/01</v>
          </cell>
          <cell r="B826" t="str">
            <v>Стеллаж Quattro New 4 секций с дверками Белая гладкая 642х644(h)х292</v>
          </cell>
          <cell r="D826" t="str">
            <v>СТЕЛЛАЖИ</v>
          </cell>
          <cell r="E826" t="str">
            <v>FBO</v>
          </cell>
          <cell r="F826" t="str">
            <v>Стеллаж Quattro New 4 секций с дверками</v>
          </cell>
          <cell r="G826" t="str">
            <v>Белая гладкая</v>
          </cell>
          <cell r="H826" t="str">
            <v>4640219953894</v>
          </cell>
          <cell r="I826" t="str">
            <v>Вакансия</v>
          </cell>
        </row>
        <row r="827">
          <cell r="A827" t="str">
            <v>3898.17/01</v>
          </cell>
          <cell r="B827" t="str">
            <v>Стеллаж Quattro New в детскую для книг и игрушек Белая гладкая 642*864*288</v>
          </cell>
          <cell r="C827" t="str">
            <v>Зимакова</v>
          </cell>
          <cell r="D827" t="str">
            <v>СТЕЛЛАЖИ</v>
          </cell>
          <cell r="E827" t="str">
            <v>FBO</v>
          </cell>
          <cell r="F827" t="str">
            <v>Стеллаж Quattro New в детскую для книг и игрушек</v>
          </cell>
          <cell r="G827" t="str">
            <v>Белая гладкая</v>
          </cell>
          <cell r="H827" t="str">
            <v>2521897953332</v>
          </cell>
          <cell r="I827" t="str">
            <v>Вакансия</v>
          </cell>
        </row>
        <row r="828">
          <cell r="A828" t="str">
            <v>3897.17/01</v>
          </cell>
          <cell r="B828" t="str">
            <v>Стеллаж Quattro New 5 секций универс. Белая гладкая 642*996*454</v>
          </cell>
          <cell r="C828" t="str">
            <v>Загашева</v>
          </cell>
          <cell r="D828" t="str">
            <v>СТЕЛЛАЖИ</v>
          </cell>
          <cell r="E828" t="str">
            <v>FBO</v>
          </cell>
          <cell r="F828" t="str">
            <v>Стеллаж Quattro New 5 секций универс.</v>
          </cell>
          <cell r="G828" t="str">
            <v>Белая гладкая</v>
          </cell>
          <cell r="H828" t="str">
            <v>2521897953355</v>
          </cell>
          <cell r="I828" t="str">
            <v>Вакансия</v>
          </cell>
        </row>
        <row r="829">
          <cell r="A829" t="str">
            <v>3774.17/01</v>
          </cell>
          <cell r="B829" t="str">
            <v>Стеллаж Quattro New 4 секций (квадрат) Белая гладкая 642*644*288</v>
          </cell>
          <cell r="D829" t="str">
            <v>СТЕЛЛАЖИ</v>
          </cell>
          <cell r="E829" t="str">
            <v>FBO</v>
          </cell>
          <cell r="F829" t="str">
            <v>Стеллаж Quattro New 4 секций (квадрат)</v>
          </cell>
          <cell r="G829" t="str">
            <v>Белая гладкая</v>
          </cell>
          <cell r="H829" t="str">
            <v>2521897953533</v>
          </cell>
          <cell r="I829" t="str">
            <v>Вакансия</v>
          </cell>
        </row>
        <row r="830">
          <cell r="A830" t="str">
            <v>MK2950101</v>
          </cell>
          <cell r="B830" t="str">
            <v>Комод Boston 3 ящика ЛДСП Дуб Вотан. Черн. металл 750*728*334</v>
          </cell>
          <cell r="C830">
            <v>0</v>
          </cell>
          <cell r="D830" t="str">
            <v>КОМОДЫ</v>
          </cell>
          <cell r="E830" t="str">
            <v>FBO</v>
          </cell>
          <cell r="F830" t="str">
            <v>Комод Boston 3 ящика</v>
          </cell>
          <cell r="G830" t="str">
            <v>ЛДСП Дуб Вотан, Черн. металл.</v>
          </cell>
          <cell r="H830" t="str">
            <v>2521897953359</v>
          </cell>
          <cell r="I830" t="str">
            <v>Вакансия</v>
          </cell>
        </row>
        <row r="831">
          <cell r="A831" t="str">
            <v>3921.17/01</v>
          </cell>
          <cell r="B831" t="str">
            <v>Стол письменный Мальта Лайт универ. с ящ. и дверк. Белая гладкая 1100*754*450/780</v>
          </cell>
          <cell r="C831">
            <v>0</v>
          </cell>
          <cell r="D831" t="str">
            <v>СТОЛЫ</v>
          </cell>
          <cell r="E831" t="str">
            <v>СКГТ</v>
          </cell>
          <cell r="F831" t="str">
            <v>Стол письменный Мальта Лайт универ. с ящ. и дверк.</v>
          </cell>
          <cell r="G831" t="str">
            <v>Белая гладкая</v>
          </cell>
          <cell r="H831" t="str">
            <v>2521897953457</v>
          </cell>
          <cell r="I831" t="str">
            <v>Вакансия</v>
          </cell>
        </row>
        <row r="832">
          <cell r="A832" t="str">
            <v>MK1610101</v>
          </cell>
          <cell r="B832" t="str">
            <v>Система хранения Frame №1 ЛДСП Дуб Вотан, Черн. металл</v>
          </cell>
          <cell r="C832" t="str">
            <v>Перепечаева</v>
          </cell>
          <cell r="D832" t="str">
            <v>ВЕШАЛКИ</v>
          </cell>
          <cell r="E832" t="str">
            <v>СКГТ</v>
          </cell>
          <cell r="F832" t="str">
            <v>Система хранения Frame</v>
          </cell>
          <cell r="G832" t="str">
            <v>ЛДСП Дуб Вотан, Черн. металл.</v>
          </cell>
          <cell r="H832" t="str">
            <v>2521897952904</v>
          </cell>
          <cell r="I832" t="str">
            <v>Вакансия</v>
          </cell>
        </row>
        <row r="833">
          <cell r="A833" t="str">
            <v>MK00031</v>
          </cell>
          <cell r="B833" t="str">
            <v>Стеллаж тумба Frame ЛДСП Белое тиснен., Черный металл 670х778х300</v>
          </cell>
          <cell r="C833" t="str">
            <v>Зимакова</v>
          </cell>
          <cell r="D833" t="str">
            <v>СТЕЛЛАЖИ</v>
          </cell>
          <cell r="E833" t="str">
            <v>FBS</v>
          </cell>
          <cell r="F833" t="str">
            <v>Стеллаж тумба Frame 2 секции  670х778х300</v>
          </cell>
          <cell r="G833" t="str">
            <v xml:space="preserve">ЛДСП Белое тиснение, Черн. металл. </v>
          </cell>
          <cell r="H833" t="str">
            <v>2521897952575</v>
          </cell>
          <cell r="I833" t="str">
            <v>Вакансия</v>
          </cell>
        </row>
        <row r="834">
          <cell r="A834">
            <v>316101</v>
          </cell>
          <cell r="B834" t="str">
            <v>Стол круглый Цемент светлый</v>
          </cell>
          <cell r="C834" t="str">
            <v>Леонтьева</v>
          </cell>
          <cell r="D834" t="str">
            <v>СТОЛЫ ОБЕДЕННЫЕ</v>
          </cell>
          <cell r="E834" t="str">
            <v>FBS</v>
          </cell>
          <cell r="F834" t="str">
            <v xml:space="preserve">Стол круглый </v>
          </cell>
          <cell r="G834" t="str">
            <v>Бетон</v>
          </cell>
          <cell r="H834" t="str">
            <v>2521897952820</v>
          </cell>
          <cell r="I834" t="str">
            <v>Вакансия</v>
          </cell>
        </row>
        <row r="835">
          <cell r="A835">
            <v>316102</v>
          </cell>
          <cell r="B835" t="str">
            <v>Стол круглый Дуб апрель темный</v>
          </cell>
          <cell r="C835" t="str">
            <v>Леонтьева</v>
          </cell>
          <cell r="D835" t="str">
            <v>СТОЛЫ ОБЕДЕННЫЕ</v>
          </cell>
          <cell r="E835" t="str">
            <v>FBS</v>
          </cell>
          <cell r="F835" t="str">
            <v>Стол круглый</v>
          </cell>
          <cell r="G835" t="str">
            <v>дуб апрель темн</v>
          </cell>
          <cell r="H835" t="str">
            <v>2521897952821</v>
          </cell>
          <cell r="I835" t="str">
            <v>Вакансия</v>
          </cell>
        </row>
        <row r="836">
          <cell r="A836">
            <v>316103</v>
          </cell>
          <cell r="B836" t="str">
            <v>Стол круглый Дуб апрель светлый</v>
          </cell>
          <cell r="C836" t="str">
            <v>Леонтьева</v>
          </cell>
          <cell r="D836" t="str">
            <v>СТОЛЫ ОБЕДЕННЫЕ</v>
          </cell>
          <cell r="E836" t="str">
            <v>FBS</v>
          </cell>
          <cell r="F836" t="str">
            <v xml:space="preserve">Стол круглый </v>
          </cell>
          <cell r="G836" t="str">
            <v>дуб апрель светл</v>
          </cell>
          <cell r="H836" t="str">
            <v>2521897952822</v>
          </cell>
          <cell r="I836" t="str">
            <v>Вакансия</v>
          </cell>
        </row>
        <row r="837">
          <cell r="A837">
            <v>417101</v>
          </cell>
          <cell r="B837" t="str">
            <v>Стол раздвижной Цемент светлый</v>
          </cell>
          <cell r="C837" t="str">
            <v>Леонтьева</v>
          </cell>
          <cell r="D837" t="str">
            <v>СТОЛЫ ОБЕДЕННЫЕ</v>
          </cell>
          <cell r="E837" t="str">
            <v>FBS</v>
          </cell>
          <cell r="F837" t="str">
            <v xml:space="preserve">Стол раздвижной </v>
          </cell>
          <cell r="G837" t="str">
            <v>Бетон</v>
          </cell>
          <cell r="H837" t="str">
            <v>2521897952823</v>
          </cell>
          <cell r="I837" t="str">
            <v>Вакансия</v>
          </cell>
        </row>
        <row r="838">
          <cell r="A838">
            <v>417103</v>
          </cell>
          <cell r="B838" t="str">
            <v>Стол раздвижной Дуб апрель светлый</v>
          </cell>
          <cell r="C838" t="str">
            <v>Леонтьева</v>
          </cell>
          <cell r="D838" t="str">
            <v>СТОЛЫ ОБЕДЕННЫЕ</v>
          </cell>
          <cell r="E838" t="str">
            <v>FBS</v>
          </cell>
          <cell r="F838" t="str">
            <v xml:space="preserve">Стол раздвижной </v>
          </cell>
          <cell r="G838" t="str">
            <v>дуб апрель светл</v>
          </cell>
          <cell r="H838" t="str">
            <v>2521897952825</v>
          </cell>
          <cell r="I838" t="str">
            <v>Вакансия</v>
          </cell>
        </row>
        <row r="839">
          <cell r="A839">
            <v>417104</v>
          </cell>
          <cell r="B839" t="str">
            <v>Стол раздвижной Белый</v>
          </cell>
          <cell r="C839" t="str">
            <v>Леонтьева</v>
          </cell>
          <cell r="D839" t="str">
            <v>СТОЛЫ ОБЕДЕННЫЕ</v>
          </cell>
          <cell r="E839" t="str">
            <v>FBS</v>
          </cell>
          <cell r="F839" t="str">
            <v xml:space="preserve">Стол раздвижной </v>
          </cell>
          <cell r="G839" t="str">
            <v>Белое тиснение</v>
          </cell>
          <cell r="H839" t="str">
            <v>2521897952944</v>
          </cell>
          <cell r="I839" t="str">
            <v>Вакансия</v>
          </cell>
        </row>
        <row r="840">
          <cell r="A840">
            <v>3763</v>
          </cell>
          <cell r="B840" t="str">
            <v>Комод Бостон с ящиками, полками Белое тиснение 750х740(h)х334</v>
          </cell>
          <cell r="C840">
            <v>0</v>
          </cell>
          <cell r="D840" t="str">
            <v>КОМОДЫ</v>
          </cell>
          <cell r="E840" t="str">
            <v>FBO</v>
          </cell>
          <cell r="F840" t="str">
            <v>Комод Бостон с ящиками, полками</v>
          </cell>
          <cell r="G840" t="str">
            <v>Белое тиснение</v>
          </cell>
          <cell r="H840" t="str">
            <v>2521897953435</v>
          </cell>
          <cell r="I840" t="str">
            <v>Вакансия</v>
          </cell>
        </row>
        <row r="841">
          <cell r="A841" t="str">
            <v>MK1612501</v>
          </cell>
          <cell r="B841" t="str">
            <v>Система хранения Frame №1 ЛДСП Цемент темный молет, Черн. металл.1140х1808(h)х404</v>
          </cell>
          <cell r="D841" t="str">
            <v>ВЕШАЛКИ</v>
          </cell>
          <cell r="E841" t="str">
            <v>СКГТ</v>
          </cell>
          <cell r="F841" t="str">
            <v>Система хранения Frame №1</v>
          </cell>
          <cell r="G841" t="str">
            <v>ЛДСП Цемент темный молет, Черн. металл.</v>
          </cell>
          <cell r="H841" t="str">
            <v>2521897953563</v>
          </cell>
          <cell r="I841" t="str">
            <v>Вакансия</v>
          </cell>
        </row>
        <row r="842">
          <cell r="A842" t="str">
            <v>MK1610201</v>
          </cell>
          <cell r="B842" t="str">
            <v>Система хранения Frame №1 ЛДСП Белое тиснение, Черн. металл</v>
          </cell>
          <cell r="C842" t="str">
            <v>Перепечаева</v>
          </cell>
          <cell r="D842" t="str">
            <v>ВЕШАЛКИ</v>
          </cell>
          <cell r="E842" t="str">
            <v>СКГТ</v>
          </cell>
          <cell r="F842" t="str">
            <v>Система хранения Frame №1</v>
          </cell>
          <cell r="G842" t="str">
            <v xml:space="preserve">ЛДСП Белое тиснение, Черн. металл. </v>
          </cell>
          <cell r="H842" t="str">
            <v>2521897953340</v>
          </cell>
          <cell r="I842" t="str">
            <v>Вакансия</v>
          </cell>
        </row>
        <row r="843">
          <cell r="A843" t="str">
            <v>MK1450101</v>
          </cell>
          <cell r="B843" t="str">
            <v>Стеллаж Frame угловой ЛДСП Дуб Вотан, Черн. металл.</v>
          </cell>
          <cell r="D843" t="str">
            <v>СТЕЛЛАЖИ</v>
          </cell>
          <cell r="E843" t="str">
            <v>FBO</v>
          </cell>
          <cell r="F843" t="str">
            <v>Стеллаж Frame угловой</v>
          </cell>
          <cell r="G843" t="str">
            <v>ЛДСП Дуб Вотан, Черн. металл.</v>
          </cell>
          <cell r="H843" t="str">
            <v>2521897953583</v>
          </cell>
          <cell r="I843" t="str">
            <v>Вакансия</v>
          </cell>
        </row>
        <row r="844">
          <cell r="A844" t="str">
            <v>3963.17/01</v>
          </cell>
          <cell r="B844" t="str">
            <v>Полка навесная Шварцвальд Белая гладкая 1100х300(h)х220</v>
          </cell>
          <cell r="D844" t="str">
            <v>ПОЛКИ</v>
          </cell>
          <cell r="E844" t="str">
            <v>FBO</v>
          </cell>
          <cell r="F844" t="str">
            <v>Полка навесная Шварцвальд</v>
          </cell>
          <cell r="G844" t="str">
            <v>Белая гладкая</v>
          </cell>
          <cell r="H844" t="str">
            <v>2521897953519</v>
          </cell>
          <cell r="I844" t="str">
            <v>Вакансия</v>
          </cell>
        </row>
        <row r="845">
          <cell r="A845" t="str">
            <v>MK3000101</v>
          </cell>
          <cell r="B845" t="str">
            <v>Стеллаж Родос ЛДСП Дуб Вотан, Черн. металл. 940х1754х328</v>
          </cell>
          <cell r="C845">
            <v>0</v>
          </cell>
          <cell r="D845" t="str">
            <v>СТЕЛЛАЖИ</v>
          </cell>
          <cell r="E845" t="str">
            <v>СКГТ (ОЗОН)</v>
          </cell>
          <cell r="F845" t="str">
            <v xml:space="preserve">Стеллаж Родос </v>
          </cell>
          <cell r="G845" t="str">
            <v>ЛДСП Дуб Вотан, Черн. металл.</v>
          </cell>
          <cell r="H845" t="str">
            <v>2521897953419</v>
          </cell>
          <cell r="I845" t="str">
            <v>Вакансия</v>
          </cell>
        </row>
        <row r="846">
          <cell r="A846" t="str">
            <v>MK2990101</v>
          </cell>
          <cell r="B846" t="str">
            <v>Стеллаж Trust Plus ЛДСП Дуб Вотан, Черн. металл. 1102*1750*300</v>
          </cell>
          <cell r="C846">
            <v>0</v>
          </cell>
          <cell r="D846" t="str">
            <v>СТЕЛЛАЖИ</v>
          </cell>
          <cell r="E846" t="str">
            <v>СКГТ (ОЗОН)</v>
          </cell>
          <cell r="F846" t="str">
            <v>Стеллаж Trust Plus</v>
          </cell>
          <cell r="G846" t="str">
            <v>ЛДСП Дуб Вотан, Черн. металл.</v>
          </cell>
          <cell r="H846" t="str">
            <v>2521897953445</v>
          </cell>
          <cell r="I846" t="str">
            <v>Вакансия</v>
          </cell>
        </row>
        <row r="847">
          <cell r="A847">
            <v>3210</v>
          </cell>
          <cell r="B847" t="str">
            <v>Комод тумба Estetika 3 ящ. Белое тиснение 460*632*424</v>
          </cell>
          <cell r="D847" t="str">
            <v>КОМОДЫ</v>
          </cell>
          <cell r="E847" t="str">
            <v>FBO</v>
          </cell>
          <cell r="F847" t="str">
            <v>Комод тумба Estetika 3 ящ.</v>
          </cell>
          <cell r="G847" t="str">
            <v>Белое тиснение</v>
          </cell>
          <cell r="H847" t="str">
            <v>2521897953451</v>
          </cell>
          <cell r="I847" t="str">
            <v>Вакансия</v>
          </cell>
        </row>
        <row r="848">
          <cell r="A848">
            <v>3211</v>
          </cell>
          <cell r="B848" t="str">
            <v>Комод Estetika 4 ящ. Белое тиснение 460*824*424</v>
          </cell>
          <cell r="D848" t="str">
            <v>КОМОДЫ</v>
          </cell>
          <cell r="E848" t="str">
            <v>FBS</v>
          </cell>
          <cell r="F848" t="str">
            <v>Комод Estetika 4 ящ.</v>
          </cell>
          <cell r="G848" t="str">
            <v>Белое тиснение</v>
          </cell>
          <cell r="H848" t="str">
            <v>2521897953452</v>
          </cell>
          <cell r="I848" t="str">
            <v>Вакансия</v>
          </cell>
        </row>
        <row r="849">
          <cell r="A849" t="str">
            <v>MK345170901</v>
          </cell>
          <cell r="B849" t="str">
            <v>Шкаф пенал Шварцвальд комбинированный ЛДСП Белая гладкая/Серый Графит, Черн. металл. 400х2004(h)х470</v>
          </cell>
          <cell r="D849" t="str">
            <v>ШКАФЫ</v>
          </cell>
          <cell r="E849" t="str">
            <v>СКГТ (ОЗОН)</v>
          </cell>
          <cell r="F849" t="str">
            <v>Шкаф пенал Шварцвальд комбинированный</v>
          </cell>
          <cell r="G849" t="str">
            <v>ЛДСП Белая гладкая/Серый Графит,</v>
          </cell>
          <cell r="H849" t="str">
            <v>2521897953520</v>
          </cell>
          <cell r="I849" t="str">
            <v>Вакансия</v>
          </cell>
        </row>
        <row r="850">
          <cell r="A850">
            <v>4050</v>
          </cell>
          <cell r="B850" t="str">
            <v>Шкаф комод Breeze 2х дверный  Дуб Крафт золотой/Белая гладкая 642*756*292</v>
          </cell>
          <cell r="D850" t="str">
            <v>КОМОДЫ</v>
          </cell>
          <cell r="E850" t="str">
            <v>FBO</v>
          </cell>
          <cell r="F850" t="str">
            <v>Шкаф комод Breeze 2х дверный</v>
          </cell>
          <cell r="G850" t="str">
            <v>Дуб Крафт золотой/Белая гладкая</v>
          </cell>
          <cell r="H850" t="str">
            <v>2521897953542</v>
          </cell>
          <cell r="I850" t="str">
            <v>Вакансия</v>
          </cell>
        </row>
        <row r="851">
          <cell r="A851">
            <v>4052</v>
          </cell>
          <cell r="B851" t="str">
            <v>Тумба под ТВ Breeze 2х дверн. Дуб Крафт золотой/Белая гладкая 1020*444*338</v>
          </cell>
          <cell r="D851" t="str">
            <v>ТУМБЫ под ТВ</v>
          </cell>
          <cell r="E851" t="str">
            <v>FBO</v>
          </cell>
          <cell r="F851" t="str">
            <v>Тумба под ТВ Breeze 2х дверн.</v>
          </cell>
          <cell r="G851" t="str">
            <v>Дуб Крафт золотой/Белая гладкая</v>
          </cell>
          <cell r="H851" t="str">
            <v>2521897953541</v>
          </cell>
          <cell r="I851" t="str">
            <v>Вакансия</v>
          </cell>
        </row>
        <row r="852">
          <cell r="A852">
            <v>4054</v>
          </cell>
          <cell r="B852" t="str">
            <v>Стеллаж Breeze 2х дверный с полками Дуб Крафт золотой/Белая гладкая 623*1380*292</v>
          </cell>
          <cell r="D852" t="str">
            <v>СТЕЛЛАЖИ</v>
          </cell>
          <cell r="E852" t="str">
            <v>СКГТ</v>
          </cell>
          <cell r="F852" t="str">
            <v>Стеллаж Breeze 2х дверный с полками</v>
          </cell>
          <cell r="G852" t="str">
            <v>Дуб Крафт золотой/Белая гладкая</v>
          </cell>
          <cell r="H852" t="str">
            <v>2521897953539</v>
          </cell>
          <cell r="I852" t="str">
            <v>Вакансия</v>
          </cell>
        </row>
        <row r="853">
          <cell r="A853" t="str">
            <v>MK346170901</v>
          </cell>
          <cell r="B853" t="str">
            <v>Шкаф комбинир. Шварцвальд ЛДСП Белая гладкая/Серый графит</v>
          </cell>
          <cell r="D853" t="str">
            <v>ШКАФЫ</v>
          </cell>
          <cell r="E853" t="str">
            <v>СКГТ (ОЗОН)</v>
          </cell>
          <cell r="F853" t="str">
            <v>Шкаф комбинир. Шварцвальд</v>
          </cell>
          <cell r="G853" t="str">
            <v>Белая гладкая</v>
          </cell>
          <cell r="H853" t="str">
            <v>2521897953565</v>
          </cell>
          <cell r="I853" t="str">
            <v>Вакансия</v>
          </cell>
        </row>
        <row r="854">
          <cell r="A854" t="str">
            <v>MK344170901</v>
          </cell>
          <cell r="B854" t="str">
            <v>Комод Шварцвальд 4 ящика ЛДСП Белая гладкая/Серый графит, черн.металл</v>
          </cell>
          <cell r="D854" t="str">
            <v>КОМОДЫ</v>
          </cell>
          <cell r="E854" t="str">
            <v>СКГТ (ОЗОН)</v>
          </cell>
          <cell r="F854" t="str">
            <v>Комод Шварцвальд 4 ящика</v>
          </cell>
          <cell r="G854" t="str">
            <v>Белая гладкая</v>
          </cell>
          <cell r="H854" t="str">
            <v>2521897953568</v>
          </cell>
          <cell r="I854" t="str">
            <v>Вакансия</v>
          </cell>
        </row>
        <row r="855">
          <cell r="A855" t="str">
            <v>MK3431701</v>
          </cell>
          <cell r="B855" t="str">
            <v>Кровать Шварцвальд спм 900 ЛДСП Белая гладкая, черн.металл</v>
          </cell>
          <cell r="D855" t="str">
            <v>КРОВАТИ</v>
          </cell>
          <cell r="E855" t="str">
            <v>СКГТ (ОЗОН)</v>
          </cell>
          <cell r="F855" t="str">
            <v>Кровать Шварцвальд</v>
          </cell>
          <cell r="G855" t="str">
            <v>ЛДСП Белая гладкая, черн.металл</v>
          </cell>
          <cell r="H855" t="str">
            <v>2521897953569</v>
          </cell>
          <cell r="I855" t="str">
            <v>Вакансия</v>
          </cell>
        </row>
        <row r="856">
          <cell r="A856" t="str">
            <v>MK348170901</v>
          </cell>
          <cell r="B856" t="str">
            <v>Стол письменный Шварцвальд комбинир. ЛДСП Белая гладкая/Серый графит черн.металл</v>
          </cell>
          <cell r="D856" t="str">
            <v>СТОЛЫ</v>
          </cell>
          <cell r="E856" t="str">
            <v>СКГТ (ОЗОН)</v>
          </cell>
          <cell r="F856" t="str">
            <v>Стол письменный Шварцвальд комбинир.</v>
          </cell>
          <cell r="G856" t="str">
            <v xml:space="preserve"> ЛДСП Белая гладкая/Серый графит черн.металл</v>
          </cell>
          <cell r="H856" t="str">
            <v>2521897953567</v>
          </cell>
          <cell r="I856" t="str">
            <v>Вакансия</v>
          </cell>
        </row>
        <row r="857">
          <cell r="A857" t="str">
            <v>MK3471701</v>
          </cell>
          <cell r="B857" t="str">
            <v>Стол письменный Шварцвальд ЛДСП Белая гладкая, черн.металл</v>
          </cell>
          <cell r="D857" t="str">
            <v>СТОЛЫ</v>
          </cell>
          <cell r="E857" t="str">
            <v>СКГТ (ОЗОН)</v>
          </cell>
          <cell r="F857" t="str">
            <v>Стол письменный Шварцвальд</v>
          </cell>
          <cell r="G857" t="str">
            <v>ЛДСП Белая гладкая, черн.металл</v>
          </cell>
          <cell r="H857" t="str">
            <v>2521897953566</v>
          </cell>
          <cell r="I857" t="str">
            <v>Вакансия</v>
          </cell>
        </row>
        <row r="858">
          <cell r="A858" t="str">
            <v>3962.17.09/01</v>
          </cell>
          <cell r="B858" t="str">
            <v>Тумба мобильная Шварцвальд 3 ящика Белая гладкая/Серый графит</v>
          </cell>
          <cell r="D858" t="str">
            <v>ТУМБЫ ПРИКРОВАТНЫЕ</v>
          </cell>
          <cell r="E858" t="str">
            <v>FBO</v>
          </cell>
          <cell r="F858" t="str">
            <v>Тумба мобильная Шварцвальд 3 ящика</v>
          </cell>
          <cell r="G858" t="str">
            <v>Белая гладкая/Серый графит</v>
          </cell>
          <cell r="H858" t="str">
            <v>2521897953564</v>
          </cell>
          <cell r="I858" t="str">
            <v>Вакансия</v>
          </cell>
        </row>
        <row r="859">
          <cell r="A859" t="str">
            <v>5004.05/01</v>
          </cell>
          <cell r="B859" t="str">
            <v>Полка навесная Кантон дуб крафт золотой</v>
          </cell>
          <cell r="D859" t="str">
            <v>ПОЛКИ</v>
          </cell>
          <cell r="E859" t="str">
            <v>FBO</v>
          </cell>
          <cell r="F859" t="str">
            <v>Полка навесная Кантон</v>
          </cell>
          <cell r="G859" t="str">
            <v>Дуб Крафт золотой</v>
          </cell>
          <cell r="H859" t="str">
            <v>2521897953595</v>
          </cell>
          <cell r="I859" t="str">
            <v>Вакансия</v>
          </cell>
        </row>
        <row r="860">
          <cell r="A860" t="str">
            <v>5072.17Ч/01</v>
          </cell>
          <cell r="B860" t="str">
            <v>Комод Ультра 4 ящика с ручками Белая гладкая 800х829(h)х398</v>
          </cell>
          <cell r="D860" t="str">
            <v>КОМОДЫ</v>
          </cell>
          <cell r="E860" t="str">
            <v>СКГТ (ОЗОН)</v>
          </cell>
          <cell r="F860" t="str">
            <v>Комод Ультра 4 ящика с ручками</v>
          </cell>
          <cell r="G860" t="str">
            <v>Белая гладкая</v>
          </cell>
          <cell r="H860" t="str">
            <v>4620263154201</v>
          </cell>
          <cell r="I860" t="str">
            <v>Вакансия</v>
          </cell>
        </row>
        <row r="861">
          <cell r="A861" t="str">
            <v>5006.05.09/01</v>
          </cell>
          <cell r="B861" t="str">
            <v>Стол письменный Кантон комбинированный Дуб Крафт Золотой/Серый Графит 1100х754(h)х670</v>
          </cell>
          <cell r="D861" t="str">
            <v>СТОЛЫ</v>
          </cell>
          <cell r="E861" t="str">
            <v>СКГТ</v>
          </cell>
          <cell r="F861" t="str">
            <v>Стол письменный Кантон комбинированный</v>
          </cell>
          <cell r="G861" t="str">
            <v>Дуб крафт золотой/графит</v>
          </cell>
          <cell r="H861" t="str">
            <v>4620263153129</v>
          </cell>
          <cell r="I861" t="str">
            <v>Вакансия</v>
          </cell>
        </row>
        <row r="862">
          <cell r="A862" t="str">
            <v>5002.05.09/01</v>
          </cell>
          <cell r="B862" t="str">
            <v>Шкаф Пенал Кантон Дуб Крафт Золотой/Серый Графит 400х2057*474</v>
          </cell>
          <cell r="D862" t="str">
            <v>ШКАФЫ</v>
          </cell>
          <cell r="E862" t="str">
            <v>СКГТ (ОЗОН)</v>
          </cell>
          <cell r="F862" t="str">
            <v>Шкаф Пенал Кантон</v>
          </cell>
          <cell r="G862" t="str">
            <v>Дуб крафт золотой/графит</v>
          </cell>
          <cell r="H862" t="str">
            <v>4620263153105</v>
          </cell>
          <cell r="I862" t="str">
            <v>Вакансия</v>
          </cell>
        </row>
        <row r="863">
          <cell r="A863" t="str">
            <v>MK251010151</v>
          </cell>
          <cell r="B863" t="str">
            <v>Тумба корзина для белья Tokyo комбинированная ЛДСП Дуб Вотан/Спанбонд черный,черн.металл 710*724*290</v>
          </cell>
          <cell r="D863" t="str">
            <v>СТЕЛЛАЖИ</v>
          </cell>
          <cell r="E863" t="str">
            <v>FBO</v>
          </cell>
          <cell r="F863" t="str">
            <v>Тумба корзина для белья Tokyo комбинированная</v>
          </cell>
          <cell r="G863" t="str">
            <v>ЛДСП Дуб Вотан/Спанбонд черный, Черн. Металл</v>
          </cell>
          <cell r="H863" t="str">
            <v>2521897953544</v>
          </cell>
          <cell r="I863" t="str">
            <v>Вакансия</v>
          </cell>
        </row>
        <row r="864">
          <cell r="A864" t="str">
            <v>5000.05.09/01</v>
          </cell>
          <cell r="B864" t="str">
            <v>Комод Кантон 4 ящика Дуб Крафт Золотой/Серый Графит 800х853(h)х474</v>
          </cell>
          <cell r="D864" t="str">
            <v>КОМОДЫ</v>
          </cell>
          <cell r="E864" t="str">
            <v>СКГТ (ОЗОН)</v>
          </cell>
          <cell r="F864" t="str">
            <v>Комод Кантон 4 ящика</v>
          </cell>
          <cell r="G864" t="str">
            <v>Дуб крафт золотой/графит</v>
          </cell>
          <cell r="H864" t="str">
            <v>4620263153082</v>
          </cell>
          <cell r="I864" t="str">
            <v>Вакансия</v>
          </cell>
        </row>
        <row r="865">
          <cell r="A865" t="str">
            <v>20014.17/01</v>
          </cell>
          <cell r="B865" t="str">
            <v>Комод Савона 5 ящиков Белая гладкая 500х1020(h)х324</v>
          </cell>
          <cell r="D865" t="str">
            <v>КОМОДЫ</v>
          </cell>
          <cell r="E865" t="str">
            <v>FBO</v>
          </cell>
          <cell r="F865" t="str">
            <v>Комод Савона 5 ящиков</v>
          </cell>
          <cell r="G865" t="str">
            <v>Белая гладкая</v>
          </cell>
          <cell r="H865" t="str">
            <v>4620263155154</v>
          </cell>
          <cell r="I865" t="str">
            <v>Вакансия</v>
          </cell>
        </row>
        <row r="866">
          <cell r="A866" t="str">
            <v>MK3630101</v>
          </cell>
          <cell r="B866" t="str">
            <v>Стол-трансформер Непал ЛДСП Дуб Вотан, Черн. металл. 920х480(h)х450</v>
          </cell>
          <cell r="D866" t="str">
            <v>СТОЛЫ</v>
          </cell>
          <cell r="E866" t="str">
            <v>СКГТ (ОЗОН)</v>
          </cell>
          <cell r="F866" t="str">
            <v>Стол-трансформер Непал</v>
          </cell>
          <cell r="G866" t="str">
            <v>ЛДСП Дуб Вотан, Черн. металл.</v>
          </cell>
          <cell r="H866" t="str">
            <v>4620263153709</v>
          </cell>
          <cell r="I866" t="str">
            <v>Вакансия</v>
          </cell>
        </row>
        <row r="867">
          <cell r="A867" t="str">
            <v>5003.05.09/01</v>
          </cell>
          <cell r="B867" t="str">
            <v>Тумба мобильная Кантон 3 ящика Дуб Крафт Золотой/Серый Графит 400х632(h)х470</v>
          </cell>
          <cell r="D867" t="str">
            <v>ТУМБЫ ПРИКРОВАТНЫЕ</v>
          </cell>
          <cell r="E867" t="str">
            <v>FBO</v>
          </cell>
          <cell r="F867" t="str">
            <v>Тумба мобильная Кантон 3 ящика</v>
          </cell>
          <cell r="G867" t="str">
            <v>Дуб крафт золотой/графит</v>
          </cell>
          <cell r="H867" t="str">
            <v>4620263153334</v>
          </cell>
          <cell r="I867" t="str">
            <v>Вакансия</v>
          </cell>
        </row>
        <row r="868">
          <cell r="A868" t="str">
            <v>4000.02.03/01</v>
          </cell>
          <cell r="B868" t="str">
            <v>Комод Лион 4 ящика Белое тиснение/Дуб сонома 750х828(h)х398</v>
          </cell>
          <cell r="D868" t="str">
            <v>КОМОДЫ</v>
          </cell>
          <cell r="E868" t="str">
            <v>СКГТ (ОЗОН)</v>
          </cell>
          <cell r="F868" t="str">
            <v>Комод Лион 4 ящика</v>
          </cell>
          <cell r="G868" t="str">
            <v>Белое тиснение/Дуб сонома</v>
          </cell>
          <cell r="H868" t="str">
            <v>4620263152580</v>
          </cell>
          <cell r="I868" t="str">
            <v>Вакансия</v>
          </cell>
        </row>
        <row r="869">
          <cell r="A869" t="str">
            <v>5001.05.09/01</v>
          </cell>
          <cell r="B869" t="str">
            <v>Шкаф комбинированный Кантон Дуб Крафт Золотой/Серый Графит 800х2057(h)х474</v>
          </cell>
          <cell r="D869" t="str">
            <v>ШКАФЫ</v>
          </cell>
          <cell r="E869" t="str">
            <v>СКГТ (ОЗОН)</v>
          </cell>
          <cell r="F869" t="str">
            <v>Шкаф комбинированный Кантон</v>
          </cell>
          <cell r="G869" t="str">
            <v>Дуб крафт золотой/графит</v>
          </cell>
          <cell r="H869" t="str">
            <v>4620263153099</v>
          </cell>
          <cell r="I869" t="str">
            <v>Вакансия</v>
          </cell>
        </row>
        <row r="870">
          <cell r="A870" t="str">
            <v>4010.02.03/01</v>
          </cell>
          <cell r="B870" t="str">
            <v>Комод Лион 3 ящика Белое тиснение/Дуб сонома 750х636(h)х398</v>
          </cell>
          <cell r="D870" t="str">
            <v>КОМОДЫ</v>
          </cell>
          <cell r="E870" t="str">
            <v>FBO</v>
          </cell>
          <cell r="F870" t="str">
            <v>Комод Лион 3 ящика</v>
          </cell>
          <cell r="G870" t="str">
            <v>Белое тиснение/Дуб сонома</v>
          </cell>
          <cell r="H870" t="str">
            <v>4620263150364</v>
          </cell>
          <cell r="I870" t="str">
            <v>Вакансия</v>
          </cell>
        </row>
        <row r="871">
          <cell r="A871" t="str">
            <v>4008.02.03/01</v>
          </cell>
          <cell r="B871" t="str">
            <v>Тумба прикроватная Лион 2 ящика Белое тиснение/Дуб сонома 480х444(h)х398</v>
          </cell>
          <cell r="D871" t="str">
            <v>ТУМБЫ ПРИКРОВАТНЫЕ</v>
          </cell>
          <cell r="E871" t="str">
            <v>FBO</v>
          </cell>
          <cell r="F871" t="str">
            <v>Тумба прикроватная Лион 2 ящика</v>
          </cell>
          <cell r="G871" t="str">
            <v>Белое тиснение/Дуб сонома</v>
          </cell>
          <cell r="H871" t="str">
            <v>4620263153945</v>
          </cell>
          <cell r="I871" t="str">
            <v>Вакансия</v>
          </cell>
        </row>
        <row r="872">
          <cell r="A872" t="str">
            <v>4001.02.03/01</v>
          </cell>
          <cell r="B872" t="str">
            <v>Комод Лион Рондо 4 ящика Белое тиснение/Дуб сонома 750х828(h)х398</v>
          </cell>
          <cell r="D872" t="str">
            <v>КОМОДЫ</v>
          </cell>
          <cell r="E872" t="str">
            <v>СКГТ (ОЗОН)</v>
          </cell>
          <cell r="F872" t="str">
            <v>Комод Лион Рондо 4 ящика</v>
          </cell>
          <cell r="G872" t="str">
            <v>Белое тиснение/Дуб сонома</v>
          </cell>
          <cell r="H872" t="str">
            <v>4620263152603</v>
          </cell>
          <cell r="I872" t="str">
            <v>Вакансия</v>
          </cell>
        </row>
        <row r="873">
          <cell r="A873" t="str">
            <v>MK2570101</v>
          </cell>
          <cell r="B873" t="str">
            <v>Шкаф комод City lite ЛДСП Дуб Вотан, Черн. металл. 1032х957(h)х354</v>
          </cell>
          <cell r="D873" t="str">
            <v>КОМОДЫ</v>
          </cell>
          <cell r="E873" t="str">
            <v>СКГТ (ОЗОН)</v>
          </cell>
          <cell r="F873" t="str">
            <v>Шкаф комод City lite</v>
          </cell>
          <cell r="G873" t="str">
            <v>Дуб Вотан, Черн. металл.</v>
          </cell>
          <cell r="H873" t="str">
            <v>4640219950220</v>
          </cell>
          <cell r="I873" t="str">
            <v>Вакансия</v>
          </cell>
        </row>
        <row r="874">
          <cell r="A874" t="str">
            <v>3961.07.01/01</v>
          </cell>
          <cell r="B874" t="str">
            <v>Стеллаж трансформер с дверками Антрацит/Дуб Вотан 762*1342/1646/250*746</v>
          </cell>
          <cell r="D874" t="str">
            <v>СТЕЛЛАЖИ</v>
          </cell>
          <cell r="E874" t="str">
            <v>СКГТ (ОЗОН)</v>
          </cell>
          <cell r="F874" t="str">
            <v>Стеллаж трансформер с дверками</v>
          </cell>
          <cell r="G874" t="str">
            <v>Антрацит/Дуб Вотан</v>
          </cell>
          <cell r="H874" t="str">
            <v>2521897953547</v>
          </cell>
          <cell r="I874" t="str">
            <v>Вакансия</v>
          </cell>
        </row>
        <row r="875">
          <cell r="A875">
            <v>4110</v>
          </cell>
          <cell r="B875" t="str">
            <v>Комод Веста Белое тиснение 740х346х600</v>
          </cell>
          <cell r="C875" t="str">
            <v>Ратникова</v>
          </cell>
          <cell r="D875" t="str">
            <v>КОМОДЫ</v>
          </cell>
          <cell r="E875" t="str">
            <v>FBO</v>
          </cell>
          <cell r="F875" t="str">
            <v>Комод Веста</v>
          </cell>
          <cell r="G875" t="str">
            <v>Белое тиснение</v>
          </cell>
          <cell r="H875" t="str">
            <v>2521897952978</v>
          </cell>
          <cell r="I875" t="str">
            <v>Вакансия</v>
          </cell>
        </row>
        <row r="876">
          <cell r="A876" t="str">
            <v>MK189010151</v>
          </cell>
          <cell r="B876" t="str">
            <v>Тумба прикроватная Capri 2 ящ. ЛДСП Дуб Вотан/Спанбонд черный, Черн. Металл 412х536(h)х292</v>
          </cell>
          <cell r="D876" t="str">
            <v>ТУМБЫ ПРИКРОВАТНЫЕ</v>
          </cell>
          <cell r="E876" t="str">
            <v>FBO</v>
          </cell>
          <cell r="F876" t="str">
            <v>Тумба прикроватная Capri 2 ящ.</v>
          </cell>
          <cell r="G876" t="str">
            <v>ЛДСП Дуб Вотан/Спанбонд черный, Черн. Металл</v>
          </cell>
          <cell r="H876" t="str">
            <v>46602041006064</v>
          </cell>
          <cell r="I876" t="str">
            <v>Вакансия</v>
          </cell>
        </row>
        <row r="877">
          <cell r="A877" t="str">
            <v>MK2502001</v>
          </cell>
          <cell r="B877" t="str">
            <v>Стеллаж Tokyo Lite Plus ЛДСП Цемент светл.вельвет,Черн.металл.780х1758(h)х290</v>
          </cell>
          <cell r="D877" t="str">
            <v>СТЕЛЛАЖИ</v>
          </cell>
          <cell r="E877" t="str">
            <v>FBO</v>
          </cell>
          <cell r="F877" t="str">
            <v>Стеллаж Tokyo Lite Plus</v>
          </cell>
          <cell r="G877" t="str">
            <v>ЛДСП Цемент светл. вельвет, Черн. металл.</v>
          </cell>
          <cell r="H877" t="str">
            <v>4640219951319</v>
          </cell>
          <cell r="I877" t="str">
            <v>Вакансия</v>
          </cell>
        </row>
        <row r="878">
          <cell r="A878" t="str">
            <v>MK1920101</v>
          </cell>
          <cell r="B878" t="str">
            <v>Стеллаж Fiji ЛДСП дуб вотан Черн. металл</v>
          </cell>
          <cell r="D878" t="str">
            <v>СТЕЛЛАЖИ</v>
          </cell>
          <cell r="E878" t="str">
            <v>FBO</v>
          </cell>
          <cell r="F878" t="str">
            <v>Стеллаж Fiji</v>
          </cell>
          <cell r="G878" t="str">
            <v>ЛДСП Дуб Вотан, Черн. металл.</v>
          </cell>
          <cell r="H878" t="str">
            <v>2521897952902</v>
          </cell>
          <cell r="I878" t="str">
            <v>Вакансия</v>
          </cell>
        </row>
        <row r="879">
          <cell r="A879" t="str">
            <v>MK2420101</v>
          </cell>
          <cell r="B879" t="str">
            <v>Стеллаж этажерка Tokyo Lite с дверк. ЛДСП Дуб Вотан, Черн.металл. 710х1750(h)х386</v>
          </cell>
          <cell r="D879" t="str">
            <v>СТЕЛЛАЖИ</v>
          </cell>
          <cell r="E879" t="str">
            <v>FBO</v>
          </cell>
          <cell r="F879" t="str">
            <v xml:space="preserve">Стеллаж этажерка Tokyo Lite с дверк. </v>
          </cell>
          <cell r="G879" t="str">
            <v>ЛДСП Дуб Вотан, Черн. металл.</v>
          </cell>
          <cell r="H879" t="str">
            <v>4660041009170</v>
          </cell>
          <cell r="I879" t="str">
            <v>Вакансия</v>
          </cell>
        </row>
        <row r="880">
          <cell r="A880" t="str">
            <v>ПШ28167</v>
          </cell>
          <cell r="B880" t="str">
            <v>Органайзер Ткань мебельная бордовая Стеллажа Quattro 280х280(h)х280</v>
          </cell>
          <cell r="D880" t="str">
            <v>ОРГАНАЙЗЕР</v>
          </cell>
          <cell r="E880" t="str">
            <v>FBO</v>
          </cell>
          <cell r="H880" t="str">
            <v>2521897953536</v>
          </cell>
          <cell r="I880" t="str">
            <v>Вакансия</v>
          </cell>
        </row>
        <row r="881">
          <cell r="A881" t="str">
            <v>ПШ28054</v>
          </cell>
          <cell r="B881" t="str">
            <v>Органайзер ткань мебельная Tony 1 Стеллажа Hardy 550х270(h)х210</v>
          </cell>
          <cell r="D881" t="str">
            <v>ОРГАНАЙЗЕР</v>
          </cell>
          <cell r="E881" t="str">
            <v>FBO</v>
          </cell>
          <cell r="H881" t="str">
            <v>2521897953535</v>
          </cell>
          <cell r="I881" t="str">
            <v>Вакансия</v>
          </cell>
        </row>
        <row r="882">
          <cell r="A882" t="str">
            <v>ПШ27976</v>
          </cell>
          <cell r="B882" t="str">
            <v>Органайзер ткань мебельная коричнево-бордовая Стеллажа Zett 500х250(h)х210</v>
          </cell>
          <cell r="D882" t="str">
            <v>ОРГАНАЙЗЕР</v>
          </cell>
          <cell r="E882" t="str">
            <v>FBO</v>
          </cell>
          <cell r="H882" t="str">
            <v>2521897953537</v>
          </cell>
          <cell r="I882" t="str">
            <v>Вакансия</v>
          </cell>
        </row>
        <row r="883">
          <cell r="A883">
            <v>135589</v>
          </cell>
          <cell r="B883" t="str">
            <v>Комод City 5 ящиков Крафт серый/Серый графит</v>
          </cell>
          <cell r="C883" t="str">
            <v>Платонова</v>
          </cell>
          <cell r="D883" t="str">
            <v>КОМОДЫ</v>
          </cell>
          <cell r="E883" t="str">
            <v>FBS</v>
          </cell>
          <cell r="F883" t="str">
            <v>Комод City 5 ящиков 400х1059х354</v>
          </cell>
          <cell r="G883" t="str">
            <v>дуб крафт серый/графит</v>
          </cell>
          <cell r="H883">
            <v>0</v>
          </cell>
          <cell r="I883" t="str">
            <v>Вакансия</v>
          </cell>
        </row>
        <row r="884">
          <cell r="A884">
            <v>135588</v>
          </cell>
          <cell r="B884" t="str">
            <v>Комод City 5 ящиков Серый графит</v>
          </cell>
          <cell r="C884" t="str">
            <v>Платонова</v>
          </cell>
          <cell r="D884" t="str">
            <v>КОМОДЫ</v>
          </cell>
          <cell r="E884" t="str">
            <v>FBS</v>
          </cell>
          <cell r="F884" t="str">
            <v>Комод City 5 ящиков 400х1059х354</v>
          </cell>
          <cell r="G884" t="str">
            <v>Графит</v>
          </cell>
          <cell r="H884">
            <v>0</v>
          </cell>
          <cell r="I884" t="str">
            <v>Вакансия</v>
          </cell>
        </row>
        <row r="885">
          <cell r="A885">
            <v>3579</v>
          </cell>
          <cell r="B885" t="str">
            <v>Тумба подвесная Malta белое тиснение/Дуб сонома 610х200(h)х284</v>
          </cell>
          <cell r="C885" t="str">
            <v>Леонтьева</v>
          </cell>
          <cell r="D885" t="str">
            <v>СТОЛЫ МАНИКЮРНЫЕ</v>
          </cell>
          <cell r="E885" t="str">
            <v>FBO</v>
          </cell>
          <cell r="F885" t="str">
            <v>Тумба подвесная Мальта  610х200х290</v>
          </cell>
          <cell r="G885" t="str">
            <v>дуб сонома/белое тиснение</v>
          </cell>
          <cell r="H885" t="str">
            <v>2521897952890</v>
          </cell>
          <cell r="I885" t="str">
            <v>Вакансия</v>
          </cell>
        </row>
        <row r="886">
          <cell r="A886" t="str">
            <v>3711.17/01</v>
          </cell>
          <cell r="B886" t="str">
            <v>Стеллаж Sakura 2 ящика Белая Гладкая 358*1804*292</v>
          </cell>
          <cell r="C886" t="str">
            <v>Загашева</v>
          </cell>
          <cell r="D886" t="str">
            <v>СТЕЛЛАЖИ</v>
          </cell>
          <cell r="E886" t="str">
            <v>FBO</v>
          </cell>
          <cell r="F886" t="str">
            <v>Стеллаж Sakura 2 ящика 358*1804*292</v>
          </cell>
          <cell r="G886" t="str">
            <v>Белая гладкая</v>
          </cell>
          <cell r="H886" t="str">
            <v>2521897953226</v>
          </cell>
          <cell r="I886" t="str">
            <v>Вакансия</v>
          </cell>
        </row>
        <row r="887">
          <cell r="A887" t="str">
            <v>3711.05/01</v>
          </cell>
          <cell r="B887" t="str">
            <v>Стеллаж Sakura 2 ящика Дуб Крафт Золотой 358*1804*292</v>
          </cell>
          <cell r="C887" t="str">
            <v>Загашева</v>
          </cell>
          <cell r="D887" t="str">
            <v>СТЕЛЛАЖИ</v>
          </cell>
          <cell r="E887" t="str">
            <v>FBO</v>
          </cell>
          <cell r="F887" t="str">
            <v>Стеллаж Sakura 2 ящика 358*1804*292</v>
          </cell>
          <cell r="G887" t="str">
            <v>Дуб Крафт золотой</v>
          </cell>
          <cell r="H887" t="str">
            <v>2521897953224</v>
          </cell>
          <cell r="I887" t="str">
            <v>Вакансия</v>
          </cell>
        </row>
        <row r="888">
          <cell r="A888" t="str">
            <v>3711.09/01</v>
          </cell>
          <cell r="B888" t="str">
            <v>Стеллаж Sakura 2 ящика Серый Графит358*1804*292</v>
          </cell>
          <cell r="C888" t="str">
            <v>Загашева</v>
          </cell>
          <cell r="D888" t="str">
            <v>СТЕЛЛАЖИ</v>
          </cell>
          <cell r="E888" t="str">
            <v>FBO</v>
          </cell>
          <cell r="F888" t="str">
            <v>Стеллаж Sakura 2 ящика 358*1804*292</v>
          </cell>
          <cell r="G888" t="str">
            <v>Графит</v>
          </cell>
          <cell r="H888" t="str">
            <v>2521897953225</v>
          </cell>
          <cell r="I888" t="str">
            <v>Вакансия</v>
          </cell>
        </row>
        <row r="889">
          <cell r="A889">
            <v>30611</v>
          </cell>
          <cell r="B889" t="str">
            <v>Стеллаж Quatrro 4 секции с ящиками Белое тиснение</v>
          </cell>
          <cell r="C889" t="str">
            <v>Зимакова</v>
          </cell>
          <cell r="D889" t="str">
            <v>СТЕЛЛАЖИ</v>
          </cell>
          <cell r="E889" t="str">
            <v>СКГТ</v>
          </cell>
          <cell r="F889" t="str">
            <v>Стеллаж Quatrro 4 секции с ящиками</v>
          </cell>
          <cell r="G889" t="str">
            <v>Белое тиснение</v>
          </cell>
          <cell r="H889" t="str">
            <v>2521897953343</v>
          </cell>
          <cell r="I889" t="str">
            <v>Вакансия</v>
          </cell>
        </row>
        <row r="890">
          <cell r="A890">
            <v>135595</v>
          </cell>
          <cell r="B890" t="str">
            <v>Комод City 5 ящиков Бетон/Белое тиснение</v>
          </cell>
          <cell r="C890" t="str">
            <v>Платонова</v>
          </cell>
          <cell r="D890" t="str">
            <v>КОМОДЫ</v>
          </cell>
          <cell r="E890" t="str">
            <v>FBS</v>
          </cell>
          <cell r="F890" t="str">
            <v>Комод City 5 ящиков 400х1059х354</v>
          </cell>
          <cell r="G890" t="str">
            <v>Бетон/Белое тиснение</v>
          </cell>
          <cell r="H890" t="str">
            <v>2521897953052</v>
          </cell>
          <cell r="I890" t="str">
            <v>Вакансия</v>
          </cell>
        </row>
        <row r="891">
          <cell r="A891">
            <v>135594</v>
          </cell>
          <cell r="B891" t="str">
            <v>Комод City 3 ящика Серый графит</v>
          </cell>
          <cell r="C891" t="str">
            <v>Платонова</v>
          </cell>
          <cell r="D891" t="str">
            <v>КОМОДЫ</v>
          </cell>
          <cell r="E891" t="str">
            <v>FBO</v>
          </cell>
          <cell r="F891" t="str">
            <v>Комод City 3 ящика 700х675х354</v>
          </cell>
          <cell r="G891" t="str">
            <v>Графит</v>
          </cell>
          <cell r="H891" t="str">
            <v>2521897953089</v>
          </cell>
          <cell r="I891" t="str">
            <v>Вакансия</v>
          </cell>
        </row>
        <row r="892">
          <cell r="A892">
            <v>135590</v>
          </cell>
          <cell r="B892" t="str">
            <v>Комод City 3 ящика Бетон</v>
          </cell>
          <cell r="C892" t="str">
            <v>Платонова</v>
          </cell>
          <cell r="D892" t="str">
            <v>КОМОДЫ</v>
          </cell>
          <cell r="E892" t="str">
            <v>FBO</v>
          </cell>
          <cell r="F892" t="str">
            <v>Комод City 3 ящика 700х675х354</v>
          </cell>
          <cell r="G892" t="str">
            <v>Бетон</v>
          </cell>
          <cell r="H892" t="str">
            <v>2521897953048</v>
          </cell>
          <cell r="I892" t="str">
            <v>Вакансия</v>
          </cell>
        </row>
        <row r="893">
          <cell r="A893">
            <v>135596</v>
          </cell>
          <cell r="B893" t="str">
            <v>Комод City 5 ящиков Дуб сонома/Белое тиснение</v>
          </cell>
          <cell r="C893" t="str">
            <v>Платонова</v>
          </cell>
          <cell r="D893" t="str">
            <v>КОМОДЫ</v>
          </cell>
          <cell r="E893" t="str">
            <v>FBS</v>
          </cell>
          <cell r="F893" t="str">
            <v>Комод City 5 ящиков 400х1059х354</v>
          </cell>
          <cell r="G893" t="str">
            <v>дуб сонома/белое тиснение</v>
          </cell>
          <cell r="H893" t="str">
            <v>2521897953053</v>
          </cell>
          <cell r="I893" t="str">
            <v>Вакансия</v>
          </cell>
        </row>
        <row r="894">
          <cell r="A894" t="str">
            <v>MK00016</v>
          </cell>
          <cell r="B894" t="str">
            <v>Столик придиванный Frame ЛДСП Дуб Вотан, Черный металл. 540х660(h)х350</v>
          </cell>
          <cell r="C894" t="str">
            <v>Леонтьева</v>
          </cell>
          <cell r="D894" t="str">
            <v>СТОЛИКИ ЖУРНАЛЬНЫЕ</v>
          </cell>
          <cell r="E894" t="str">
            <v>FBO</v>
          </cell>
          <cell r="F894" t="str">
            <v>Столик придиванный Frame  540х660(h)х350</v>
          </cell>
          <cell r="G894" t="str">
            <v>ЛДСП Дуб Вотан, Черн. металл.</v>
          </cell>
          <cell r="H894" t="str">
            <v>2521897952633</v>
          </cell>
          <cell r="I894" t="str">
            <v>Вакансия</v>
          </cell>
        </row>
        <row r="895">
          <cell r="A895">
            <v>3510</v>
          </cell>
          <cell r="B895" t="str">
            <v>Тумба City 2 ящика Венге</v>
          </cell>
          <cell r="C895" t="str">
            <v>Кошкарева</v>
          </cell>
          <cell r="D895" t="str">
            <v>ТУМБЫ ПРИКРОВАТНЫЕ</v>
          </cell>
          <cell r="E895" t="str">
            <v>FBO</v>
          </cell>
          <cell r="F895" t="str">
            <v xml:space="preserve">Тумба City 2 ящика </v>
          </cell>
          <cell r="G895" t="str">
            <v>Венге</v>
          </cell>
          <cell r="H895" t="str">
            <v>2521897952577</v>
          </cell>
          <cell r="I895" t="str">
            <v>Вакансия</v>
          </cell>
        </row>
        <row r="896">
          <cell r="A896" t="str">
            <v>MK1862001</v>
          </cell>
          <cell r="B896" t="str">
            <v>Шкаф комод Frame с дверкой и полками ЛДСП Цемент светл.вельвет, Черн.металл 700*910*300</v>
          </cell>
          <cell r="D896" t="str">
            <v>КОМОДЫ</v>
          </cell>
          <cell r="E896" t="str">
            <v>FBO</v>
          </cell>
          <cell r="F896" t="str">
            <v>Шкаф комод Frame с дверкой и полками</v>
          </cell>
          <cell r="G896" t="str">
            <v>Цемент светлый вельвет</v>
          </cell>
          <cell r="H896" t="str">
            <v>2521897953495</v>
          </cell>
          <cell r="I896" t="str">
            <v>Вакансия</v>
          </cell>
        </row>
        <row r="897">
          <cell r="A897" t="str">
            <v>MK1930101</v>
          </cell>
          <cell r="B897" t="str">
            <v>Обувница Frame вертикальная 3 секции ЛДСП Дуб Вотан, Черн. метлалл. 576х1120(h)х242</v>
          </cell>
          <cell r="D897" t="str">
            <v>ОБУВНИЦЫ</v>
          </cell>
          <cell r="E897" t="str">
            <v>FBO</v>
          </cell>
          <cell r="F897" t="str">
            <v>Обувница Frame вертикальная 3 секции</v>
          </cell>
          <cell r="G897" t="str">
            <v>ЛДСП Дуб Вотан, Черн. металл.</v>
          </cell>
          <cell r="H897" t="str">
            <v>4660041008326</v>
          </cell>
          <cell r="I897" t="str">
            <v>Вакансия</v>
          </cell>
        </row>
        <row r="898">
          <cell r="A898" t="str">
            <v>MK2430101</v>
          </cell>
          <cell r="B898" t="str">
            <v>Стеллаж этажерка Tokyo Lite с ящ. ЛДСП Дуб Вотан, Черн. металл. 428х1750(h)х386</v>
          </cell>
          <cell r="D898" t="str">
            <v>СТЕЛЛАЖИ</v>
          </cell>
          <cell r="E898" t="str">
            <v>FBO</v>
          </cell>
          <cell r="F898" t="str">
            <v>Стеллаж этажерка Tokyo Lite с ящ.</v>
          </cell>
          <cell r="G898" t="str">
            <v>ЛДСП Дуб Вотан, Черн. металл.</v>
          </cell>
          <cell r="H898" t="str">
            <v>4660041009187</v>
          </cell>
          <cell r="I898" t="str">
            <v>Вакансия</v>
          </cell>
        </row>
        <row r="899">
          <cell r="A899" t="str">
            <v>MK1280101</v>
          </cell>
          <cell r="B899" t="str">
            <v>Стол журнальный Frame с ящиками ЛДСП Дуб Вотан, Черн. металл. 900х480(h)х450</v>
          </cell>
          <cell r="C899" t="str">
            <v>Леонтьева</v>
          </cell>
          <cell r="D899" t="str">
            <v>СТОЛИКИ ЖУРНАЛЬНЫЕ</v>
          </cell>
          <cell r="E899" t="str">
            <v>FBS</v>
          </cell>
          <cell r="F899" t="str">
            <v>Стол журнальный Frame с ящиками 900х480(h)х450</v>
          </cell>
          <cell r="G899" t="str">
            <v>ЛДСП Дуб Вотан, Черн. металл.</v>
          </cell>
          <cell r="H899" t="str">
            <v>2521897952674</v>
          </cell>
          <cell r="I899" t="str">
            <v>Вакансия</v>
          </cell>
        </row>
        <row r="900">
          <cell r="A900">
            <v>3810</v>
          </cell>
          <cell r="B900" t="str">
            <v>Стеллаж угловой Jazz Plus Белое Тиснение 380*1750*380</v>
          </cell>
          <cell r="C900" t="str">
            <v>Зимакова</v>
          </cell>
          <cell r="D900" t="str">
            <v>СТЕЛЛАЖИ</v>
          </cell>
          <cell r="E900" t="str">
            <v>FBO</v>
          </cell>
          <cell r="F900" t="str">
            <v>Стеллаж угловой Jazz Plus 380*1750*380</v>
          </cell>
          <cell r="G900" t="str">
            <v>Белое тиснение</v>
          </cell>
          <cell r="H900" t="str">
            <v>2521897953247</v>
          </cell>
          <cell r="I900" t="str">
            <v>Вакансия</v>
          </cell>
        </row>
        <row r="901">
          <cell r="A901" t="str">
            <v>3810.06/01</v>
          </cell>
          <cell r="B901" t="str">
            <v>Стеллаж угловой Jazz Plus Дуб Крафт Белый 380х1750(h)х380</v>
          </cell>
          <cell r="C901" t="str">
            <v>Зимакова</v>
          </cell>
          <cell r="D901" t="str">
            <v>СТЕЛЛАЖИ</v>
          </cell>
          <cell r="E901" t="str">
            <v>FBO</v>
          </cell>
          <cell r="F901" t="str">
            <v>Стеллаж угловой Jazz Plus 380*1750*380</v>
          </cell>
          <cell r="G901" t="str">
            <v>Дуб Крафт Белый</v>
          </cell>
          <cell r="H901" t="str">
            <v>2521897953249</v>
          </cell>
          <cell r="I901" t="str">
            <v>Вакансия</v>
          </cell>
        </row>
        <row r="902">
          <cell r="A902" t="str">
            <v>3810.05/01</v>
          </cell>
          <cell r="B902" t="str">
            <v>Стеллаж угловой Jazz Plus Дуб Крафт золотой 380х1750(h)х380</v>
          </cell>
          <cell r="C902" t="str">
            <v>Зимакова</v>
          </cell>
          <cell r="D902" t="str">
            <v>СТЕЛЛАЖИ</v>
          </cell>
          <cell r="E902" t="str">
            <v>FBO</v>
          </cell>
          <cell r="F902" t="str">
            <v>Стеллаж угловой Jazz Plus  1746х330х330</v>
          </cell>
          <cell r="G902" t="str">
            <v>Дуб Крафт золотой</v>
          </cell>
          <cell r="H902" t="str">
            <v>2521897953248</v>
          </cell>
          <cell r="I902" t="str">
            <v>Вакансия</v>
          </cell>
        </row>
        <row r="903">
          <cell r="A903" t="str">
            <v>3810.09/01</v>
          </cell>
          <cell r="B903" t="str">
            <v>Стеллаж угловой Jazz Plus Серый Графит 380*1750*380</v>
          </cell>
          <cell r="C903" t="str">
            <v>Зимакова</v>
          </cell>
          <cell r="D903" t="str">
            <v>СТЕЛЛАЖИ</v>
          </cell>
          <cell r="E903" t="str">
            <v>FBO</v>
          </cell>
          <cell r="F903" t="str">
            <v>Стеллаж угловой Jazz Plus 380*1750*380</v>
          </cell>
          <cell r="G903" t="str">
            <v>Графит</v>
          </cell>
          <cell r="H903" t="str">
            <v>2521897953250</v>
          </cell>
          <cell r="I903" t="str">
            <v>Вакансия</v>
          </cell>
        </row>
        <row r="904">
          <cell r="A904" t="str">
            <v>3810.20/01</v>
          </cell>
          <cell r="B904" t="str">
            <v>Стеллаж угловой Jazz Plus Цемент светлый вельвет 380х1750(h)х380</v>
          </cell>
          <cell r="C904" t="str">
            <v>Зимакова</v>
          </cell>
          <cell r="D904" t="str">
            <v>СТЕЛЛАЖИ</v>
          </cell>
          <cell r="E904" t="str">
            <v>FBO</v>
          </cell>
          <cell r="F904" t="str">
            <v>Стеллаж угловой Jazz Plus 380*1750*380</v>
          </cell>
          <cell r="G904" t="str">
            <v>Цемент светлый вельвет</v>
          </cell>
          <cell r="H904" t="str">
            <v>2521897953251</v>
          </cell>
          <cell r="I904" t="str">
            <v>Вакансия</v>
          </cell>
        </row>
        <row r="905">
          <cell r="A905" t="str">
            <v>MK1600101</v>
          </cell>
          <cell r="B905" t="str">
            <v>Стеллаж этажерка Tokyo с откр. полками ЛДСП Дуб Вотан, Черн. металл. 710х1750(h)х382</v>
          </cell>
          <cell r="C905" t="str">
            <v>Зимакова</v>
          </cell>
          <cell r="D905" t="str">
            <v>СТЕЛЛАЖИ</v>
          </cell>
          <cell r="E905" t="str">
            <v>FBS</v>
          </cell>
          <cell r="F905" t="str">
            <v>Стеллаж этажерка Tokyo с откр. полками 710х1750(h)х382</v>
          </cell>
          <cell r="G905" t="str">
            <v>ЛДСП Дуб Вотан, Черн. металл.</v>
          </cell>
          <cell r="H905" t="str">
            <v>2521897952775</v>
          </cell>
          <cell r="I905" t="str">
            <v>Вакансия</v>
          </cell>
        </row>
        <row r="906">
          <cell r="A906">
            <v>3580</v>
          </cell>
          <cell r="B906" t="str">
            <v>Тумба подвесная с двойным ящиком Malta Plus белое тиснение/Дуб сонома 900х200(h)х284</v>
          </cell>
          <cell r="C906" t="str">
            <v>Леонтьева</v>
          </cell>
          <cell r="D906" t="str">
            <v>СТОЛЫ МАНИКЮРНЫЕ</v>
          </cell>
          <cell r="E906" t="str">
            <v>FBS</v>
          </cell>
          <cell r="F906" t="str">
            <v>Тумба подвесная с двойным ящиком Мальта Плюс 910х200х290</v>
          </cell>
          <cell r="G906" t="str">
            <v>дуб сонома/белое тиснение</v>
          </cell>
          <cell r="H906" t="str">
            <v>2521897952889</v>
          </cell>
          <cell r="I906" t="str">
            <v>Вакансия</v>
          </cell>
        </row>
        <row r="907">
          <cell r="A907">
            <v>2696</v>
          </cell>
          <cell r="B907" t="str">
            <v>Тумба под ТВ Лофт универсальная Белое тиснение 1000х332х264</v>
          </cell>
          <cell r="C907" t="str">
            <v>Мисесина</v>
          </cell>
          <cell r="D907" t="str">
            <v>ТУМБЫ под ТВ</v>
          </cell>
          <cell r="E907" t="str">
            <v>FBS</v>
          </cell>
          <cell r="F907" t="str">
            <v>Тумба под ТВ Лофт универсальная 1000х332х264</v>
          </cell>
          <cell r="G907" t="str">
            <v>Белое тиснение</v>
          </cell>
          <cell r="H907" t="str">
            <v>2520000000077</v>
          </cell>
          <cell r="I907" t="str">
            <v>Вакансия</v>
          </cell>
        </row>
        <row r="908">
          <cell r="A908">
            <v>2697</v>
          </cell>
          <cell r="B908" t="str">
            <v>Тумба под ТВ Лофт универсальная Венге 1000х332х264</v>
          </cell>
          <cell r="C908" t="str">
            <v>Мисесина</v>
          </cell>
          <cell r="D908" t="str">
            <v>ТУМБЫ под ТВ</v>
          </cell>
          <cell r="E908" t="str">
            <v>FBS</v>
          </cell>
          <cell r="F908" t="str">
            <v>Тумба под ТВ Лофт универсальная 1000х332х264</v>
          </cell>
          <cell r="G908" t="str">
            <v>Венге</v>
          </cell>
          <cell r="H908" t="str">
            <v>2520000000084</v>
          </cell>
          <cell r="I908" t="str">
            <v>Вакансия</v>
          </cell>
        </row>
        <row r="909">
          <cell r="A909">
            <v>3722</v>
          </cell>
          <cell r="B909" t="str">
            <v>Тумба под ТВ Лофт универсальная Серый Графит 1000х332х264</v>
          </cell>
          <cell r="C909" t="str">
            <v>Мисесина</v>
          </cell>
          <cell r="D909" t="str">
            <v>ТУМБЫ под ТВ</v>
          </cell>
          <cell r="E909" t="str">
            <v>FBS</v>
          </cell>
          <cell r="F909" t="str">
            <v>Тумба под ТВ Лофт универсальная 1000х332х264</v>
          </cell>
          <cell r="G909" t="str">
            <v>Графит</v>
          </cell>
          <cell r="H909" t="str">
            <v>2521897953171</v>
          </cell>
          <cell r="I909" t="str">
            <v>Вакансия</v>
          </cell>
        </row>
        <row r="910">
          <cell r="A910">
            <v>2698</v>
          </cell>
          <cell r="B910" t="str">
            <v>Тумба под ТВ Лофт универсальная Дуб сонома 1000х332х264</v>
          </cell>
          <cell r="C910" t="str">
            <v>Мисесина</v>
          </cell>
          <cell r="D910" t="str">
            <v>ТУМБЫ под ТВ</v>
          </cell>
          <cell r="E910" t="str">
            <v>FBS</v>
          </cell>
          <cell r="F910" t="str">
            <v>Тумба под ТВ Лофт универсальная 1000х332х264</v>
          </cell>
          <cell r="G910" t="str">
            <v>Дуб сонома</v>
          </cell>
          <cell r="H910" t="str">
            <v>2520000000091</v>
          </cell>
          <cell r="I910" t="str">
            <v>Вакансия</v>
          </cell>
        </row>
        <row r="911">
          <cell r="A911" t="str">
            <v>MK00044</v>
          </cell>
          <cell r="B911" t="str">
            <v>Тумба Frame с ящиком ЛДСП Белое тиснение, черн. Металл. 408х504х304</v>
          </cell>
          <cell r="C911" t="str">
            <v>Вакансия</v>
          </cell>
          <cell r="D911" t="str">
            <v>ТУМБЫ ПРИКРОВАТНЫЕ</v>
          </cell>
          <cell r="E911" t="str">
            <v>FBO</v>
          </cell>
          <cell r="G911" t="str">
            <v>Белое тиснение</v>
          </cell>
          <cell r="H911" t="str">
            <v>2521897952617</v>
          </cell>
          <cell r="I911" t="str">
            <v>Вакансия</v>
          </cell>
        </row>
        <row r="912">
          <cell r="A912">
            <v>4071</v>
          </cell>
          <cell r="B912" t="str">
            <v>Тумба подвесная Белое тиснение/дуб сонома Оливия 420*279*300</v>
          </cell>
          <cell r="C912" t="str">
            <v>Кошкарева</v>
          </cell>
          <cell r="D912" t="str">
            <v>ТУМБЫ ПРИКРОВАТНЫЕ</v>
          </cell>
          <cell r="E912" t="str">
            <v>FBO</v>
          </cell>
          <cell r="F912" t="str">
            <v>Тумба подвесная  Оливия 420*279*300</v>
          </cell>
          <cell r="G912" t="str">
            <v>дуб сонома/белое тиснение</v>
          </cell>
          <cell r="H912" t="str">
            <v>2521897953020</v>
          </cell>
          <cell r="I912" t="str">
            <v>Вакансия</v>
          </cell>
        </row>
        <row r="913">
          <cell r="A913" t="str">
            <v>MK1600201</v>
          </cell>
          <cell r="B913" t="str">
            <v>Стеллаж этажерка Tokyo с откр. полками ЛДСП Белое тиснение, Черн. металл. 710х1750(h)х382</v>
          </cell>
          <cell r="C913" t="str">
            <v>Зимакова</v>
          </cell>
          <cell r="D913" t="str">
            <v>СТЕЛЛАЖИ</v>
          </cell>
          <cell r="E913" t="str">
            <v>FBS</v>
          </cell>
          <cell r="F913" t="str">
            <v>Стеллаж этажерка Tokyo с откр. полками</v>
          </cell>
          <cell r="G913" t="str">
            <v xml:space="preserve">ЛДСП Белое тиснение, Черн. металл. </v>
          </cell>
          <cell r="H913" t="str">
            <v>2521897952776</v>
          </cell>
          <cell r="I913" t="str">
            <v>Вакансия</v>
          </cell>
        </row>
        <row r="914">
          <cell r="A914">
            <v>40103</v>
          </cell>
          <cell r="B914" t="str">
            <v>Тумба прикроватная Индиго Дуб Крафт серый 410х530х380</v>
          </cell>
          <cell r="C914">
            <v>0</v>
          </cell>
          <cell r="D914" t="str">
            <v>ТУМБЫ ПРИКРОВАТНЫЕ</v>
          </cell>
          <cell r="E914" t="str">
            <v>FBO</v>
          </cell>
          <cell r="F914" t="str">
            <v>Тумба прикроватная Индиго</v>
          </cell>
          <cell r="G914" t="str">
            <v>дуб крафт серый</v>
          </cell>
          <cell r="H914" t="str">
            <v>2521897953469</v>
          </cell>
          <cell r="I914" t="str">
            <v>Вакансия</v>
          </cell>
        </row>
        <row r="915">
          <cell r="A915" t="str">
            <v>4014.02.03/01</v>
          </cell>
          <cell r="B915" t="str">
            <v>Стол письменный Лион универ. с ящ. и дверками Белое тиснение/Дуб сонома</v>
          </cell>
          <cell r="D915" t="str">
            <v>СТОЛЫ</v>
          </cell>
          <cell r="E915" t="str">
            <v>СКГТ</v>
          </cell>
          <cell r="F915" t="str">
            <v>Стол письменный Лион универ. с ящ. и дверками</v>
          </cell>
          <cell r="G915" t="str">
            <v>Белое тиснение/Дуб сонома</v>
          </cell>
          <cell r="H915" t="str">
            <v>2521897953503</v>
          </cell>
          <cell r="I915" t="str">
            <v>Вакансия</v>
          </cell>
        </row>
        <row r="916">
          <cell r="A916" t="str">
            <v>4152.17.05/01</v>
          </cell>
          <cell r="B916" t="str">
            <v>Комод Рокки универсальный Белая гладкая/Дуб Крафт Золотой 1322х858(h)х398</v>
          </cell>
          <cell r="C916">
            <v>0</v>
          </cell>
          <cell r="D916" t="str">
            <v>КОМОДЫ</v>
          </cell>
          <cell r="E916" t="str">
            <v>СКГТ (ОЗОН)</v>
          </cell>
          <cell r="F916" t="str">
            <v>Комод Рокки универсальный</v>
          </cell>
          <cell r="G916" t="str">
            <v>Дуб Крафт золотой</v>
          </cell>
          <cell r="H916" t="str">
            <v>2521897953478</v>
          </cell>
          <cell r="I916" t="str">
            <v>Вакансия</v>
          </cell>
        </row>
        <row r="917">
          <cell r="A917" t="str">
            <v>4155.17.05/01</v>
          </cell>
          <cell r="B917" t="str">
            <v>Стеллаж Рокки 1-о дверный Белая гладкая/Дуб Крафт Золотой 480х1800(h)х398</v>
          </cell>
          <cell r="C917">
            <v>0</v>
          </cell>
          <cell r="D917" t="str">
            <v>СТЕЛЛАЖИ</v>
          </cell>
          <cell r="E917" t="str">
            <v>СКГТ</v>
          </cell>
          <cell r="F917" t="str">
            <v>Стеллаж Рокки 1-о дверный</v>
          </cell>
          <cell r="G917" t="str">
            <v>Белая гладкая/Дуб Крафт золотой</v>
          </cell>
          <cell r="H917" t="str">
            <v>2521897953479</v>
          </cell>
          <cell r="I917" t="str">
            <v>Вакансия</v>
          </cell>
        </row>
        <row r="918">
          <cell r="A918" t="str">
            <v>4154.17.05/01</v>
          </cell>
          <cell r="B918" t="str">
            <v>Стеллаж Рокки 3 ящика Белая гладкая/Дуб Крафт Золотой 480х1800(h)х398</v>
          </cell>
          <cell r="C918">
            <v>0</v>
          </cell>
          <cell r="D918" t="str">
            <v>СТЕЛЛАЖИ</v>
          </cell>
          <cell r="E918" t="str">
            <v>СКГТ (ОЗОН)</v>
          </cell>
          <cell r="F918" t="str">
            <v>Стеллаж Рокки 3 ящика</v>
          </cell>
          <cell r="G918" t="str">
            <v>Белая гладкая/Дуб Крафт золотой</v>
          </cell>
          <cell r="H918" t="str">
            <v>2521897953480</v>
          </cell>
          <cell r="I918" t="str">
            <v>Вакансия</v>
          </cell>
        </row>
        <row r="919">
          <cell r="A919" t="str">
            <v>4156.17.05/01</v>
          </cell>
          <cell r="B919" t="str">
            <v>Тумба под ТВ Рокки 2 ящика Белая гладкая/Дуб Крафт Золотой 1200х420(h)х398</v>
          </cell>
          <cell r="C919">
            <v>0</v>
          </cell>
          <cell r="D919" t="str">
            <v>ТУМБЫ под ТВ</v>
          </cell>
          <cell r="E919" t="str">
            <v>СКГТ</v>
          </cell>
          <cell r="F919" t="str">
            <v xml:space="preserve">Тумба под ТВ Рокки 2 ящика </v>
          </cell>
          <cell r="G919" t="str">
            <v>Белая гладкая/Дуб Крафт золотой</v>
          </cell>
          <cell r="H919" t="str">
            <v>2521897953481</v>
          </cell>
          <cell r="I919" t="str">
            <v>Вакансия</v>
          </cell>
        </row>
        <row r="920">
          <cell r="A920">
            <v>2995</v>
          </cell>
          <cell r="B920" t="str">
            <v>Комод Прага 3 ящика малый Венге 400х732х410</v>
          </cell>
          <cell r="C920" t="str">
            <v>Ратникова</v>
          </cell>
          <cell r="D920" t="str">
            <v>КОМОДЫ</v>
          </cell>
          <cell r="E920" t="str">
            <v>FBO</v>
          </cell>
          <cell r="F920" t="str">
            <v>Комод Прага 3 ящика малый 400х732х410</v>
          </cell>
          <cell r="G920" t="str">
            <v>Венге</v>
          </cell>
          <cell r="H920" t="str">
            <v>2520897922342</v>
          </cell>
          <cell r="I920" t="str">
            <v>Вакансия</v>
          </cell>
        </row>
        <row r="921">
          <cell r="A921">
            <v>3872</v>
          </cell>
          <cell r="B921" t="str">
            <v>Комод City New 6 ящиков Белое гладкое 1402*827*394</v>
          </cell>
          <cell r="D921" t="str">
            <v>КОМОДЫ</v>
          </cell>
          <cell r="E921" t="str">
            <v>СКГТ (ОЗОН)</v>
          </cell>
          <cell r="F921" t="str">
            <v>Комод City New 6 ящиков</v>
          </cell>
          <cell r="G921" t="str">
            <v>Белая гладкая</v>
          </cell>
          <cell r="H921" t="str">
            <v>2521897953522</v>
          </cell>
          <cell r="I921" t="str">
            <v>Вакансия</v>
          </cell>
        </row>
        <row r="922">
          <cell r="A922" t="str">
            <v>3789.17/01</v>
          </cell>
          <cell r="B922" t="str">
            <v>Обувница Ultra Lux вертикальная 3 секции Белая гладкая 532*1360*242</v>
          </cell>
          <cell r="C922" t="str">
            <v xml:space="preserve">Петрова </v>
          </cell>
          <cell r="D922" t="str">
            <v>ОБУВНИЦЫ</v>
          </cell>
          <cell r="E922" t="str">
            <v>FBO</v>
          </cell>
          <cell r="F922" t="str">
            <v>Обувница Ultra Lux вертикальная 3 секции</v>
          </cell>
          <cell r="G922" t="str">
            <v>Белая гладкая</v>
          </cell>
          <cell r="H922" t="str">
            <v>2521897953351</v>
          </cell>
          <cell r="I922" t="str">
            <v>Вакансия</v>
          </cell>
        </row>
        <row r="923">
          <cell r="A923" t="str">
            <v>3793.17/01</v>
          </cell>
          <cell r="B923" t="str">
            <v>Стол письменный Ultra Plus Белая гладкая 1100*750*670</v>
          </cell>
          <cell r="C923" t="str">
            <v>Кошкарева</v>
          </cell>
          <cell r="D923" t="str">
            <v>СТОЛЫ</v>
          </cell>
          <cell r="E923" t="str">
            <v>FBS</v>
          </cell>
          <cell r="F923" t="str">
            <v>Стол письменный Ultra Plus</v>
          </cell>
          <cell r="G923" t="str">
            <v>Белая гладкая</v>
          </cell>
          <cell r="H923" t="str">
            <v>2521897953245</v>
          </cell>
          <cell r="I923" t="str">
            <v>Основной ассортимент</v>
          </cell>
        </row>
        <row r="924">
          <cell r="A924" t="str">
            <v>3751.05/01</v>
          </cell>
          <cell r="B924" t="str">
            <v>Комод City New универсальный Дуб Крафт золотой 1402*1083*394</v>
          </cell>
          <cell r="C924" t="str">
            <v>Платонова</v>
          </cell>
          <cell r="D924" t="str">
            <v>КОМОДЫ</v>
          </cell>
          <cell r="E924" t="str">
            <v>СКГТ (ОЗОН)</v>
          </cell>
          <cell r="F924" t="str">
            <v>Комод City New универсальный</v>
          </cell>
          <cell r="G924" t="str">
            <v>Дуб Крафт золотой</v>
          </cell>
          <cell r="H924" t="str">
            <v>2521897953336</v>
          </cell>
          <cell r="I924" t="str">
            <v>Основной ассортимент</v>
          </cell>
        </row>
        <row r="925">
          <cell r="A925" t="str">
            <v>3748.06/01</v>
          </cell>
          <cell r="B925" t="str">
            <v>Шкаф стеллаж детский Дуб Крафт белый 780*1100*292</v>
          </cell>
          <cell r="C925" t="str">
            <v>Перепечаева</v>
          </cell>
          <cell r="D925" t="str">
            <v>ШКАФЫ</v>
          </cell>
          <cell r="E925" t="str">
            <v>FBO</v>
          </cell>
          <cell r="F925" t="str">
            <v>Шкаф стеллаж детский</v>
          </cell>
          <cell r="G925" t="str">
            <v>Дуб Крафт Белый</v>
          </cell>
          <cell r="H925" t="str">
            <v>2521897953346</v>
          </cell>
          <cell r="I925" t="str">
            <v>Основной ассортимент</v>
          </cell>
        </row>
        <row r="926">
          <cell r="A926" t="str">
            <v>3925.17/01</v>
          </cell>
          <cell r="B926" t="str">
            <v>Шкаф пенал Компакт 2х дверный с полками Белая гладкая 278*1835*260</v>
          </cell>
          <cell r="C926" t="str">
            <v>Перепечаева</v>
          </cell>
          <cell r="D926" t="str">
            <v>ШКАФЫ</v>
          </cell>
          <cell r="E926" t="str">
            <v>FBO</v>
          </cell>
          <cell r="F926" t="str">
            <v>Шкаф пенал Компакт 2х дверный с полками</v>
          </cell>
          <cell r="G926" t="str">
            <v>Белая гладкая</v>
          </cell>
          <cell r="H926" t="str">
            <v>2521897953356</v>
          </cell>
          <cell r="I926" t="str">
            <v>Основной ассортимент</v>
          </cell>
        </row>
        <row r="927">
          <cell r="A927" t="str">
            <v>3769.17/01</v>
          </cell>
          <cell r="B927" t="str">
            <v>Шкаф комод для обуви Мальта 2х дверный Белая гладкая 500*780*304</v>
          </cell>
          <cell r="C927" t="str">
            <v xml:space="preserve">Петрова </v>
          </cell>
          <cell r="D927" t="str">
            <v>ОБУВНИЦЫ</v>
          </cell>
          <cell r="E927" t="str">
            <v>FBO</v>
          </cell>
          <cell r="F927" t="str">
            <v>Шкаф комод для обуви Мальта 2х дверный</v>
          </cell>
          <cell r="G927" t="str">
            <v>Белая гладкая</v>
          </cell>
          <cell r="H927" t="str">
            <v>2521897953350</v>
          </cell>
          <cell r="I927" t="str">
            <v>Основной ассортимент</v>
          </cell>
        </row>
        <row r="928">
          <cell r="A928" t="str">
            <v>3867.25/01</v>
          </cell>
          <cell r="B928" t="str">
            <v>Шкаф 2х дверный, комбинированный City Цемент темный молет 802*1800*454</v>
          </cell>
          <cell r="C928">
            <v>0</v>
          </cell>
          <cell r="D928" t="str">
            <v>ШКАФЫ</v>
          </cell>
          <cell r="E928" t="str">
            <v>СКГТ (ОЗОН)</v>
          </cell>
          <cell r="F928" t="str">
            <v>Шкаф 2х дверный, комбинированный City</v>
          </cell>
          <cell r="G928" t="str">
            <v>Цемент темный молет</v>
          </cell>
          <cell r="H928" t="str">
            <v>2521897953385</v>
          </cell>
          <cell r="I928" t="str">
            <v>Основной ассортимент</v>
          </cell>
        </row>
        <row r="929">
          <cell r="A929">
            <v>3737</v>
          </cell>
          <cell r="B929" t="str">
            <v>Шкаф 2х дверный, комбинированный City Дуб Вотан (кромка Антрацит) 802*1800*454</v>
          </cell>
          <cell r="C929">
            <v>0</v>
          </cell>
          <cell r="D929" t="str">
            <v>ШКАФЫ</v>
          </cell>
          <cell r="E929" t="str">
            <v xml:space="preserve">СКГТ </v>
          </cell>
          <cell r="F929" t="str">
            <v>Шкаф 2х дверный, комбинированный City</v>
          </cell>
          <cell r="G929" t="str">
            <v>Дуб Вотан + кромка антрацит</v>
          </cell>
          <cell r="H929">
            <v>0</v>
          </cell>
          <cell r="I929" t="str">
            <v>Основной ассортимент</v>
          </cell>
        </row>
        <row r="930">
          <cell r="A930">
            <v>3867</v>
          </cell>
          <cell r="B930" t="str">
            <v>Шкаф 2х дверный, комбинированный City Белое гладкое 802*1800*454</v>
          </cell>
          <cell r="C930">
            <v>0</v>
          </cell>
          <cell r="D930" t="str">
            <v>ШКАФЫ</v>
          </cell>
          <cell r="E930" t="str">
            <v>СКГТ (ОЗОН)</v>
          </cell>
          <cell r="F930" t="str">
            <v>Шкаф 2х дверный, комбинированный City</v>
          </cell>
          <cell r="G930" t="str">
            <v>Белая гладкая</v>
          </cell>
          <cell r="H930">
            <v>0</v>
          </cell>
          <cell r="I930" t="str">
            <v>Основной ассортимент</v>
          </cell>
        </row>
        <row r="931">
          <cell r="A931" t="str">
            <v>14115.01.09</v>
          </cell>
          <cell r="B931" t="str">
            <v>Шкаф 2в1 Пакс Дуб Вотан/ Серый графит 902*1800*450</v>
          </cell>
          <cell r="C931">
            <v>0</v>
          </cell>
          <cell r="D931" t="str">
            <v>ШКАФЫ</v>
          </cell>
          <cell r="E931" t="str">
            <v>СКГТ (ОЗОН)</v>
          </cell>
          <cell r="F931" t="str">
            <v xml:space="preserve">Шкаф 2в1 Пакс </v>
          </cell>
          <cell r="G931" t="str">
            <v>Дуб Вотан/графит</v>
          </cell>
          <cell r="H931" t="str">
            <v>2521897953447</v>
          </cell>
          <cell r="I931" t="str">
            <v>Основной ассортимент</v>
          </cell>
        </row>
        <row r="932">
          <cell r="A932" t="str">
            <v>3749.03/01</v>
          </cell>
          <cell r="B932" t="str">
            <v>Фасад шкафа стеллажа детского 2шт. (1 комп) Дуб сонома 386*788*16</v>
          </cell>
          <cell r="C932" t="str">
            <v>Перепечаева</v>
          </cell>
          <cell r="D932" t="str">
            <v>ШКАФЫ</v>
          </cell>
          <cell r="E932" t="str">
            <v>FBO</v>
          </cell>
          <cell r="F932" t="str">
            <v>Фасад шкафа стеллажа детского 2шт. (1 комп)</v>
          </cell>
          <cell r="G932" t="str">
            <v>Дуб сонома</v>
          </cell>
          <cell r="H932" t="str">
            <v>2521897953347</v>
          </cell>
          <cell r="I932" t="str">
            <v>Основной ассортимент</v>
          </cell>
        </row>
        <row r="933">
          <cell r="A933" t="str">
            <v>3749.06/01</v>
          </cell>
          <cell r="B933" t="str">
            <v>Фасад шкафа стеллажа детского 2шт. (1 комп) Дуб Крафт Белый 386*788*16</v>
          </cell>
          <cell r="C933" t="str">
            <v>Перепечаева</v>
          </cell>
          <cell r="D933" t="str">
            <v>ШКАФЫ</v>
          </cell>
          <cell r="E933" t="str">
            <v>FBO</v>
          </cell>
          <cell r="F933" t="str">
            <v>Фасад шкафа стеллажа детского 2шт. (1 комп)</v>
          </cell>
          <cell r="G933" t="str">
            <v>Дуб Крафт Белый</v>
          </cell>
          <cell r="H933" t="str">
            <v>2521897953348</v>
          </cell>
          <cell r="I933" t="str">
            <v>Основной ассортимент</v>
          </cell>
        </row>
        <row r="934">
          <cell r="A934">
            <v>3749</v>
          </cell>
          <cell r="B934" t="str">
            <v>Фасад шкафа стеллажа детского 2шт. (1 комп) Белое тиснение 386*788*16</v>
          </cell>
          <cell r="C934" t="str">
            <v>Перепечаева</v>
          </cell>
          <cell r="D934" t="str">
            <v>ШКАФЫ</v>
          </cell>
          <cell r="E934" t="str">
            <v>FBO</v>
          </cell>
          <cell r="F934" t="str">
            <v>Фасад шкафа стеллажа детского</v>
          </cell>
          <cell r="G934" t="str">
            <v>Белое тиснение</v>
          </cell>
          <cell r="H934" t="str">
            <v>2521897953299</v>
          </cell>
          <cell r="I934" t="str">
            <v>Основной ассортимент</v>
          </cell>
        </row>
        <row r="935">
          <cell r="A935">
            <v>40100</v>
          </cell>
          <cell r="B935" t="str">
            <v>Тумба прикроватная Индиго Дуб Крафт белый 410х530х380</v>
          </cell>
          <cell r="C935">
            <v>0</v>
          </cell>
          <cell r="D935" t="str">
            <v>ТУМБЫ ПРИКРОВАТНЫЕ</v>
          </cell>
          <cell r="E935" t="str">
            <v>FBO</v>
          </cell>
          <cell r="F935" t="str">
            <v>Тумба прикроватная Индиго</v>
          </cell>
          <cell r="G935" t="str">
            <v>Дуб Крафт Белый</v>
          </cell>
          <cell r="H935" t="str">
            <v>2521897953467</v>
          </cell>
          <cell r="I935" t="str">
            <v>Основной ассортимент</v>
          </cell>
        </row>
        <row r="936">
          <cell r="A936" t="str">
            <v>3357.20/01</v>
          </cell>
          <cell r="B936" t="str">
            <v>Тумба для обуви Цемент Светлый вельвет/Кожзам Серый1042х500х295</v>
          </cell>
          <cell r="C936" t="str">
            <v xml:space="preserve">Петрова </v>
          </cell>
          <cell r="D936" t="str">
            <v>ОБУВНИЦЫ</v>
          </cell>
          <cell r="E936" t="str">
            <v>FBS</v>
          </cell>
          <cell r="F936" t="str">
            <v>Тумба для обуви 1042х500х295</v>
          </cell>
          <cell r="G936" t="str">
            <v>цемент светлый вельвет/кожзам</v>
          </cell>
          <cell r="H936" t="str">
            <v>2521897953222</v>
          </cell>
          <cell r="I936" t="str">
            <v>Основной ассортимент</v>
          </cell>
        </row>
        <row r="937">
          <cell r="A937" t="str">
            <v>2953.20/01</v>
          </cell>
          <cell r="B937" t="str">
            <v>Тумба для обуви Мальта Лайт Цемент светлый вельвет 380х425х300</v>
          </cell>
          <cell r="C937" t="str">
            <v xml:space="preserve">Петрова </v>
          </cell>
          <cell r="D937" t="str">
            <v>ОБУВНИЦЫ</v>
          </cell>
          <cell r="E937" t="str">
            <v>FBO</v>
          </cell>
          <cell r="F937" t="str">
            <v>Тумба для обуви Мальта Лайт 380х425х300</v>
          </cell>
          <cell r="G937" t="str">
            <v>Цемент светлый вельвет</v>
          </cell>
          <cell r="H937" t="str">
            <v>2521897953220</v>
          </cell>
          <cell r="I937" t="str">
            <v>Основной ассортимент</v>
          </cell>
        </row>
        <row r="938">
          <cell r="A938" t="str">
            <v>MK2650101</v>
          </cell>
          <cell r="B938" t="str">
            <v>Столик придиванный Fiji ЛДСП Дуб Вотан, Черн. металл.</v>
          </cell>
          <cell r="C938">
            <v>0</v>
          </cell>
          <cell r="D938" t="str">
            <v>СТОЛИКИ ЖУРНАЛЬНЫЕ</v>
          </cell>
          <cell r="E938" t="str">
            <v>FBO</v>
          </cell>
          <cell r="F938" t="str">
            <v>Столик придиванный Fiji</v>
          </cell>
          <cell r="G938" t="str">
            <v>ЛДСП Дуб Вотан, Черн. металл.</v>
          </cell>
          <cell r="H938" t="str">
            <v>2521897953420</v>
          </cell>
          <cell r="I938" t="str">
            <v>Основной ассортимент</v>
          </cell>
        </row>
        <row r="939">
          <cell r="A939" t="str">
            <v>3770.12/01</v>
          </cell>
          <cell r="B939" t="str">
            <v>Стол стеллаж Ultra Lite Черный 1088*1382*400</v>
          </cell>
          <cell r="C939" t="str">
            <v>Кошкарева</v>
          </cell>
          <cell r="D939" t="str">
            <v>СТОЛЫ</v>
          </cell>
          <cell r="E939" t="str">
            <v>FBO</v>
          </cell>
          <cell r="F939" t="str">
            <v>Стол стеллаж Ultra Lite</v>
          </cell>
          <cell r="G939" t="str">
            <v>Черный</v>
          </cell>
          <cell r="H939" t="str">
            <v>2521897953307</v>
          </cell>
          <cell r="I939" t="str">
            <v>Основной ассортимент</v>
          </cell>
        </row>
        <row r="940">
          <cell r="A940">
            <v>135533</v>
          </cell>
          <cell r="B940" t="str">
            <v>Комод Ультра (0,750х0,729х0,330) ВЕНГЕ</v>
          </cell>
          <cell r="C940" t="str">
            <v>Платонова</v>
          </cell>
          <cell r="D940" t="str">
            <v>КОМОДЫ</v>
          </cell>
          <cell r="E940" t="str">
            <v>FBO</v>
          </cell>
          <cell r="F940" t="str">
            <v>Комод Ультра (0,750х0,729х0,330)</v>
          </cell>
          <cell r="G940" t="str">
            <v>Венге</v>
          </cell>
          <cell r="H940" t="str">
            <v>2520897927301</v>
          </cell>
          <cell r="I940" t="str">
            <v>Основной ассортимент</v>
          </cell>
        </row>
        <row r="941">
          <cell r="A941" t="str">
            <v>3770.03/01</v>
          </cell>
          <cell r="B941" t="str">
            <v>Стол стеллаж Ultra Lite Дуб сонома 1088*1382*400</v>
          </cell>
          <cell r="C941" t="str">
            <v>Кошкарева</v>
          </cell>
          <cell r="D941" t="str">
            <v>СТОЛЫ</v>
          </cell>
          <cell r="E941" t="str">
            <v>FBO</v>
          </cell>
          <cell r="F941" t="str">
            <v>Стол стеллаж Ultra Lite</v>
          </cell>
          <cell r="G941" t="str">
            <v>Дуб сонома</v>
          </cell>
          <cell r="H941" t="str">
            <v>2521897953306</v>
          </cell>
          <cell r="I941" t="str">
            <v>Основной ассортимент</v>
          </cell>
        </row>
        <row r="942">
          <cell r="A942">
            <v>135535</v>
          </cell>
          <cell r="B942" t="str">
            <v>Комод Ультра (0,750х0,729х0,330)  БЕЛОЕ ТИСНЕНИЕ/ДУБ СОНОМА</v>
          </cell>
          <cell r="C942" t="str">
            <v>Платонова</v>
          </cell>
          <cell r="D942" t="str">
            <v>КОМОДЫ</v>
          </cell>
          <cell r="E942" t="str">
            <v>FBO</v>
          </cell>
          <cell r="F942" t="str">
            <v>Комод Ультра (0,750х0,729х0,330)</v>
          </cell>
          <cell r="G942" t="str">
            <v>дуб сонома/белое тиснение</v>
          </cell>
          <cell r="H942" t="str">
            <v>2521897952412</v>
          </cell>
          <cell r="I942" t="str">
            <v>Основной ассортимент</v>
          </cell>
        </row>
        <row r="943">
          <cell r="A943">
            <v>5477</v>
          </cell>
          <cell r="B943" t="str">
            <v>Стол рабочий Jazz Белое тиснение NEW 1046*1075*490</v>
          </cell>
          <cell r="C943">
            <v>0</v>
          </cell>
          <cell r="D943" t="str">
            <v>СТОЛЫ</v>
          </cell>
          <cell r="E943" t="str">
            <v>FBO</v>
          </cell>
          <cell r="F943" t="str">
            <v>Стол рабочий Jazz</v>
          </cell>
          <cell r="G943" t="str">
            <v>Белое тиснение</v>
          </cell>
          <cell r="H943" t="str">
            <v>2521897953300</v>
          </cell>
          <cell r="I943" t="str">
            <v>Основной ассортимент</v>
          </cell>
        </row>
        <row r="944">
          <cell r="A944">
            <v>4053</v>
          </cell>
          <cell r="B944" t="str">
            <v>Стол рабочий Breeze с ящиком Дуб Крафт золотой/Белая гладкая 900*764*450</v>
          </cell>
          <cell r="C944">
            <v>0</v>
          </cell>
          <cell r="D944" t="str">
            <v>СТОЛЫ</v>
          </cell>
          <cell r="E944" t="str">
            <v>FBO</v>
          </cell>
          <cell r="F944" t="str">
            <v>Стол рабочий Breeze с ящиком</v>
          </cell>
          <cell r="G944" t="str">
            <v>Дуб Крафт золотой/Белая гладкая</v>
          </cell>
          <cell r="H944" t="str">
            <v>2521897953411</v>
          </cell>
          <cell r="I944" t="str">
            <v>Основной ассортимент</v>
          </cell>
        </row>
        <row r="945">
          <cell r="A945">
            <v>13552110</v>
          </cell>
          <cell r="B945" t="str">
            <v>Стол письменный Ультра 4 ящика Белое тиснение 1056*750*450</v>
          </cell>
          <cell r="C945" t="str">
            <v>Перепечаева</v>
          </cell>
          <cell r="D945" t="str">
            <v>СТОЛЫ</v>
          </cell>
          <cell r="E945" t="str">
            <v>FBO</v>
          </cell>
          <cell r="F945" t="str">
            <v>Стол письменный Ультра 4 ящика 1056*750*450</v>
          </cell>
          <cell r="G945" t="str">
            <v>Белое тиснение</v>
          </cell>
          <cell r="H945" t="str">
            <v>2521897953341</v>
          </cell>
          <cell r="I945" t="str">
            <v>Основной ассортимент</v>
          </cell>
        </row>
        <row r="946">
          <cell r="A946">
            <v>30351</v>
          </cell>
          <cell r="B946" t="str">
            <v>Стол письменный Рейн Дуб сонома/Белое тиснение 750x766x518 (серия 2)</v>
          </cell>
          <cell r="C946" t="str">
            <v>Перепечаева</v>
          </cell>
          <cell r="D946" t="str">
            <v>СТОЛЫ</v>
          </cell>
          <cell r="E946" t="str">
            <v>FBO</v>
          </cell>
          <cell r="F946" t="str">
            <v>Стол письменный Рейн  800х750х550</v>
          </cell>
          <cell r="G946" t="str">
            <v>дуб сонома/белое тиснение</v>
          </cell>
          <cell r="H946" t="str">
            <v>2521897953267</v>
          </cell>
          <cell r="I946" t="str">
            <v>Основной ассортимент</v>
          </cell>
        </row>
        <row r="947">
          <cell r="A947">
            <v>26204</v>
          </cell>
          <cell r="B947" t="str">
            <v>Стол письменный компьютерный с полками Гамма Дуб Вотан 179*53*75,5</v>
          </cell>
          <cell r="C947" t="str">
            <v>Ратникова</v>
          </cell>
          <cell r="D947" t="str">
            <v>СТОЛЫ</v>
          </cell>
          <cell r="E947" t="str">
            <v>FBO</v>
          </cell>
          <cell r="F947" t="str">
            <v>Стол письменный компьютерный с полками Гамма</v>
          </cell>
          <cell r="G947" t="str">
            <v>Дуб Вотан, Черн. металл.</v>
          </cell>
          <cell r="H947" t="str">
            <v>2521897953269</v>
          </cell>
          <cell r="I947" t="str">
            <v>Основной ассортимент</v>
          </cell>
        </row>
        <row r="948">
          <cell r="A948">
            <v>26203</v>
          </cell>
          <cell r="B948" t="str">
            <v>Стол письменный компьютерный с полками Гамма Белая шагрень 179*53*75,5</v>
          </cell>
          <cell r="C948" t="str">
            <v>Ратникова</v>
          </cell>
          <cell r="D948" t="str">
            <v>СТОЛЫ</v>
          </cell>
          <cell r="E948" t="str">
            <v>FBO</v>
          </cell>
          <cell r="F948" t="str">
            <v>Стол письменный компьютерный с полками Гамма</v>
          </cell>
          <cell r="G948" t="str">
            <v xml:space="preserve">ЛДСП Белое тиснение, Черн. металл. </v>
          </cell>
          <cell r="H948" t="str">
            <v>2521897953268</v>
          </cell>
          <cell r="I948" t="str">
            <v>Основной ассортимент</v>
          </cell>
        </row>
        <row r="949">
          <cell r="A949">
            <v>135402</v>
          </cell>
          <cell r="B949" t="str">
            <v>Стол письменный компьютерный Praga Крафт золотой/графит</v>
          </cell>
          <cell r="C949" t="str">
            <v>Ратникова</v>
          </cell>
          <cell r="D949" t="str">
            <v>СТОЛЫ</v>
          </cell>
          <cell r="E949" t="str">
            <v>FBS</v>
          </cell>
          <cell r="F949" t="str">
            <v>Стол письменный компьютерный Praga</v>
          </cell>
          <cell r="G949" t="str">
            <v>Дуб крафт золотой/графит</v>
          </cell>
          <cell r="H949" t="str">
            <v>2521897953273</v>
          </cell>
          <cell r="I949" t="str">
            <v>Основной ассортимент</v>
          </cell>
        </row>
        <row r="950">
          <cell r="A950">
            <v>3804</v>
          </cell>
          <cell r="B950" t="str">
            <v>Стол письменный Estet Plus дуб сонома/белое тиснение 1100*754*670</v>
          </cell>
          <cell r="C950" t="str">
            <v>Ратникова</v>
          </cell>
          <cell r="D950" t="str">
            <v>СТОЛЫ</v>
          </cell>
          <cell r="E950" t="str">
            <v>СКГТ</v>
          </cell>
          <cell r="F950" t="str">
            <v>Стол письменный Estet Plus</v>
          </cell>
          <cell r="G950" t="str">
            <v>дуб сонома/белое тиснение</v>
          </cell>
          <cell r="H950" t="str">
            <v>2521897953317</v>
          </cell>
          <cell r="I950" t="str">
            <v>Основной ассортимент</v>
          </cell>
        </row>
        <row r="951">
          <cell r="A951">
            <v>3728</v>
          </cell>
          <cell r="B951" t="str">
            <v>Стеллаж горка Quattro New универсальный Белое тиснение 954х956(h)х288</v>
          </cell>
          <cell r="C951" t="str">
            <v>Зимакова</v>
          </cell>
          <cell r="D951" t="str">
            <v>СТЕЛЛАЖИ</v>
          </cell>
          <cell r="E951" t="str">
            <v>FBO</v>
          </cell>
          <cell r="F951" t="str">
            <v>Стеллаж горка Quattro New универсальный</v>
          </cell>
          <cell r="G951" t="str">
            <v>Белое тиснение</v>
          </cell>
          <cell r="H951" t="str">
            <v>2521897953295</v>
          </cell>
          <cell r="I951" t="str">
            <v>Основной ассортимент</v>
          </cell>
        </row>
        <row r="952">
          <cell r="A952">
            <v>30367</v>
          </cell>
          <cell r="B952" t="str">
            <v>Вешалка Милан настенная Бетон/Белое тиснение</v>
          </cell>
          <cell r="C952" t="str">
            <v>Леонтьева</v>
          </cell>
          <cell r="D952" t="str">
            <v>ВЕШАЛКИ</v>
          </cell>
          <cell r="E952" t="str">
            <v>FBO</v>
          </cell>
          <cell r="F952" t="str">
            <v>Вешалка Милан настенная</v>
          </cell>
          <cell r="G952" t="str">
            <v>Бетон/Белое тиснение</v>
          </cell>
          <cell r="H952" t="str">
            <v>2521897953031</v>
          </cell>
          <cell r="I952" t="str">
            <v>Основной ассортимент</v>
          </cell>
        </row>
        <row r="953">
          <cell r="A953">
            <v>30363</v>
          </cell>
          <cell r="B953" t="str">
            <v>Вешалка настенная Ультра Венге 0,600 х1,050х0,282</v>
          </cell>
          <cell r="C953" t="str">
            <v>Леонтьева</v>
          </cell>
          <cell r="D953" t="str">
            <v>ВЕШАЛКИ</v>
          </cell>
          <cell r="E953" t="str">
            <v>FBS</v>
          </cell>
          <cell r="F953" t="str">
            <v>Вешалка настенная Ультра 0,600 х1,050х0,282</v>
          </cell>
          <cell r="G953" t="str">
            <v>Венге</v>
          </cell>
          <cell r="H953" t="str">
            <v>2521897952569</v>
          </cell>
          <cell r="I953" t="str">
            <v>Основной ассортимент</v>
          </cell>
        </row>
        <row r="954">
          <cell r="A954">
            <v>30364</v>
          </cell>
          <cell r="B954" t="str">
            <v>Вешалка Милан настенная Белое тиснение</v>
          </cell>
          <cell r="C954" t="str">
            <v>Леонтьева</v>
          </cell>
          <cell r="D954" t="str">
            <v>ВЕШАЛКИ</v>
          </cell>
          <cell r="E954" t="str">
            <v>FBO</v>
          </cell>
          <cell r="F954" t="str">
            <v>Вешалка Милан настенная</v>
          </cell>
          <cell r="G954" t="str">
            <v>Белое тиснение</v>
          </cell>
          <cell r="H954" t="str">
            <v>2521897953028</v>
          </cell>
          <cell r="I954" t="str">
            <v>Основной ассортимент</v>
          </cell>
        </row>
        <row r="955">
          <cell r="A955">
            <v>30365</v>
          </cell>
          <cell r="B955" t="str">
            <v>Вешалка Милан настенная Крафт золотой/графит</v>
          </cell>
          <cell r="C955" t="str">
            <v>Леонтьева</v>
          </cell>
          <cell r="D955" t="str">
            <v>ВЕШАЛКИ</v>
          </cell>
          <cell r="E955" t="str">
            <v>FBO</v>
          </cell>
          <cell r="F955" t="str">
            <v>Вешалка Милан настенная</v>
          </cell>
          <cell r="G955" t="str">
            <v>Дуб крафт золотой/графит</v>
          </cell>
          <cell r="H955" t="str">
            <v>2521897953029</v>
          </cell>
          <cell r="I955" t="str">
            <v>Основной ассортимент</v>
          </cell>
        </row>
        <row r="956">
          <cell r="A956">
            <v>30366</v>
          </cell>
          <cell r="B956" t="str">
            <v>Вешалка Милан настенная Крафт золотой/Белое тиснение</v>
          </cell>
          <cell r="C956" t="str">
            <v>Леонтьева</v>
          </cell>
          <cell r="D956" t="str">
            <v>ВЕШАЛКИ</v>
          </cell>
          <cell r="E956" t="str">
            <v>FBO</v>
          </cell>
          <cell r="F956" t="str">
            <v>Вешалка Милан настенная</v>
          </cell>
          <cell r="G956" t="str">
            <v>Дуб Крафт золотой/Белое тиснение</v>
          </cell>
          <cell r="H956" t="str">
            <v>2521897953030</v>
          </cell>
          <cell r="I956" t="str">
            <v>Основной ассортимент</v>
          </cell>
        </row>
        <row r="957">
          <cell r="A957">
            <v>30368</v>
          </cell>
          <cell r="B957" t="str">
            <v>Вешалка Милан настенная Крафт табачный</v>
          </cell>
          <cell r="C957" t="str">
            <v>Леонтьева</v>
          </cell>
          <cell r="D957" t="str">
            <v>ВЕШАЛКИ</v>
          </cell>
          <cell r="E957" t="str">
            <v>FBO</v>
          </cell>
          <cell r="F957" t="str">
            <v>Вешалка Милан настенная</v>
          </cell>
          <cell r="G957" t="str">
            <v>дуб крафт табачный</v>
          </cell>
          <cell r="H957" t="str">
            <v>2521897953057</v>
          </cell>
          <cell r="I957" t="str">
            <v>Основной ассортимент</v>
          </cell>
        </row>
        <row r="958">
          <cell r="A958" t="str">
            <v>3890.09/01</v>
          </cell>
          <cell r="B958" t="str">
            <v>Шкаф комод Ультра Push 2х дверный Серый Графит 602*701*290</v>
          </cell>
          <cell r="C958" t="str">
            <v>Ратникова</v>
          </cell>
          <cell r="D958" t="str">
            <v>КОМОДЫ</v>
          </cell>
          <cell r="E958" t="str">
            <v>FBO</v>
          </cell>
          <cell r="F958" t="str">
            <v>Шкаф комод Ультра Push 2х дверный</v>
          </cell>
          <cell r="G958" t="str">
            <v>Графит</v>
          </cell>
          <cell r="H958" t="str">
            <v>2521897953330</v>
          </cell>
          <cell r="I958" t="str">
            <v>Основной ассортимент</v>
          </cell>
        </row>
        <row r="959">
          <cell r="A959">
            <v>1355380</v>
          </cell>
          <cell r="B959" t="str">
            <v>Комод Malta Plus Венге 750х719х392</v>
          </cell>
          <cell r="C959" t="str">
            <v>Платонова</v>
          </cell>
          <cell r="D959" t="str">
            <v>КОМОДЫ</v>
          </cell>
          <cell r="E959" t="str">
            <v>FBO</v>
          </cell>
          <cell r="F959" t="str">
            <v>Комод Malta Plus 750х719х392</v>
          </cell>
          <cell r="G959" t="str">
            <v>Венге</v>
          </cell>
          <cell r="H959" t="str">
            <v>2521897952764</v>
          </cell>
          <cell r="I959" t="str">
            <v>Основной ассортимент</v>
          </cell>
        </row>
        <row r="960">
          <cell r="A960">
            <v>2121</v>
          </cell>
          <cell r="B960" t="str">
            <v>Комод City Plus Дуб сонома</v>
          </cell>
          <cell r="C960" t="str">
            <v>Платонова</v>
          </cell>
          <cell r="D960" t="str">
            <v>КОМОДЫ</v>
          </cell>
          <cell r="E960" t="str">
            <v>СКГТ (ОЗОН)</v>
          </cell>
          <cell r="F960" t="str">
            <v>Комод City Plus</v>
          </cell>
          <cell r="G960" t="str">
            <v>Дуб сонома</v>
          </cell>
          <cell r="H960" t="str">
            <v>2521897952707</v>
          </cell>
          <cell r="I960" t="str">
            <v>Основной ассортимент</v>
          </cell>
        </row>
        <row r="961">
          <cell r="A961">
            <v>2123</v>
          </cell>
          <cell r="B961" t="str">
            <v>Комод City Plus Дуб крафт белый</v>
          </cell>
          <cell r="C961" t="str">
            <v>Платонова</v>
          </cell>
          <cell r="D961" t="str">
            <v>КОМОДЫ</v>
          </cell>
          <cell r="E961" t="str">
            <v>СКГТ (ОЗОН)</v>
          </cell>
          <cell r="F961" t="str">
            <v>Комод City Plus</v>
          </cell>
          <cell r="G961" t="str">
            <v>Дуб Крафт Белый</v>
          </cell>
          <cell r="H961" t="str">
            <v>2521897952715</v>
          </cell>
          <cell r="I961" t="str">
            <v>Основной ассортимент</v>
          </cell>
        </row>
        <row r="962">
          <cell r="A962">
            <v>130130</v>
          </cell>
          <cell r="B962" t="str">
            <v>Комод Estet Белое теснение</v>
          </cell>
          <cell r="C962" t="str">
            <v>Ратникова</v>
          </cell>
          <cell r="D962" t="str">
            <v>КОМОДЫ</v>
          </cell>
          <cell r="E962" t="str">
            <v>FBO</v>
          </cell>
          <cell r="F962" t="str">
            <v>Комод Estet</v>
          </cell>
          <cell r="G962" t="str">
            <v>Белое тиснение</v>
          </cell>
          <cell r="H962" t="str">
            <v>2521897952943</v>
          </cell>
          <cell r="I962" t="str">
            <v>Основной ассортимент</v>
          </cell>
        </row>
        <row r="963">
          <cell r="A963">
            <v>4040</v>
          </cell>
          <cell r="B963" t="str">
            <v>Комод Индиго (620х790х330) Белое тиснение</v>
          </cell>
          <cell r="C963" t="str">
            <v>Ратникова</v>
          </cell>
          <cell r="D963" t="str">
            <v>КОМОДЫ</v>
          </cell>
          <cell r="E963" t="str">
            <v>FBO</v>
          </cell>
          <cell r="F963" t="str">
            <v xml:space="preserve">Комод Индиго </v>
          </cell>
          <cell r="G963" t="str">
            <v>Белое тиснение</v>
          </cell>
          <cell r="H963" t="str">
            <v>2521897953003</v>
          </cell>
          <cell r="I963" t="str">
            <v>Основной ассортимент</v>
          </cell>
        </row>
        <row r="964">
          <cell r="A964">
            <v>4042</v>
          </cell>
          <cell r="B964" t="str">
            <v>Комод Индиго Дуб Крафт Золотой</v>
          </cell>
          <cell r="C964" t="str">
            <v>Ратникова</v>
          </cell>
          <cell r="D964" t="str">
            <v>КОМОДЫ</v>
          </cell>
          <cell r="E964" t="str">
            <v>FBO</v>
          </cell>
          <cell r="F964" t="str">
            <v xml:space="preserve">Комод Индиго </v>
          </cell>
          <cell r="G964" t="str">
            <v>Дуб Крафт золотой</v>
          </cell>
          <cell r="H964" t="str">
            <v>2521897953005</v>
          </cell>
          <cell r="I964" t="str">
            <v>Основной ассортимент</v>
          </cell>
        </row>
        <row r="965">
          <cell r="A965">
            <v>135531</v>
          </cell>
          <cell r="B965" t="str">
            <v>Комод Ультра (0,750х0,729х0,330) БЕЛЫЙ ТЕКСТУРА</v>
          </cell>
          <cell r="C965" t="str">
            <v>Платонова</v>
          </cell>
          <cell r="D965" t="str">
            <v>КОМОДЫ</v>
          </cell>
          <cell r="E965" t="str">
            <v>FBO</v>
          </cell>
          <cell r="F965" t="str">
            <v>Комод Ультра (0,750х0,729х0,330)</v>
          </cell>
          <cell r="G965" t="str">
            <v>Белое тиснение</v>
          </cell>
          <cell r="H965" t="str">
            <v>2520897927299</v>
          </cell>
          <cell r="I965" t="str">
            <v>Основной ассортимент</v>
          </cell>
        </row>
        <row r="966">
          <cell r="A966">
            <v>135532</v>
          </cell>
          <cell r="B966" t="str">
            <v>Комод Ультра (0,750х0,729х0,330) ДУБ СОНОМА</v>
          </cell>
          <cell r="C966" t="str">
            <v>Платонова</v>
          </cell>
          <cell r="D966" t="str">
            <v>КОМОДЫ</v>
          </cell>
          <cell r="E966" t="str">
            <v>FBO</v>
          </cell>
          <cell r="F966" t="str">
            <v>Комод Ультра (0,750х0,729х0,330)</v>
          </cell>
          <cell r="G966" t="str">
            <v>Дуб сонома</v>
          </cell>
          <cell r="H966" t="str">
            <v>2520897927300</v>
          </cell>
          <cell r="I966" t="str">
            <v>Основной ассортимент</v>
          </cell>
        </row>
        <row r="967">
          <cell r="A967">
            <v>135534</v>
          </cell>
          <cell r="B967" t="str">
            <v>Комод Ультра (0,750х0,729х0,330) ВЕНГЕ/ДУБ БЕЛФОРД</v>
          </cell>
          <cell r="C967" t="str">
            <v>Платонова</v>
          </cell>
          <cell r="D967" t="str">
            <v>КОМОДЫ</v>
          </cell>
          <cell r="E967" t="str">
            <v>FBO</v>
          </cell>
          <cell r="F967" t="str">
            <v>Комод Ультра (0,750х0,729х0,330)</v>
          </cell>
          <cell r="G967" t="str">
            <v>ВЕНГЕ/ДУБ БЕЛФОРД</v>
          </cell>
          <cell r="H967" t="str">
            <v>2521897952411</v>
          </cell>
          <cell r="I967" t="str">
            <v>Основной ассортимент</v>
          </cell>
        </row>
        <row r="968">
          <cell r="A968">
            <v>1355345</v>
          </cell>
          <cell r="B968" t="str">
            <v>Комод Ультра Серия 2  Графит</v>
          </cell>
          <cell r="C968" t="str">
            <v>Платонова</v>
          </cell>
          <cell r="D968" t="str">
            <v>КОМОДЫ</v>
          </cell>
          <cell r="E968" t="str">
            <v>FBO</v>
          </cell>
          <cell r="F968" t="str">
            <v>Комод Ультра (0,750х0,729х0,330)</v>
          </cell>
          <cell r="G968" t="str">
            <v>Графит</v>
          </cell>
          <cell r="H968" t="str">
            <v>2521897953104</v>
          </cell>
          <cell r="I968" t="str">
            <v>Основной ассортимент</v>
          </cell>
        </row>
        <row r="969">
          <cell r="A969">
            <v>1355343</v>
          </cell>
          <cell r="B969" t="str">
            <v>Комод Ультра Серия 2  Крафт серый/Графит</v>
          </cell>
          <cell r="C969" t="str">
            <v>Платонова</v>
          </cell>
          <cell r="D969" t="str">
            <v>КОМОДЫ</v>
          </cell>
          <cell r="E969" t="str">
            <v>FBO</v>
          </cell>
          <cell r="F969" t="str">
            <v>Комод Ультра (0,750х0,729х0,330)</v>
          </cell>
          <cell r="G969" t="str">
            <v>графит/дуб крафт серый</v>
          </cell>
          <cell r="H969" t="str">
            <v>2521897953102</v>
          </cell>
          <cell r="I969" t="str">
            <v>Основной ассортимент</v>
          </cell>
        </row>
        <row r="970">
          <cell r="A970">
            <v>3201</v>
          </cell>
          <cell r="B970" t="str">
            <v>Комод тумба офисная Praga 6 ящиков выкатной Белое тиснение 350х650х400</v>
          </cell>
          <cell r="C970" t="str">
            <v>Ратникова</v>
          </cell>
          <cell r="D970" t="str">
            <v>КОМОДЫ</v>
          </cell>
          <cell r="E970" t="str">
            <v>FBS</v>
          </cell>
          <cell r="F970" t="str">
            <v xml:space="preserve">Комод тумба офисная Praga 6 </v>
          </cell>
          <cell r="G970" t="str">
            <v>Белое тиснение</v>
          </cell>
          <cell r="H970" t="str">
            <v>2521897952487</v>
          </cell>
          <cell r="I970" t="str">
            <v>Основной ассортимент</v>
          </cell>
        </row>
        <row r="971">
          <cell r="A971" t="str">
            <v>MK02221</v>
          </cell>
          <cell r="B971" t="str">
            <v>Шкаф комод Frame Дуб Вотан, Черный металл 700х910х300</v>
          </cell>
          <cell r="C971" t="str">
            <v>Ратникова</v>
          </cell>
          <cell r="D971" t="str">
            <v>КОМОДЫ</v>
          </cell>
          <cell r="E971" t="str">
            <v>FBS</v>
          </cell>
          <cell r="F971" t="str">
            <v>Шкаф комод Frame 700х910(h)х300</v>
          </cell>
          <cell r="G971" t="str">
            <v>Дуб Вотан, Черн. металл.</v>
          </cell>
          <cell r="H971" t="str">
            <v>2521897952565</v>
          </cell>
          <cell r="I971" t="str">
            <v>Основной ассортимент</v>
          </cell>
        </row>
        <row r="972">
          <cell r="A972">
            <v>1355360</v>
          </cell>
          <cell r="B972" t="str">
            <v>Комод Malta Plus Крафт белый 750х719х392</v>
          </cell>
          <cell r="C972" t="str">
            <v>Платонова</v>
          </cell>
          <cell r="D972" t="str">
            <v>КОМОДЫ</v>
          </cell>
          <cell r="E972" t="str">
            <v>FBO</v>
          </cell>
          <cell r="F972" t="str">
            <v>Комод Malta Plus 750х719х392</v>
          </cell>
          <cell r="G972" t="str">
            <v>дуб крафт белый</v>
          </cell>
          <cell r="H972" t="str">
            <v>2521897952762</v>
          </cell>
          <cell r="I972" t="str">
            <v>Основной ассортимент</v>
          </cell>
        </row>
        <row r="973">
          <cell r="A973">
            <v>1355370</v>
          </cell>
          <cell r="B973" t="str">
            <v>Комод Malta Plus Дуб сонома 750х719х392</v>
          </cell>
          <cell r="C973" t="str">
            <v>Платонова</v>
          </cell>
          <cell r="D973" t="str">
            <v>КОМОДЫ</v>
          </cell>
          <cell r="E973" t="str">
            <v>FBO</v>
          </cell>
          <cell r="F973" t="str">
            <v>Комод Malta Plus 750х719х392</v>
          </cell>
          <cell r="G973" t="str">
            <v>Дуб сонома</v>
          </cell>
          <cell r="H973" t="str">
            <v>2521897952763</v>
          </cell>
          <cell r="I973" t="str">
            <v>Основной ассортимент</v>
          </cell>
        </row>
        <row r="974">
          <cell r="A974">
            <v>1355390</v>
          </cell>
          <cell r="B974" t="str">
            <v>Комод Malta Plus  Белое тиснение 750х719х392</v>
          </cell>
          <cell r="C974" t="str">
            <v>Платонова</v>
          </cell>
          <cell r="D974" t="str">
            <v>КОМОДЫ</v>
          </cell>
          <cell r="E974" t="str">
            <v>FBO</v>
          </cell>
          <cell r="F974" t="str">
            <v>Комод Malta Plus 750х719х392</v>
          </cell>
          <cell r="G974" t="str">
            <v>Белое тиснение</v>
          </cell>
          <cell r="H974" t="str">
            <v>2521897952766</v>
          </cell>
          <cell r="I974" t="str">
            <v>Основной ассортимент</v>
          </cell>
        </row>
        <row r="975">
          <cell r="A975">
            <v>135539</v>
          </cell>
          <cell r="B975" t="str">
            <v>Комод Malta Plus Крафт Золотой 750х719х392</v>
          </cell>
          <cell r="C975" t="str">
            <v>Платонова</v>
          </cell>
          <cell r="D975" t="str">
            <v>КОМОДЫ</v>
          </cell>
          <cell r="E975" t="str">
            <v>FBO</v>
          </cell>
          <cell r="F975" t="str">
            <v>Комод Malta Plus 750х719х392</v>
          </cell>
          <cell r="G975" t="str">
            <v>Дуб Крафт золотой</v>
          </cell>
          <cell r="H975" t="str">
            <v>2521897952765</v>
          </cell>
          <cell r="I975" t="str">
            <v>Основной ассортимент</v>
          </cell>
        </row>
        <row r="976">
          <cell r="A976">
            <v>2120</v>
          </cell>
          <cell r="B976" t="str">
            <v>Комод City Plus Белое тиснение</v>
          </cell>
          <cell r="C976" t="str">
            <v>Платонова</v>
          </cell>
          <cell r="D976" t="str">
            <v>КОМОДЫ</v>
          </cell>
          <cell r="E976" t="str">
            <v>СКГТ (ОЗОН)</v>
          </cell>
          <cell r="F976" t="str">
            <v>Комод City Plus</v>
          </cell>
          <cell r="G976" t="str">
            <v>Белое тиснение</v>
          </cell>
          <cell r="H976" t="str">
            <v>2521897952706</v>
          </cell>
          <cell r="I976" t="str">
            <v>Основной ассортимент</v>
          </cell>
        </row>
        <row r="977">
          <cell r="A977">
            <v>2122</v>
          </cell>
          <cell r="B977" t="str">
            <v>Комод City Plus Венге</v>
          </cell>
          <cell r="C977" t="str">
            <v>Платонова</v>
          </cell>
          <cell r="D977" t="str">
            <v>КОМОДЫ</v>
          </cell>
          <cell r="E977" t="str">
            <v>СКГТ (ОЗОН)</v>
          </cell>
          <cell r="F977" t="str">
            <v>Комод City Plus</v>
          </cell>
          <cell r="G977" t="str">
            <v>Венге</v>
          </cell>
          <cell r="H977" t="str">
            <v>2521897952708</v>
          </cell>
          <cell r="I977" t="str">
            <v>Основной ассортимент</v>
          </cell>
        </row>
        <row r="978">
          <cell r="A978">
            <v>2124</v>
          </cell>
          <cell r="B978" t="str">
            <v>Комод City Plus Дуб крафт золотой</v>
          </cell>
          <cell r="C978" t="str">
            <v>Платонова</v>
          </cell>
          <cell r="D978" t="str">
            <v>КОМОДЫ</v>
          </cell>
          <cell r="E978" t="str">
            <v>СКГТ (ОЗОН)</v>
          </cell>
          <cell r="F978" t="str">
            <v>Комод City Plus</v>
          </cell>
          <cell r="G978" t="str">
            <v>Дуб Крафт золотой</v>
          </cell>
          <cell r="H978" t="str">
            <v>2521897952716</v>
          </cell>
          <cell r="I978" t="str">
            <v>Основной ассортимент</v>
          </cell>
        </row>
        <row r="979">
          <cell r="A979">
            <v>2125</v>
          </cell>
          <cell r="B979" t="str">
            <v>Комод City Plus Бетон</v>
          </cell>
          <cell r="C979" t="str">
            <v>Платонова</v>
          </cell>
          <cell r="D979" t="str">
            <v>КОМОДЫ</v>
          </cell>
          <cell r="E979" t="str">
            <v>СКГТ (ОЗОН)</v>
          </cell>
          <cell r="F979" t="str">
            <v>Комод City Plus</v>
          </cell>
          <cell r="G979" t="str">
            <v>Бетон</v>
          </cell>
          <cell r="H979" t="str">
            <v>2521897953163</v>
          </cell>
          <cell r="I979" t="str">
            <v>Основной ассортимент</v>
          </cell>
        </row>
        <row r="980">
          <cell r="A980">
            <v>135542</v>
          </cell>
          <cell r="B980" t="str">
            <v>Комод Ультра (0,750х0,729х0,330) Крафт Белый (серия 2)</v>
          </cell>
          <cell r="C980" t="str">
            <v>Платонова</v>
          </cell>
          <cell r="D980" t="str">
            <v>КОМОДЫ</v>
          </cell>
          <cell r="E980" t="str">
            <v>FBO</v>
          </cell>
          <cell r="F980" t="str">
            <v>Комод Ультра (0,750х0,729х0,330)</v>
          </cell>
          <cell r="G980" t="str">
            <v>дуб крафт белый</v>
          </cell>
          <cell r="H980" t="str">
            <v>2521897952844</v>
          </cell>
          <cell r="I980" t="str">
            <v>Основной ассортимент</v>
          </cell>
        </row>
        <row r="981">
          <cell r="A981">
            <v>135543</v>
          </cell>
          <cell r="B981" t="str">
            <v>Комод Ультра (0,750х0,729х0,330) Крафт золотой (серия 2)</v>
          </cell>
          <cell r="C981" t="str">
            <v>Платонова</v>
          </cell>
          <cell r="D981" t="str">
            <v>КОМОДЫ</v>
          </cell>
          <cell r="E981" t="str">
            <v>FBO</v>
          </cell>
          <cell r="F981" t="str">
            <v>Комод Ультра (0,750х0,729х0,330)</v>
          </cell>
          <cell r="G981" t="str">
            <v>Дуб Крафт золотой</v>
          </cell>
          <cell r="H981" t="str">
            <v>2521897952845</v>
          </cell>
          <cell r="I981" t="str">
            <v>Основной ассортимент</v>
          </cell>
        </row>
        <row r="982">
          <cell r="A982">
            <v>1355350</v>
          </cell>
          <cell r="B982" t="str">
            <v>Комод Malta Plus Бетон 750х719х392</v>
          </cell>
          <cell r="C982" t="str">
            <v>Платонова</v>
          </cell>
          <cell r="D982" t="str">
            <v>КОМОДЫ</v>
          </cell>
          <cell r="E982" t="str">
            <v>FBO</v>
          </cell>
          <cell r="F982" t="str">
            <v>Комод Malta Plus 750х719х392</v>
          </cell>
          <cell r="G982" t="str">
            <v>Бетон</v>
          </cell>
          <cell r="H982" t="str">
            <v>2521897952950</v>
          </cell>
          <cell r="I982" t="str">
            <v>Основной ассортимент</v>
          </cell>
        </row>
        <row r="983">
          <cell r="A983">
            <v>4114</v>
          </cell>
          <cell r="B983" t="str">
            <v>Комод Веста Lite Белое тиснение 782х599х294</v>
          </cell>
          <cell r="C983" t="str">
            <v>Ратникова</v>
          </cell>
          <cell r="D983" t="str">
            <v>КОМОДЫ</v>
          </cell>
          <cell r="E983" t="str">
            <v>FBO</v>
          </cell>
          <cell r="F983" t="str">
            <v>Комод Веста Lite</v>
          </cell>
          <cell r="G983" t="str">
            <v>Белое тиснение</v>
          </cell>
          <cell r="H983" t="str">
            <v>2521897952982</v>
          </cell>
          <cell r="I983" t="str">
            <v>Основной ассортимент</v>
          </cell>
        </row>
        <row r="984">
          <cell r="A984">
            <v>1355340</v>
          </cell>
          <cell r="B984" t="str">
            <v>Комод Ультра (0,750х0,729х0,330) Бетон (серия 2)</v>
          </cell>
          <cell r="C984" t="str">
            <v>Платонова</v>
          </cell>
          <cell r="D984" t="str">
            <v>КОМОДЫ</v>
          </cell>
          <cell r="E984" t="str">
            <v>FBO</v>
          </cell>
          <cell r="F984" t="str">
            <v>Комод Ультра (0,750х0,729х0,330)</v>
          </cell>
          <cell r="G984" t="str">
            <v>Бетон</v>
          </cell>
          <cell r="H984" t="str">
            <v>2521897952952</v>
          </cell>
          <cell r="I984" t="str">
            <v>Основной ассортимент</v>
          </cell>
        </row>
        <row r="985">
          <cell r="A985">
            <v>1355341</v>
          </cell>
          <cell r="B985" t="str">
            <v>Комод Ультра (0,75*0,729*0,33)  Бетон/Белое тиснение (серия 2)</v>
          </cell>
          <cell r="C985" t="str">
            <v>Платонова</v>
          </cell>
          <cell r="D985" t="str">
            <v>КОМОДЫ</v>
          </cell>
          <cell r="E985" t="str">
            <v>FBO</v>
          </cell>
          <cell r="F985" t="str">
            <v>Комод Ультра (0,750х0,729х0,330)</v>
          </cell>
          <cell r="G985" t="str">
            <v>Бетон/Белое тиснение</v>
          </cell>
          <cell r="H985" t="str">
            <v>2521897952953</v>
          </cell>
          <cell r="I985" t="str">
            <v>Основной ассортимент</v>
          </cell>
        </row>
        <row r="986">
          <cell r="A986">
            <v>1355391</v>
          </cell>
          <cell r="B986" t="str">
            <v>Комод Мальта Plus Бетон/белое тиснение</v>
          </cell>
          <cell r="C986" t="str">
            <v>Платонова</v>
          </cell>
          <cell r="D986" t="str">
            <v>КОМОДЫ</v>
          </cell>
          <cell r="E986" t="str">
            <v>FBO</v>
          </cell>
          <cell r="F986" t="str">
            <v>Комод Malta Plus 750х719х392</v>
          </cell>
          <cell r="G986" t="str">
            <v>Бетон/Белое тиснение</v>
          </cell>
          <cell r="H986" t="str">
            <v>2521897953058</v>
          </cell>
          <cell r="I986" t="str">
            <v>Основной ассортимент</v>
          </cell>
        </row>
        <row r="987">
          <cell r="A987">
            <v>1355392</v>
          </cell>
          <cell r="B987" t="str">
            <v>Комод Мальта Plus Дуб сонома/белое тиснение</v>
          </cell>
          <cell r="C987" t="str">
            <v>Платонова</v>
          </cell>
          <cell r="D987" t="str">
            <v>КОМОДЫ</v>
          </cell>
          <cell r="E987" t="str">
            <v>FBO</v>
          </cell>
          <cell r="F987" t="str">
            <v>Комод Malta Plus 750х719х392</v>
          </cell>
          <cell r="G987" t="str">
            <v>дуб сонома/белое тиснение</v>
          </cell>
          <cell r="H987" t="str">
            <v>2521897953059</v>
          </cell>
          <cell r="I987" t="str">
            <v>Основной ассортимент</v>
          </cell>
        </row>
        <row r="988">
          <cell r="A988">
            <v>4030</v>
          </cell>
          <cell r="B988" t="str">
            <v>Комод Neoletta 4 ящика (570х755х352) Белое Тиснение</v>
          </cell>
          <cell r="C988" t="str">
            <v>Ратникова</v>
          </cell>
          <cell r="D988" t="str">
            <v>КОМОДЫ</v>
          </cell>
          <cell r="E988" t="str">
            <v>FBO</v>
          </cell>
          <cell r="F988" t="str">
            <v xml:space="preserve">Комод Neoletta 4 ящика (570х755х352) </v>
          </cell>
          <cell r="G988" t="str">
            <v>Белое тиснение</v>
          </cell>
          <cell r="H988" t="str">
            <v>2521897952999</v>
          </cell>
          <cell r="I988" t="str">
            <v>Основной ассортимент</v>
          </cell>
        </row>
        <row r="989">
          <cell r="A989">
            <v>2953</v>
          </cell>
          <cell r="B989" t="str">
            <v>Тумба для обуви Мальта Лайт Дуб сонома/Белое гладкое  380х425х300</v>
          </cell>
          <cell r="C989" t="str">
            <v xml:space="preserve">Петрова </v>
          </cell>
          <cell r="D989" t="str">
            <v>ОБУВНИЦЫ</v>
          </cell>
          <cell r="E989" t="str">
            <v>FBO</v>
          </cell>
          <cell r="F989" t="str">
            <v>Тумба для обуви Мальта Лайт 380х425х300</v>
          </cell>
          <cell r="G989" t="str">
            <v>дуб сонома/белая гладкая</v>
          </cell>
          <cell r="H989" t="str">
            <v>2520000002145</v>
          </cell>
          <cell r="I989" t="str">
            <v>Основной ассортимент</v>
          </cell>
        </row>
        <row r="990">
          <cell r="A990">
            <v>2641</v>
          </cell>
          <cell r="B990" t="str">
            <v>Тумба для обуви Орех лион/Кожзам коричневый 786х500х295</v>
          </cell>
          <cell r="C990" t="str">
            <v xml:space="preserve">Петрова </v>
          </cell>
          <cell r="D990" t="str">
            <v>ОБУВНИЦЫ</v>
          </cell>
          <cell r="E990" t="str">
            <v>FBO</v>
          </cell>
          <cell r="F990" t="str">
            <v>Тумба для обуви 786х500х295</v>
          </cell>
          <cell r="G990" t="str">
            <v>дуб крафт золотой/Кожзам коричневый</v>
          </cell>
          <cell r="H990" t="str">
            <v>2520000001470</v>
          </cell>
          <cell r="I990" t="str">
            <v>Основной ассортимент</v>
          </cell>
        </row>
        <row r="991">
          <cell r="A991">
            <v>130131</v>
          </cell>
          <cell r="B991" t="str">
            <v>Комод Estet Бетон</v>
          </cell>
          <cell r="C991" t="str">
            <v>Ратникова</v>
          </cell>
          <cell r="D991" t="str">
            <v>КОМОДЫ</v>
          </cell>
          <cell r="E991" t="str">
            <v>FBO</v>
          </cell>
          <cell r="F991" t="str">
            <v>Комод Estet</v>
          </cell>
          <cell r="G991" t="str">
            <v>Бетон</v>
          </cell>
          <cell r="H991" t="str">
            <v>2521897953112</v>
          </cell>
          <cell r="I991" t="str">
            <v>Основной ассортимент</v>
          </cell>
        </row>
        <row r="992">
          <cell r="A992">
            <v>130132</v>
          </cell>
          <cell r="B992" t="str">
            <v>Комод Estet Крафт белый</v>
          </cell>
          <cell r="C992" t="str">
            <v>Ратникова</v>
          </cell>
          <cell r="D992" t="str">
            <v>КОМОДЫ</v>
          </cell>
          <cell r="E992" t="str">
            <v>FBO</v>
          </cell>
          <cell r="F992" t="str">
            <v>Комод Estet</v>
          </cell>
          <cell r="G992" t="str">
            <v>дуб крафт белый</v>
          </cell>
          <cell r="H992" t="str">
            <v>2521897953113</v>
          </cell>
          <cell r="I992" t="str">
            <v>Основной ассортимент</v>
          </cell>
        </row>
        <row r="993">
          <cell r="A993">
            <v>130133</v>
          </cell>
          <cell r="B993" t="str">
            <v>Комод Estet Крафт золотой</v>
          </cell>
          <cell r="C993" t="str">
            <v>Ратникова</v>
          </cell>
          <cell r="D993" t="str">
            <v>КОМОДЫ</v>
          </cell>
          <cell r="E993" t="str">
            <v>FBO</v>
          </cell>
          <cell r="F993" t="str">
            <v>Комод Estet</v>
          </cell>
          <cell r="G993" t="str">
            <v>Дуб Крафт золотой</v>
          </cell>
          <cell r="H993" t="str">
            <v>2521897953114</v>
          </cell>
          <cell r="I993" t="str">
            <v>Основной ассортимент</v>
          </cell>
        </row>
        <row r="994">
          <cell r="A994">
            <v>4041</v>
          </cell>
          <cell r="B994" t="str">
            <v>Комод Индиго Бетон светлый</v>
          </cell>
          <cell r="C994" t="str">
            <v>Ратникова</v>
          </cell>
          <cell r="D994" t="str">
            <v>КОМОДЫ</v>
          </cell>
          <cell r="E994" t="str">
            <v>FBO</v>
          </cell>
          <cell r="F994" t="str">
            <v xml:space="preserve">Комод Индиго </v>
          </cell>
          <cell r="G994" t="str">
            <v>Бетон</v>
          </cell>
          <cell r="H994" t="str">
            <v>2521897953004</v>
          </cell>
          <cell r="I994" t="str">
            <v>Основной ассортимент</v>
          </cell>
        </row>
        <row r="995">
          <cell r="A995">
            <v>4043</v>
          </cell>
          <cell r="B995" t="str">
            <v>Комод Индиго Дуб Крафт белый</v>
          </cell>
          <cell r="C995" t="str">
            <v>Ратникова</v>
          </cell>
          <cell r="D995" t="str">
            <v>КОМОДЫ</v>
          </cell>
          <cell r="E995" t="str">
            <v>FBO</v>
          </cell>
          <cell r="F995" t="str">
            <v xml:space="preserve">Комод Индиго </v>
          </cell>
          <cell r="G995" t="str">
            <v>Дуб Крафт Белый</v>
          </cell>
          <cell r="H995" t="str">
            <v>2521897953006</v>
          </cell>
          <cell r="I995" t="str">
            <v>Основной ассортимент</v>
          </cell>
        </row>
        <row r="996">
          <cell r="A996">
            <v>1355342</v>
          </cell>
          <cell r="B996" t="str">
            <v>Комод Ультра Серия 2  Дуб крафт табачный</v>
          </cell>
          <cell r="C996" t="str">
            <v>Платонова</v>
          </cell>
          <cell r="D996" t="str">
            <v>КОМОДЫ</v>
          </cell>
          <cell r="E996" t="str">
            <v>FBO</v>
          </cell>
          <cell r="F996" t="str">
            <v>Комод Ультра (0,750х0,729х0,330)</v>
          </cell>
          <cell r="G996" t="str">
            <v>дуб крафт табачный</v>
          </cell>
          <cell r="H996" t="str">
            <v>2521897953101</v>
          </cell>
          <cell r="I996" t="str">
            <v>Основной ассортимент</v>
          </cell>
        </row>
        <row r="997">
          <cell r="A997">
            <v>1355361</v>
          </cell>
          <cell r="B997" t="str">
            <v>Комод Malta Plus Венге/Дуб белфорт 750х719х392</v>
          </cell>
          <cell r="C997" t="str">
            <v>Платонова</v>
          </cell>
          <cell r="D997" t="str">
            <v>КОМОДЫ</v>
          </cell>
          <cell r="E997" t="str">
            <v>FBO</v>
          </cell>
          <cell r="F997" t="str">
            <v>Комод Malta Plus 750х719х392</v>
          </cell>
          <cell r="G997" t="str">
            <v>дуб белфорт</v>
          </cell>
          <cell r="H997" t="str">
            <v>2521897953105</v>
          </cell>
          <cell r="I997" t="str">
            <v>Основной ассортимент</v>
          </cell>
        </row>
        <row r="998">
          <cell r="A998">
            <v>1355394</v>
          </cell>
          <cell r="B998" t="str">
            <v>Комод Malta Plus Черный 750х719х392</v>
          </cell>
          <cell r="C998" t="str">
            <v>Платонова</v>
          </cell>
          <cell r="D998" t="str">
            <v>КОМОДЫ</v>
          </cell>
          <cell r="E998" t="str">
            <v>FBO</v>
          </cell>
          <cell r="F998" t="str">
            <v>Комод Malta Plus 750х719х392</v>
          </cell>
          <cell r="G998" t="str">
            <v>Черный</v>
          </cell>
          <cell r="H998" t="str">
            <v>2521897953164</v>
          </cell>
          <cell r="I998" t="str">
            <v>Основной ассортимент</v>
          </cell>
        </row>
        <row r="999">
          <cell r="A999">
            <v>1355395</v>
          </cell>
          <cell r="B999" t="str">
            <v>Комод Malta Plus Графит 750х719х392</v>
          </cell>
          <cell r="C999" t="str">
            <v>Платонова</v>
          </cell>
          <cell r="D999" t="str">
            <v>КОМОДЫ</v>
          </cell>
          <cell r="E999" t="str">
            <v>FBO</v>
          </cell>
          <cell r="F999" t="str">
            <v>Комод Malta Plus 750х719х392</v>
          </cell>
          <cell r="G999" t="str">
            <v>Графит</v>
          </cell>
          <cell r="H999" t="str">
            <v>2521897953177</v>
          </cell>
          <cell r="I999" t="str">
            <v>Основной ассортимент</v>
          </cell>
        </row>
        <row r="1000">
          <cell r="A1000">
            <v>3544</v>
          </cell>
          <cell r="B1000" t="str">
            <v>Обувница Ultra Plus вертикальная 2 секции Белое тисн. 750х859х246</v>
          </cell>
          <cell r="C1000" t="str">
            <v xml:space="preserve">Петрова </v>
          </cell>
          <cell r="D1000" t="str">
            <v>ОБУВНИЦЫ</v>
          </cell>
          <cell r="E1000" t="str">
            <v>FBO</v>
          </cell>
          <cell r="F1000" t="str">
            <v>Обувница Ultra Plus вертикальная 2 секции  750х859х246</v>
          </cell>
          <cell r="G1000" t="str">
            <v>Белое тиснение</v>
          </cell>
          <cell r="H1000" t="str">
            <v>2521897953071</v>
          </cell>
          <cell r="I1000" t="str">
            <v>Основной ассортимент</v>
          </cell>
        </row>
        <row r="1001">
          <cell r="A1001">
            <v>3620</v>
          </cell>
          <cell r="B1001" t="str">
            <v>Обувница Ultra вертикальная универсал. 3 секции Белое тиснение 532х1122х170</v>
          </cell>
          <cell r="C1001" t="str">
            <v xml:space="preserve">Петрова </v>
          </cell>
          <cell r="D1001" t="str">
            <v>ОБУВНИЦЫ</v>
          </cell>
          <cell r="E1001" t="str">
            <v>FBO</v>
          </cell>
          <cell r="F1001" t="str">
            <v>Обувница Ultra вертикальная 3 секции 532х1122х170</v>
          </cell>
          <cell r="G1001" t="str">
            <v>Белое тиснение</v>
          </cell>
          <cell r="H1001" t="str">
            <v>2521897953063</v>
          </cell>
          <cell r="I1001" t="str">
            <v>Основной ассортимент</v>
          </cell>
        </row>
        <row r="1002">
          <cell r="A1002">
            <v>2952</v>
          </cell>
          <cell r="B1002" t="str">
            <v>Тумба для обуви Мальта Лайт Белое тиснение 380х425х300</v>
          </cell>
          <cell r="C1002" t="str">
            <v xml:space="preserve">Петрова </v>
          </cell>
          <cell r="D1002" t="str">
            <v>ОБУВНИЦЫ</v>
          </cell>
          <cell r="E1002" t="str">
            <v>FBO</v>
          </cell>
          <cell r="F1002" t="str">
            <v>Тумба для обуви Мальта Лайт 380х425х300</v>
          </cell>
          <cell r="G1002" t="str">
            <v>Белое тиснение</v>
          </cell>
          <cell r="H1002" t="str">
            <v>2520000002138</v>
          </cell>
          <cell r="I1002" t="str">
            <v>Основной ассортимент</v>
          </cell>
        </row>
        <row r="1003">
          <cell r="A1003">
            <v>2954</v>
          </cell>
          <cell r="B1003" t="str">
            <v>Тумба для обуви Мальта Лайт Венге/Орех лион  380х425х300</v>
          </cell>
          <cell r="C1003" t="str">
            <v xml:space="preserve">Петрова </v>
          </cell>
          <cell r="D1003" t="str">
            <v>ОБУВНИЦЫ</v>
          </cell>
          <cell r="E1003" t="str">
            <v>FBO</v>
          </cell>
          <cell r="F1003" t="str">
            <v>Тумба для обуви Мальта Лайт 380х425х300</v>
          </cell>
          <cell r="G1003" t="str">
            <v>Венге/Дуб крафт золотой</v>
          </cell>
          <cell r="H1003" t="str">
            <v>2520000002152</v>
          </cell>
          <cell r="I1003" t="str">
            <v>Основной ассортимент</v>
          </cell>
        </row>
        <row r="1004">
          <cell r="A1004">
            <v>2640</v>
          </cell>
          <cell r="B1004" t="str">
            <v>Тумба для обуви Орех лион/Кожзам коричневый 1042х500х295</v>
          </cell>
          <cell r="C1004" t="str">
            <v xml:space="preserve">Петрова </v>
          </cell>
          <cell r="D1004" t="str">
            <v>ОБУВНИЦЫ</v>
          </cell>
          <cell r="E1004" t="str">
            <v>FBS</v>
          </cell>
          <cell r="F1004" t="str">
            <v>Тумба для обуви 1042х500х295</v>
          </cell>
          <cell r="G1004" t="str">
            <v>дуб крафт золотой/Кожзам коричневый</v>
          </cell>
          <cell r="H1004" t="str">
            <v>2520000001463</v>
          </cell>
          <cell r="I1004" t="str">
            <v>Основной ассортимент</v>
          </cell>
        </row>
        <row r="1005">
          <cell r="A1005">
            <v>3357</v>
          </cell>
          <cell r="B1005" t="str">
            <v>Тумба для обуви Белое тиснение/Кожзам Аламомилк 1042х500(h)х295</v>
          </cell>
          <cell r="C1005" t="str">
            <v xml:space="preserve">Петрова </v>
          </cell>
          <cell r="D1005" t="str">
            <v>ОБУВНИЦЫ</v>
          </cell>
          <cell r="E1005" t="str">
            <v>FBS</v>
          </cell>
          <cell r="F1005" t="str">
            <v>Тумба для обуви 1042х500х295</v>
          </cell>
          <cell r="G1005" t="str">
            <v>Белое тиснение</v>
          </cell>
          <cell r="H1005" t="str">
            <v>2521897952518</v>
          </cell>
          <cell r="I1005" t="str">
            <v>Основной ассортимент</v>
          </cell>
        </row>
        <row r="1006">
          <cell r="A1006">
            <v>3617</v>
          </cell>
          <cell r="B1006" t="str">
            <v>Обувница Ultra Plus вертикальная 2 секции Белое тисн./Ателье светлое 750х859х246</v>
          </cell>
          <cell r="C1006" t="str">
            <v xml:space="preserve">Петрова </v>
          </cell>
          <cell r="D1006" t="str">
            <v>ОБУВНИЦЫ</v>
          </cell>
          <cell r="E1006" t="str">
            <v>FBO</v>
          </cell>
          <cell r="F1006" t="str">
            <v>Обувница Ultra Plus вертикальная 2 секции  750х859х246</v>
          </cell>
          <cell r="G1006" t="str">
            <v>Белое тиснение/бетон</v>
          </cell>
          <cell r="H1006" t="str">
            <v>2521897953072</v>
          </cell>
          <cell r="I1006" t="str">
            <v>Основной ассортимент</v>
          </cell>
        </row>
        <row r="1007">
          <cell r="A1007">
            <v>3618</v>
          </cell>
          <cell r="B1007" t="str">
            <v>Обувница Ultra Plus вертикальная 2 секции Дуб сонома/Белое тисн. 750х859х246</v>
          </cell>
          <cell r="C1007" t="str">
            <v xml:space="preserve">Петрова </v>
          </cell>
          <cell r="D1007" t="str">
            <v>ОБУВНИЦЫ</v>
          </cell>
          <cell r="E1007" t="str">
            <v>FBO</v>
          </cell>
          <cell r="F1007" t="str">
            <v>Обувница Ultra Plus вертикальная 2 секции  750х859х246</v>
          </cell>
          <cell r="G1007" t="str">
            <v>дуб сонома/белое тиснение</v>
          </cell>
          <cell r="H1007" t="str">
            <v>2521897953073</v>
          </cell>
          <cell r="I1007" t="str">
            <v>Основной ассортимент</v>
          </cell>
        </row>
        <row r="1008">
          <cell r="A1008">
            <v>3619</v>
          </cell>
          <cell r="B1008" t="str">
            <v>Обувница Ultra Plus вертикальная 2 секции Дуб Крафт Белый/Графит 750х859х246</v>
          </cell>
          <cell r="C1008" t="str">
            <v xml:space="preserve">Петрова </v>
          </cell>
          <cell r="D1008" t="str">
            <v>ОБУВНИЦЫ</v>
          </cell>
          <cell r="E1008" t="str">
            <v>FBO</v>
          </cell>
          <cell r="F1008" t="str">
            <v>Обувница Ultra Plus вертикальная 2 секции  750х859х246</v>
          </cell>
          <cell r="G1008" t="str">
            <v>Дуб Крафт Белый/Графит</v>
          </cell>
          <cell r="H1008" t="str">
            <v>2521897953074</v>
          </cell>
          <cell r="I1008" t="str">
            <v>Основной ассортимент</v>
          </cell>
        </row>
        <row r="1009">
          <cell r="A1009">
            <v>3019</v>
          </cell>
          <cell r="B1009" t="str">
            <v>Стеллаж Quatrro 8 секций Венге 706х1396х280</v>
          </cell>
          <cell r="C1009" t="str">
            <v>Загашева</v>
          </cell>
          <cell r="D1009" t="str">
            <v>СТЕЛЛАЖИ</v>
          </cell>
          <cell r="E1009" t="str">
            <v>FBO</v>
          </cell>
          <cell r="F1009" t="str">
            <v>Стеллаж Quatrro 8 секций  706х1396х280</v>
          </cell>
          <cell r="G1009" t="str">
            <v>Венге</v>
          </cell>
          <cell r="H1009" t="str">
            <v>2520897922330</v>
          </cell>
          <cell r="I1009" t="str">
            <v>Основной ассортимент</v>
          </cell>
        </row>
        <row r="1010">
          <cell r="A1010">
            <v>3621</v>
          </cell>
          <cell r="B1010" t="str">
            <v>Обувница Ultra вертикальная 3 секции Ателье светлое 532х1122х170</v>
          </cell>
          <cell r="C1010" t="str">
            <v xml:space="preserve">Петрова </v>
          </cell>
          <cell r="D1010" t="str">
            <v>ОБУВНИЦЫ</v>
          </cell>
          <cell r="E1010" t="str">
            <v>FBO</v>
          </cell>
          <cell r="F1010" t="str">
            <v>Обувница Ultra вертикальная 3 секции 532х1122х170</v>
          </cell>
          <cell r="G1010" t="str">
            <v>ткань</v>
          </cell>
          <cell r="H1010" t="str">
            <v>2521897953064</v>
          </cell>
          <cell r="I1010" t="str">
            <v>Основной ассортимент</v>
          </cell>
        </row>
        <row r="1011">
          <cell r="A1011" t="str">
            <v>MK00010</v>
          </cell>
          <cell r="B1011" t="str">
            <v>Стеллаж Frame 2 ящика ЛДСП Дуб Вотан, Черный металл 670х1442х304</v>
          </cell>
          <cell r="C1011" t="str">
            <v>Зимакова</v>
          </cell>
          <cell r="D1011" t="str">
            <v>СТЕЛЛАЖИ</v>
          </cell>
          <cell r="E1011" t="str">
            <v>FBS</v>
          </cell>
          <cell r="F1011" t="str">
            <v>Стеллаж Frame 2 ящика</v>
          </cell>
          <cell r="G1011" t="str">
            <v>ЛДСП Дуб Вотан, Черн. металл.</v>
          </cell>
          <cell r="H1011" t="str">
            <v>2521897952802</v>
          </cell>
          <cell r="I1011" t="str">
            <v>Основной ассортимент</v>
          </cell>
        </row>
        <row r="1012">
          <cell r="A1012">
            <v>90217948</v>
          </cell>
          <cell r="B1012" t="str">
            <v>Стеллаж Hardy Лайт 2 Дуб Крафт Белый</v>
          </cell>
          <cell r="C1012" t="str">
            <v>Загашева</v>
          </cell>
          <cell r="D1012" t="str">
            <v>СТЕЛЛАЖИ</v>
          </cell>
          <cell r="E1012" t="str">
            <v>FBO</v>
          </cell>
          <cell r="F1012" t="str">
            <v>Стеллаж Hardy Лайт 2</v>
          </cell>
          <cell r="G1012" t="str">
            <v>Дуб Крафт Белый</v>
          </cell>
          <cell r="H1012" t="str">
            <v>2521897952771</v>
          </cell>
          <cell r="I1012" t="str">
            <v>Основной ассортимент</v>
          </cell>
        </row>
        <row r="1013">
          <cell r="A1013">
            <v>60217946</v>
          </cell>
          <cell r="B1013" t="str">
            <v>Стеллаж Hardy Лайт 2 Венге</v>
          </cell>
          <cell r="C1013" t="str">
            <v>Загашева</v>
          </cell>
          <cell r="D1013" t="str">
            <v>СТЕЛЛАЖИ</v>
          </cell>
          <cell r="E1013" t="str">
            <v>FBO</v>
          </cell>
          <cell r="F1013" t="str">
            <v>Стеллаж Hardy Лайт 2</v>
          </cell>
          <cell r="G1013" t="str">
            <v>Венге</v>
          </cell>
          <cell r="H1013" t="str">
            <v>2521897952769</v>
          </cell>
          <cell r="I1013" t="str">
            <v>Основной ассортимент</v>
          </cell>
        </row>
        <row r="1014">
          <cell r="A1014">
            <v>90044778</v>
          </cell>
          <cell r="B1014" t="str">
            <v>Стеллаж Hardy Лайт 2 с дверками Дуб Крафт золотой</v>
          </cell>
          <cell r="C1014" t="str">
            <v>Загашева</v>
          </cell>
          <cell r="D1014" t="str">
            <v>СТЕЛЛАЖИ</v>
          </cell>
          <cell r="E1014" t="str">
            <v>FBO</v>
          </cell>
          <cell r="F1014" t="str">
            <v>Стеллаж Hardy Лайт 2 с дверками</v>
          </cell>
          <cell r="G1014" t="str">
            <v>Дуб Крафт золотой</v>
          </cell>
          <cell r="H1014" t="str">
            <v>2521897952837</v>
          </cell>
          <cell r="I1014" t="str">
            <v>Основной ассортимент</v>
          </cell>
        </row>
        <row r="1015">
          <cell r="A1015">
            <v>3018</v>
          </cell>
          <cell r="B1015" t="str">
            <v>Стеллаж Quatrro 8 секций Белое тиснение 706х1396х280</v>
          </cell>
          <cell r="C1015" t="str">
            <v>Загашева</v>
          </cell>
          <cell r="D1015" t="str">
            <v>СТЕЛЛАЖИ</v>
          </cell>
          <cell r="E1015" t="str">
            <v>FBO</v>
          </cell>
          <cell r="F1015" t="str">
            <v>Стеллаж Quatrro 8 секций  706х1396х280</v>
          </cell>
          <cell r="G1015" t="str">
            <v>Белое тиснение</v>
          </cell>
          <cell r="H1015" t="str">
            <v>2520897922329</v>
          </cell>
          <cell r="I1015" t="str">
            <v>Основной ассортимент</v>
          </cell>
        </row>
        <row r="1016">
          <cell r="A1016" t="str">
            <v>MK1400101</v>
          </cell>
          <cell r="B1016" t="str">
            <v>Стеллаж этажерка Tokyo с дверк. ЛДСП Дуб Вотан, Черн. металл. 710х1750(h)х386</v>
          </cell>
          <cell r="C1016" t="str">
            <v>Зимакова</v>
          </cell>
          <cell r="D1016" t="str">
            <v>СТЕЛЛАЖИ</v>
          </cell>
          <cell r="E1016" t="str">
            <v>FBS</v>
          </cell>
          <cell r="F1016" t="str">
            <v>Стеллаж этажерка Tokyo с дверк.  710х1750(h)х386</v>
          </cell>
          <cell r="G1016" t="str">
            <v>ЛДСП Дуб Вотан, Черн. металл.</v>
          </cell>
          <cell r="H1016" t="str">
            <v>2521897952685</v>
          </cell>
          <cell r="I1016" t="str">
            <v>Основной ассортимент</v>
          </cell>
        </row>
        <row r="1017">
          <cell r="A1017">
            <v>3020</v>
          </cell>
          <cell r="B1017" t="str">
            <v>Стеллаж Quatrro 8 секций Дуб сонома 706х1396х280</v>
          </cell>
          <cell r="C1017" t="str">
            <v>Загашева</v>
          </cell>
          <cell r="D1017" t="str">
            <v>СТЕЛЛАЖИ</v>
          </cell>
          <cell r="E1017" t="str">
            <v>FBO</v>
          </cell>
          <cell r="F1017" t="str">
            <v>Стеллаж Quatrro 8 секций  706х1396х280</v>
          </cell>
          <cell r="G1017" t="str">
            <v>Дуб сонома</v>
          </cell>
          <cell r="H1017" t="str">
            <v>2520897922365</v>
          </cell>
          <cell r="I1017" t="str">
            <v>Основной ассортимент</v>
          </cell>
        </row>
        <row r="1018">
          <cell r="A1018">
            <v>3377</v>
          </cell>
          <cell r="B1018" t="str">
            <v>Стеллаж Quatrro 8 секций Крафт Белый 706х1396х280</v>
          </cell>
          <cell r="C1018" t="str">
            <v>Загашева</v>
          </cell>
          <cell r="D1018" t="str">
            <v>СТЕЛЛАЖИ</v>
          </cell>
          <cell r="E1018" t="str">
            <v>FBO</v>
          </cell>
          <cell r="F1018" t="str">
            <v>Стеллаж Quatrro 8 секций  706х1396х280</v>
          </cell>
          <cell r="G1018" t="str">
            <v>дуб крафт белый</v>
          </cell>
          <cell r="H1018" t="str">
            <v>2521897952887</v>
          </cell>
          <cell r="I1018" t="str">
            <v>Основной ассортимент</v>
          </cell>
        </row>
        <row r="1019">
          <cell r="A1019">
            <v>3378</v>
          </cell>
          <cell r="B1019" t="str">
            <v>Стеллаж Quatrro 8 секций Крафт Золотой 706х1396х280</v>
          </cell>
          <cell r="C1019" t="str">
            <v>Загашева</v>
          </cell>
          <cell r="D1019" t="str">
            <v>СТЕЛЛАЖИ</v>
          </cell>
          <cell r="E1019" t="str">
            <v>FBO</v>
          </cell>
          <cell r="F1019" t="str">
            <v>Стеллаж Quatrro 8 секций  706х1396х280</v>
          </cell>
          <cell r="G1019" t="str">
            <v>Дуб Крафт золотой</v>
          </cell>
          <cell r="H1019" t="str">
            <v>2521897952888</v>
          </cell>
          <cell r="I1019" t="str">
            <v>Основной ассортимент</v>
          </cell>
        </row>
        <row r="1020">
          <cell r="A1020" t="str">
            <v>MK1410101</v>
          </cell>
          <cell r="B1020" t="str">
            <v>Стеллаж этажерка Tokyo с ящ. ЛДСП Дуб Вотан, Черн. металл. 500х1750(h)х386</v>
          </cell>
          <cell r="C1020" t="str">
            <v>Зимакова</v>
          </cell>
          <cell r="D1020" t="str">
            <v>СТЕЛЛАЖИ</v>
          </cell>
          <cell r="E1020" t="str">
            <v xml:space="preserve">СКГТ </v>
          </cell>
          <cell r="F1020" t="str">
            <v xml:space="preserve">Стеллаж этажерка Tokyo с ящ. </v>
          </cell>
          <cell r="G1020" t="str">
            <v>ЛДСП Дуб Вотан, Черн. металл.</v>
          </cell>
          <cell r="H1020" t="str">
            <v>2521897952687</v>
          </cell>
          <cell r="I1020" t="str">
            <v>Основной ассортимент</v>
          </cell>
        </row>
        <row r="1021">
          <cell r="A1021">
            <v>70217948</v>
          </cell>
          <cell r="B1021" t="str">
            <v>Стеллаж Hardy Лайт 2 с дверками Бетон</v>
          </cell>
          <cell r="C1021" t="str">
            <v>Загашева</v>
          </cell>
          <cell r="D1021" t="str">
            <v>СТЕЛЛАЖИ</v>
          </cell>
          <cell r="E1021" t="str">
            <v>FBO</v>
          </cell>
          <cell r="F1021" t="str">
            <v>Стеллаж Hardy Лайт 2 с дверками</v>
          </cell>
          <cell r="G1021" t="str">
            <v>Бетон</v>
          </cell>
          <cell r="H1021" t="str">
            <v>2521897952949</v>
          </cell>
          <cell r="I1021" t="str">
            <v>Основной ассортимент</v>
          </cell>
        </row>
        <row r="1022">
          <cell r="A1022">
            <v>3585</v>
          </cell>
          <cell r="B1022" t="str">
            <v>Стеллаж Quattro 8 секций Ателье светлое 706х1396х280</v>
          </cell>
          <cell r="C1022" t="str">
            <v>Загашева</v>
          </cell>
          <cell r="D1022" t="str">
            <v>СТЕЛЛАЖИ</v>
          </cell>
          <cell r="E1022" t="str">
            <v>FBO</v>
          </cell>
          <cell r="F1022" t="str">
            <v>Стеллаж Quatrro 8 секций  706х1396х280</v>
          </cell>
          <cell r="G1022" t="str">
            <v>Бетон</v>
          </cell>
          <cell r="H1022" t="str">
            <v>2521897953070</v>
          </cell>
          <cell r="I1022" t="str">
            <v>Основной ассортимент</v>
          </cell>
        </row>
        <row r="1023">
          <cell r="A1023">
            <v>2656</v>
          </cell>
          <cell r="B1023" t="str">
            <v>Стеллаж Лайт Дуб сонома 450х1150х240</v>
          </cell>
          <cell r="C1023" t="str">
            <v>Зимакова</v>
          </cell>
          <cell r="D1023" t="str">
            <v>СТЕЛЛАЖИ</v>
          </cell>
          <cell r="E1023" t="str">
            <v>FBS</v>
          </cell>
          <cell r="F1023" t="str">
            <v>Стеллаж Лайт  450х1150х240</v>
          </cell>
          <cell r="G1023" t="str">
            <v>Дуб сонома</v>
          </cell>
          <cell r="H1023" t="str">
            <v>2520000000381</v>
          </cell>
          <cell r="I1023" t="str">
            <v>Основной ассортимент</v>
          </cell>
        </row>
        <row r="1024">
          <cell r="A1024" t="str">
            <v>MK00001</v>
          </cell>
          <cell r="B1024" t="str">
            <v>Стеллаж Frame 4 секции Дуб Вотан, черный металл 670х1442х300</v>
          </cell>
          <cell r="C1024" t="str">
            <v>Загашева</v>
          </cell>
          <cell r="D1024" t="str">
            <v>СТЕЛЛАЖИ</v>
          </cell>
          <cell r="E1024" t="str">
            <v>FBO</v>
          </cell>
          <cell r="F1024" t="str">
            <v>Стеллаж Frame 4 секции 670х1442х300</v>
          </cell>
          <cell r="G1024" t="str">
            <v>Дуб Вотан, Черн. металл.</v>
          </cell>
          <cell r="H1024" t="str">
            <v>2521897952563</v>
          </cell>
          <cell r="I1024" t="str">
            <v>Основной ассортимент</v>
          </cell>
        </row>
        <row r="1025">
          <cell r="A1025" t="str">
            <v>MK1250101</v>
          </cell>
          <cell r="B1025" t="str">
            <v>Стеллаж Tokyo Plus ЛДСП Дуб Вотан, Черн. металл. 900х1758(h)х290</v>
          </cell>
          <cell r="C1025" t="str">
            <v>Зимакова</v>
          </cell>
          <cell r="D1025" t="str">
            <v>СТЕЛЛАЖИ</v>
          </cell>
          <cell r="E1025" t="str">
            <v>FBS</v>
          </cell>
          <cell r="F1025" t="str">
            <v>Стеллаж Tokyo Plus</v>
          </cell>
          <cell r="G1025" t="str">
            <v>ЛДСП Дуб Вотан, Черн. металл.</v>
          </cell>
          <cell r="H1025" t="str">
            <v>4660041006506</v>
          </cell>
          <cell r="I1025" t="str">
            <v>Основной ассортимент</v>
          </cell>
        </row>
        <row r="1026">
          <cell r="A1026">
            <v>2616</v>
          </cell>
          <cell r="B1026" t="str">
            <v>Стеллаж Zett Ультра Дуб Крафт Белый 730х1757х250</v>
          </cell>
          <cell r="C1026" t="str">
            <v>Загашева</v>
          </cell>
          <cell r="D1026" t="str">
            <v>СТЕЛЛАЖИ</v>
          </cell>
          <cell r="E1026" t="str">
            <v>FBO</v>
          </cell>
          <cell r="F1026" t="str">
            <v>Стеллаж Zett Ультра  730х1757х250</v>
          </cell>
          <cell r="G1026" t="str">
            <v>Дуб Крафт Белый</v>
          </cell>
          <cell r="H1026" t="str">
            <v>2521897952705</v>
          </cell>
          <cell r="I1026" t="str">
            <v>Основной ассортимент</v>
          </cell>
        </row>
        <row r="1027">
          <cell r="A1027" t="str">
            <v>MK1470101</v>
          </cell>
          <cell r="B1027" t="str">
            <v>Стеллаж Trust ЛДСП Дуб Вотан, Черн. металл. 770х1750(h)х300</v>
          </cell>
          <cell r="C1027" t="str">
            <v>Загашева</v>
          </cell>
          <cell r="D1027" t="str">
            <v>СТЕЛЛАЖИ</v>
          </cell>
          <cell r="E1027" t="str">
            <v>FBS</v>
          </cell>
          <cell r="F1027" t="str">
            <v xml:space="preserve">Стеллаж Trust </v>
          </cell>
          <cell r="G1027" t="str">
            <v>ЛДСП Дуб Вотан, Черн. металл.</v>
          </cell>
          <cell r="H1027" t="str">
            <v>2521897952754</v>
          </cell>
          <cell r="I1027" t="str">
            <v>Основной ассортимент</v>
          </cell>
        </row>
        <row r="1028">
          <cell r="A1028">
            <v>135569</v>
          </cell>
          <cell r="B1028" t="str">
            <v>Стеллаж Hardy узкий дуб крафт золотой</v>
          </cell>
          <cell r="C1028" t="str">
            <v>Загашева</v>
          </cell>
          <cell r="D1028" t="str">
            <v>СТЕЛЛАЖИ</v>
          </cell>
          <cell r="E1028" t="str">
            <v>FBO</v>
          </cell>
          <cell r="F1028" t="str">
            <v>Стеллаж Hardy узкий</v>
          </cell>
          <cell r="G1028" t="str">
            <v>Дуб Крафт золотой</v>
          </cell>
          <cell r="H1028" t="str">
            <v>2521897952874</v>
          </cell>
          <cell r="I1028" t="str">
            <v>Основной ассортимент</v>
          </cell>
        </row>
        <row r="1029">
          <cell r="A1029">
            <v>366944</v>
          </cell>
          <cell r="B1029" t="str">
            <v>Стеллаж Zett с дверками и с ручками Бетон 730х1757х230</v>
          </cell>
          <cell r="C1029" t="str">
            <v>Загашева</v>
          </cell>
          <cell r="D1029" t="str">
            <v>СТЕЛЛАЖИ</v>
          </cell>
          <cell r="E1029" t="str">
            <v>FBO</v>
          </cell>
          <cell r="F1029" t="str">
            <v>Стеллаж Zett с дверками и с ручками  730х1757х230</v>
          </cell>
          <cell r="G1029" t="str">
            <v>Бетон</v>
          </cell>
          <cell r="H1029" t="str">
            <v>2521897953007</v>
          </cell>
          <cell r="I1029" t="str">
            <v>Основной ассортимент</v>
          </cell>
        </row>
        <row r="1030">
          <cell r="A1030">
            <v>366946</v>
          </cell>
          <cell r="B1030" t="str">
            <v>Стеллаж Zett с дверками и с ручками Крафт белый 730х1757х230</v>
          </cell>
          <cell r="C1030" t="str">
            <v>Загашева</v>
          </cell>
          <cell r="D1030" t="str">
            <v>СТЕЛЛАЖИ</v>
          </cell>
          <cell r="E1030" t="str">
            <v>FBO</v>
          </cell>
          <cell r="F1030" t="str">
            <v>Стеллаж Zett с дверками и с ручками  730х1757х230</v>
          </cell>
          <cell r="G1030" t="str">
            <v>дуб крафт белый</v>
          </cell>
          <cell r="H1030" t="str">
            <v>2521897953009</v>
          </cell>
          <cell r="I1030" t="str">
            <v>Основной ассортимент</v>
          </cell>
        </row>
        <row r="1031">
          <cell r="A1031">
            <v>36694</v>
          </cell>
          <cell r="B1031" t="str">
            <v>Стеллаж Zett с 2 дверками Бетон 730х1757х266</v>
          </cell>
          <cell r="C1031" t="str">
            <v>Загашева</v>
          </cell>
          <cell r="D1031" t="str">
            <v>СТЕЛЛАЖИ</v>
          </cell>
          <cell r="E1031" t="str">
            <v>FBO</v>
          </cell>
          <cell r="F1031" t="str">
            <v>Стеллаж Zett с 2 дверками  730х1757х266</v>
          </cell>
          <cell r="G1031" t="str">
            <v>Бетон</v>
          </cell>
          <cell r="H1031" t="str">
            <v>2521897952929</v>
          </cell>
          <cell r="I1031" t="str">
            <v>Основной ассортимент</v>
          </cell>
        </row>
        <row r="1032">
          <cell r="A1032">
            <v>9420</v>
          </cell>
          <cell r="B1032" t="str">
            <v>Стеллаж 6 секций Лайт Дуб сонома 1074х720х330</v>
          </cell>
          <cell r="C1032" t="str">
            <v>Загашева</v>
          </cell>
          <cell r="D1032" t="str">
            <v>СТЕЛЛАЖИ</v>
          </cell>
          <cell r="E1032" t="str">
            <v>FBO</v>
          </cell>
          <cell r="F1032" t="str">
            <v>Стеллаж 6 секций Лайт  1074х720х330</v>
          </cell>
          <cell r="G1032" t="str">
            <v>Дуб сонома</v>
          </cell>
          <cell r="H1032" t="str">
            <v>2521897952524</v>
          </cell>
          <cell r="I1032" t="str">
            <v>Основной ассортимент</v>
          </cell>
        </row>
        <row r="1033">
          <cell r="A1033">
            <v>9418</v>
          </cell>
          <cell r="B1033" t="str">
            <v>Стеллаж 6 секций Лайт Белое тиснение 1074х720х330</v>
          </cell>
          <cell r="C1033" t="str">
            <v>Загашева</v>
          </cell>
          <cell r="D1033" t="str">
            <v>СТЕЛЛАЖИ</v>
          </cell>
          <cell r="E1033" t="str">
            <v>FBO</v>
          </cell>
          <cell r="F1033" t="str">
            <v>Стеллаж 6 секций Лайт  1074х720х330</v>
          </cell>
          <cell r="G1033" t="str">
            <v>Белое тиснение</v>
          </cell>
          <cell r="H1033" t="str">
            <v>2521897952520</v>
          </cell>
          <cell r="I1033" t="str">
            <v>Основной ассортимент</v>
          </cell>
        </row>
        <row r="1034">
          <cell r="A1034">
            <v>9419</v>
          </cell>
          <cell r="B1034" t="str">
            <v>Стеллаж 6 секций Лайт Венге 1074х720х330</v>
          </cell>
          <cell r="C1034" t="str">
            <v>Загашева</v>
          </cell>
          <cell r="D1034" t="str">
            <v>СТЕЛЛАЖИ</v>
          </cell>
          <cell r="E1034" t="str">
            <v>FBO</v>
          </cell>
          <cell r="F1034" t="str">
            <v>Стеллаж 6 секций Лайт  1074х720х330</v>
          </cell>
          <cell r="G1034" t="str">
            <v>Венге</v>
          </cell>
          <cell r="H1034" t="str">
            <v>2521897952521</v>
          </cell>
          <cell r="I1034" t="str">
            <v>Основной ассортимент</v>
          </cell>
        </row>
        <row r="1035">
          <cell r="A1035" t="str">
            <v>MK1100101</v>
          </cell>
          <cell r="B1035" t="str">
            <v>Стеллаж этажерка Tokyo ЛДСП Дуб Вотан, Черн. металл. 580х1544(h)х320</v>
          </cell>
          <cell r="C1035" t="str">
            <v>Зимакова</v>
          </cell>
          <cell r="D1035" t="str">
            <v>СТЕЛЛАЖИ</v>
          </cell>
          <cell r="E1035" t="str">
            <v>FBS</v>
          </cell>
          <cell r="F1035" t="str">
            <v>Стеллаж этажерка Tokyo  580х1544(h)х320</v>
          </cell>
          <cell r="G1035" t="str">
            <v>ЛДСП Дуб Вотан, Черн. металл.</v>
          </cell>
          <cell r="H1035" t="str">
            <v>2521897952634</v>
          </cell>
          <cell r="I1035" t="str">
            <v>Основной ассортимент</v>
          </cell>
        </row>
        <row r="1036">
          <cell r="A1036">
            <v>3030</v>
          </cell>
          <cell r="B1036" t="str">
            <v>Столик придиванный Белое тиснение 470х600х300</v>
          </cell>
          <cell r="C1036" t="str">
            <v>Леонтьева</v>
          </cell>
          <cell r="D1036" t="str">
            <v>СТОЛИКИ ЖУРНАЛЬНЫЕ</v>
          </cell>
          <cell r="E1036" t="str">
            <v>FBO</v>
          </cell>
          <cell r="F1036" t="str">
            <v>Столик придиванный  470х600х300</v>
          </cell>
          <cell r="G1036" t="str">
            <v>Белое тиснение</v>
          </cell>
          <cell r="H1036" t="str">
            <v>2520000002220</v>
          </cell>
          <cell r="I1036" t="str">
            <v>Основной ассортимент</v>
          </cell>
        </row>
        <row r="1037">
          <cell r="A1037">
            <v>3031</v>
          </cell>
          <cell r="B1037" t="str">
            <v>Столик придиванный Венге 470х600х300</v>
          </cell>
          <cell r="C1037" t="str">
            <v>Леонтьева</v>
          </cell>
          <cell r="D1037" t="str">
            <v>СТОЛИКИ ЖУРНАЛЬНЫЕ</v>
          </cell>
          <cell r="E1037" t="str">
            <v>FBO</v>
          </cell>
          <cell r="F1037" t="str">
            <v>Столик придиванный  470х600х300</v>
          </cell>
          <cell r="G1037" t="str">
            <v>Венге</v>
          </cell>
          <cell r="H1037" t="str">
            <v>2520000005215</v>
          </cell>
          <cell r="I1037" t="str">
            <v>Основной ассортимент</v>
          </cell>
        </row>
        <row r="1038">
          <cell r="A1038">
            <v>2852</v>
          </cell>
          <cell r="B1038" t="str">
            <v>Столик придиванный Дуб Сонома 470х600х300</v>
          </cell>
          <cell r="C1038" t="str">
            <v>Леонтьева</v>
          </cell>
          <cell r="D1038" t="str">
            <v>СТОЛИКИ ЖУРНАЛЬНЫЕ</v>
          </cell>
          <cell r="E1038" t="str">
            <v>FBO</v>
          </cell>
          <cell r="F1038" t="str">
            <v>Столик придиванный  470х600х300</v>
          </cell>
          <cell r="G1038" t="str">
            <v>Дуб сонома</v>
          </cell>
          <cell r="H1038" t="str">
            <v>2520000000800</v>
          </cell>
          <cell r="I1038" t="str">
            <v>Основной ассортимент</v>
          </cell>
        </row>
        <row r="1039">
          <cell r="A1039">
            <v>94171</v>
          </cell>
          <cell r="B1039" t="str">
            <v>Стеллаж 6 секций Лайт Дуб Крафт белый</v>
          </cell>
          <cell r="C1039" t="str">
            <v>Загашева</v>
          </cell>
          <cell r="D1039" t="str">
            <v>СТЕЛЛАЖИ</v>
          </cell>
          <cell r="E1039" t="str">
            <v>FBO</v>
          </cell>
          <cell r="F1039" t="str">
            <v>Стеллаж 6 секций Лайт  1074х720х330</v>
          </cell>
          <cell r="G1039" t="str">
            <v>Дуб Крафт Белый</v>
          </cell>
          <cell r="H1039" t="str">
            <v>2521897952658</v>
          </cell>
          <cell r="I1039" t="str">
            <v>Основной ассортимент</v>
          </cell>
        </row>
        <row r="1040">
          <cell r="A1040">
            <v>94172</v>
          </cell>
          <cell r="B1040" t="str">
            <v>Стеллаж 6 секций Лайт Дуб Крафт золотой</v>
          </cell>
          <cell r="C1040" t="str">
            <v>Загашева</v>
          </cell>
          <cell r="D1040" t="str">
            <v>СТЕЛЛАЖИ</v>
          </cell>
          <cell r="E1040" t="str">
            <v>FBO</v>
          </cell>
          <cell r="F1040" t="str">
            <v>Стеллаж 6 секций Лайт  1074х720х330</v>
          </cell>
          <cell r="G1040" t="str">
            <v>Дуб Крафт золотой</v>
          </cell>
          <cell r="H1040" t="str">
            <v>2521897952659</v>
          </cell>
          <cell r="I1040" t="str">
            <v>Основной ассортимент</v>
          </cell>
        </row>
        <row r="1041">
          <cell r="A1041">
            <v>90044775</v>
          </cell>
          <cell r="B1041" t="str">
            <v>Стеллаж Hardy Лайт 2 Дуб Сонома</v>
          </cell>
          <cell r="C1041" t="str">
            <v>Загашева</v>
          </cell>
          <cell r="D1041" t="str">
            <v>СТЕЛЛАЖИ</v>
          </cell>
          <cell r="E1041" t="str">
            <v>FBO</v>
          </cell>
          <cell r="F1041" t="str">
            <v>Стеллаж Hardy Лайт 2</v>
          </cell>
          <cell r="G1041" t="str">
            <v>Дуб сонома</v>
          </cell>
          <cell r="H1041" t="str">
            <v>2521897952768</v>
          </cell>
          <cell r="I1041" t="str">
            <v>Основной ассортимент</v>
          </cell>
        </row>
        <row r="1042">
          <cell r="A1042">
            <v>90044777</v>
          </cell>
          <cell r="B1042" t="str">
            <v>Стеллаж Hardy Лайт 2 Дуб Крафт золотой</v>
          </cell>
          <cell r="C1042" t="str">
            <v>Загашева</v>
          </cell>
          <cell r="D1042" t="str">
            <v>СТЕЛЛАЖИ</v>
          </cell>
          <cell r="E1042" t="str">
            <v>FBO</v>
          </cell>
          <cell r="F1042" t="str">
            <v>Стеллаж Hardy Лайт 2</v>
          </cell>
          <cell r="G1042" t="str">
            <v>Дуб Крафт золотой</v>
          </cell>
          <cell r="H1042" t="str">
            <v>2521897952770</v>
          </cell>
          <cell r="I1042" t="str">
            <v>Основной ассортимент</v>
          </cell>
        </row>
        <row r="1043">
          <cell r="A1043">
            <v>80317945</v>
          </cell>
          <cell r="B1043" t="str">
            <v>Стеллаж Hardy Лайт 2 Белый</v>
          </cell>
          <cell r="C1043" t="str">
            <v>Загашева</v>
          </cell>
          <cell r="D1043" t="str">
            <v>СТЕЛЛАЖИ</v>
          </cell>
          <cell r="E1043" t="str">
            <v>FBO</v>
          </cell>
          <cell r="F1043" t="str">
            <v>Стеллаж Hardy Лайт 2</v>
          </cell>
          <cell r="G1043" t="str">
            <v>Белое тиснение</v>
          </cell>
          <cell r="H1043" t="str">
            <v>2521897952767</v>
          </cell>
          <cell r="I1043" t="str">
            <v>Основной ассортимент</v>
          </cell>
        </row>
        <row r="1044">
          <cell r="A1044">
            <v>3609</v>
          </cell>
          <cell r="B1044" t="str">
            <v>Столик придиванный Бетон 470х600х300</v>
          </cell>
          <cell r="C1044" t="str">
            <v>Леонтьева</v>
          </cell>
          <cell r="D1044" t="str">
            <v>СТОЛИКИ ЖУРНАЛЬНЫЕ</v>
          </cell>
          <cell r="E1044" t="str">
            <v>FBO</v>
          </cell>
          <cell r="F1044" t="str">
            <v>Столик придиванный  470х600х300</v>
          </cell>
          <cell r="G1044" t="str">
            <v>Бетон</v>
          </cell>
          <cell r="H1044" t="str">
            <v>4660041008944</v>
          </cell>
          <cell r="I1044" t="str">
            <v>Основной ассортимент</v>
          </cell>
        </row>
        <row r="1045">
          <cell r="A1045">
            <v>40217946</v>
          </cell>
          <cell r="B1045" t="str">
            <v>Стеллаж Hardy Лайт 2 с дверками Белый</v>
          </cell>
          <cell r="C1045" t="str">
            <v>Загашева</v>
          </cell>
          <cell r="D1045" t="str">
            <v>СТЕЛЛАЖИ</v>
          </cell>
          <cell r="E1045" t="str">
            <v>FBO</v>
          </cell>
          <cell r="F1045" t="str">
            <v>Стеллаж Hardy Лайт 2 с дверками</v>
          </cell>
          <cell r="G1045" t="str">
            <v>Белое тиснение</v>
          </cell>
          <cell r="H1045" t="str">
            <v>2521897952808</v>
          </cell>
          <cell r="I1045" t="str">
            <v>Основной ассортимент</v>
          </cell>
        </row>
        <row r="1046">
          <cell r="A1046">
            <v>70217949</v>
          </cell>
          <cell r="B1046" t="str">
            <v>Стеллаж Hardy Лайт 2 с дверками Дуб Крафт Белый</v>
          </cell>
          <cell r="C1046" t="str">
            <v>Загашева</v>
          </cell>
          <cell r="D1046" t="str">
            <v>СТЕЛЛАЖИ</v>
          </cell>
          <cell r="E1046" t="str">
            <v>FBO</v>
          </cell>
          <cell r="F1046" t="str">
            <v>Стеллаж Hardy Лайт 2 с дверками</v>
          </cell>
          <cell r="G1046" t="str">
            <v>Дуб Крафт Белый</v>
          </cell>
          <cell r="H1046" t="str">
            <v>2521897952811</v>
          </cell>
          <cell r="I1046" t="str">
            <v>Основной ассортимент</v>
          </cell>
        </row>
        <row r="1047">
          <cell r="A1047">
            <v>70217947</v>
          </cell>
          <cell r="B1047" t="str">
            <v>Стеллаж Hardy Лайт 2 с дверками Венге</v>
          </cell>
          <cell r="C1047" t="str">
            <v>Загашева</v>
          </cell>
          <cell r="D1047" t="str">
            <v>СТЕЛЛАЖИ</v>
          </cell>
          <cell r="E1047" t="str">
            <v>FBO</v>
          </cell>
          <cell r="F1047" t="str">
            <v>Стеллаж Hardy Лайт 2 с дверками</v>
          </cell>
          <cell r="G1047" t="str">
            <v>Венге</v>
          </cell>
          <cell r="H1047" t="str">
            <v>2521897952807</v>
          </cell>
          <cell r="I1047" t="str">
            <v>Основной ассортимент</v>
          </cell>
        </row>
        <row r="1048">
          <cell r="A1048">
            <v>70044776</v>
          </cell>
          <cell r="B1048" t="str">
            <v>Стеллаж Hardy Лайт 2 с дверками Дуб сонома</v>
          </cell>
          <cell r="C1048" t="str">
            <v>Загашева</v>
          </cell>
          <cell r="D1048" t="str">
            <v>СТЕЛЛАЖИ</v>
          </cell>
          <cell r="E1048" t="str">
            <v>FBO</v>
          </cell>
          <cell r="F1048" t="str">
            <v>Стеллаж Hardy Лайт 2 с дверками</v>
          </cell>
          <cell r="G1048" t="str">
            <v>Дуб сонома</v>
          </cell>
          <cell r="H1048" t="str">
            <v>2521897952809</v>
          </cell>
          <cell r="I1048" t="str">
            <v>Основной ассортимент</v>
          </cell>
        </row>
        <row r="1049">
          <cell r="A1049">
            <v>14014</v>
          </cell>
          <cell r="B1049" t="str">
            <v>Стеллаж  Пакс с ящиками Белое тиснение</v>
          </cell>
          <cell r="C1049" t="str">
            <v>Загашева</v>
          </cell>
          <cell r="D1049" t="str">
            <v>СТЕЛЛАЖИ</v>
          </cell>
          <cell r="E1049" t="str">
            <v>СКГТ (ОЗОН)</v>
          </cell>
          <cell r="F1049" t="str">
            <v>Cтеллаж  Пакс с ящиками</v>
          </cell>
          <cell r="G1049" t="str">
            <v>Белое тиснение</v>
          </cell>
          <cell r="H1049" t="str">
            <v>2521897952739</v>
          </cell>
          <cell r="I1049" t="str">
            <v>Основной ассортимент</v>
          </cell>
        </row>
        <row r="1050">
          <cell r="A1050">
            <v>135602</v>
          </cell>
          <cell r="B1050" t="str">
            <v>Стол журнальный "Комфорт" (серия 2) Белое тиснение</v>
          </cell>
          <cell r="C1050" t="str">
            <v>Леонтьева</v>
          </cell>
          <cell r="D1050" t="str">
            <v>СТОЛИКИ ЖУРНАЛЬНЫЕ</v>
          </cell>
          <cell r="E1050" t="str">
            <v>FBO</v>
          </cell>
          <cell r="F1050" t="str">
            <v xml:space="preserve">Стол журнальный "Комфорт" (серия 2) </v>
          </cell>
          <cell r="G1050" t="str">
            <v>Белое тиснение</v>
          </cell>
          <cell r="H1050" t="str">
            <v>2521897953139</v>
          </cell>
          <cell r="I1050" t="str">
            <v>Основной ассортимент</v>
          </cell>
        </row>
        <row r="1051">
          <cell r="A1051">
            <v>90217949</v>
          </cell>
          <cell r="B1051" t="str">
            <v>Стеллаж Hardy Лайт 2 Бетон</v>
          </cell>
          <cell r="C1051" t="str">
            <v>Загашева</v>
          </cell>
          <cell r="D1051" t="str">
            <v>СТЕЛЛАЖИ</v>
          </cell>
          <cell r="E1051" t="str">
            <v>FBO</v>
          </cell>
          <cell r="F1051" t="str">
            <v>Стеллаж Hardy Лайт 2</v>
          </cell>
          <cell r="G1051" t="str">
            <v>Бетон</v>
          </cell>
          <cell r="H1051" t="str">
            <v>2521897952948</v>
          </cell>
          <cell r="I1051" t="str">
            <v>Основной ассортимент</v>
          </cell>
        </row>
        <row r="1052">
          <cell r="A1052">
            <v>94172</v>
          </cell>
          <cell r="B1052" t="str">
            <v>Стеллаж 6 секций Лайт Дуб Крафт золотой (серия 2)</v>
          </cell>
          <cell r="C1052" t="str">
            <v>Загашева</v>
          </cell>
          <cell r="D1052" t="str">
            <v>СТЕЛЛАЖИ</v>
          </cell>
          <cell r="E1052" t="str">
            <v>FBO</v>
          </cell>
          <cell r="F1052" t="str">
            <v>Стеллаж 6 секций Лайт (серия 2)</v>
          </cell>
          <cell r="G1052" t="str">
            <v>Дуб Крафт золотой</v>
          </cell>
          <cell r="H1052" t="str">
            <v>2521897952659</v>
          </cell>
          <cell r="I1052" t="str">
            <v>Основной ассортимент</v>
          </cell>
        </row>
        <row r="1053">
          <cell r="A1053">
            <v>94171</v>
          </cell>
          <cell r="B1053" t="str">
            <v>Стеллаж 6 секций Лайт Дуб Крафт белый (серия 2)</v>
          </cell>
          <cell r="C1053" t="str">
            <v>Загашева</v>
          </cell>
          <cell r="D1053" t="str">
            <v>СТЕЛЛАЖИ</v>
          </cell>
          <cell r="E1053" t="str">
            <v>FBO</v>
          </cell>
          <cell r="F1053" t="str">
            <v>Стеллаж 6 секций Лайт (серия 2)</v>
          </cell>
          <cell r="G1053" t="str">
            <v>Дуб Крафт Белый</v>
          </cell>
          <cell r="H1053" t="str">
            <v>2521897952658</v>
          </cell>
          <cell r="I1053" t="str">
            <v>Основной ассортимент</v>
          </cell>
        </row>
        <row r="1054">
          <cell r="A1054">
            <v>9418</v>
          </cell>
          <cell r="B1054" t="str">
            <v>Стеллаж 6 секций Лайт Белое тиснение 1074х720х330 (серия 2)</v>
          </cell>
          <cell r="C1054" t="str">
            <v>Загашева</v>
          </cell>
          <cell r="D1054" t="str">
            <v>СТЕЛЛАЖИ</v>
          </cell>
          <cell r="E1054" t="str">
            <v>FBO</v>
          </cell>
          <cell r="F1054" t="str">
            <v>Стеллаж 6 секций Лайт (серия 2)</v>
          </cell>
          <cell r="G1054" t="str">
            <v>Белое тиснение</v>
          </cell>
          <cell r="H1054" t="str">
            <v>2521897952520</v>
          </cell>
          <cell r="I1054" t="str">
            <v>Основной ассортимент</v>
          </cell>
        </row>
        <row r="1055">
          <cell r="A1055">
            <v>9419</v>
          </cell>
          <cell r="B1055" t="str">
            <v>Стеллаж 6 секций Лайт Венге 1074х720х330 (серия 2)</v>
          </cell>
          <cell r="C1055" t="str">
            <v>Загашева</v>
          </cell>
          <cell r="D1055" t="str">
            <v>СТЕЛЛАЖИ</v>
          </cell>
          <cell r="E1055" t="str">
            <v>FBO</v>
          </cell>
          <cell r="F1055" t="str">
            <v>Стеллаж 6 секций Лайт (серия 2)</v>
          </cell>
          <cell r="G1055" t="str">
            <v>Венге</v>
          </cell>
          <cell r="H1055" t="str">
            <v>2521897952521</v>
          </cell>
          <cell r="I1055" t="str">
            <v>Основной ассортимент</v>
          </cell>
        </row>
        <row r="1056">
          <cell r="A1056">
            <v>4082</v>
          </cell>
          <cell r="B1056" t="str">
            <v>Стеллаж Quatrro 4 секции Бетон 362х1396х280</v>
          </cell>
          <cell r="C1056" t="str">
            <v>Зимакова</v>
          </cell>
          <cell r="D1056" t="str">
            <v>СТЕЛЛАЖИ</v>
          </cell>
          <cell r="E1056" t="str">
            <v>FBO</v>
          </cell>
          <cell r="F1056" t="str">
            <v>Стеллаж Quattro 4 секции  362х1396х280</v>
          </cell>
          <cell r="G1056" t="str">
            <v>Бетон</v>
          </cell>
          <cell r="H1056" t="str">
            <v>2521897953039</v>
          </cell>
          <cell r="I1056" t="str">
            <v>Основной ассортимент</v>
          </cell>
        </row>
        <row r="1057">
          <cell r="A1057">
            <v>135557</v>
          </cell>
          <cell r="B1057" t="str">
            <v>Стеллаж Hardy широкий Белое тиснение</v>
          </cell>
          <cell r="C1057" t="str">
            <v>Загашева</v>
          </cell>
          <cell r="D1057" t="str">
            <v>СТЕЛЛАЖИ</v>
          </cell>
          <cell r="E1057" t="str">
            <v>СКГТ</v>
          </cell>
          <cell r="F1057" t="str">
            <v>Стеллаж Hardy широкий</v>
          </cell>
          <cell r="G1057" t="str">
            <v>Белое тиснение</v>
          </cell>
          <cell r="H1057" t="str">
            <v>2521897952859</v>
          </cell>
          <cell r="I1057" t="str">
            <v>Основной ассортимент</v>
          </cell>
        </row>
        <row r="1058">
          <cell r="A1058">
            <v>2611</v>
          </cell>
          <cell r="B1058" t="str">
            <v>Стеллаж Zett Ультра Белое тиснение 730х1757х250</v>
          </cell>
          <cell r="C1058" t="str">
            <v>Загашева</v>
          </cell>
          <cell r="D1058" t="str">
            <v>СТЕЛЛАЖИ</v>
          </cell>
          <cell r="E1058" t="str">
            <v>FBO</v>
          </cell>
          <cell r="F1058" t="str">
            <v>Стеллаж Zett Ультра  730х1757х250</v>
          </cell>
          <cell r="G1058" t="str">
            <v>Белое тиснение</v>
          </cell>
          <cell r="H1058" t="str">
            <v>2520000000282</v>
          </cell>
          <cell r="I1058" t="str">
            <v>Основной ассортимент</v>
          </cell>
        </row>
        <row r="1059">
          <cell r="A1059">
            <v>2612</v>
          </cell>
          <cell r="B1059" t="str">
            <v>Стеллаж Zett Ультра Венге 730х1757х250</v>
          </cell>
          <cell r="C1059" t="str">
            <v>Загашева</v>
          </cell>
          <cell r="D1059" t="str">
            <v>СТЕЛЛАЖИ</v>
          </cell>
          <cell r="E1059" t="str">
            <v>FBO</v>
          </cell>
          <cell r="F1059" t="str">
            <v>Стеллаж Zett Ультра  730х1757х250</v>
          </cell>
          <cell r="G1059" t="str">
            <v>Венге</v>
          </cell>
          <cell r="H1059" t="str">
            <v>2520000000299</v>
          </cell>
          <cell r="I1059" t="str">
            <v>Основной ассортимент</v>
          </cell>
        </row>
        <row r="1060">
          <cell r="A1060">
            <v>2613</v>
          </cell>
          <cell r="B1060" t="str">
            <v>Стеллаж Zett Ультра Дуб сонома 730х1757х250</v>
          </cell>
          <cell r="C1060" t="str">
            <v>Загашева</v>
          </cell>
          <cell r="D1060" t="str">
            <v>СТЕЛЛАЖИ</v>
          </cell>
          <cell r="E1060" t="str">
            <v>FBO</v>
          </cell>
          <cell r="F1060" t="str">
            <v>Стеллаж Zett Ультра  730х1757х250</v>
          </cell>
          <cell r="G1060" t="str">
            <v>Дуб сонома</v>
          </cell>
          <cell r="H1060" t="str">
            <v>2520000000305</v>
          </cell>
          <cell r="I1060" t="str">
            <v>Основной ассортимент</v>
          </cell>
        </row>
        <row r="1061">
          <cell r="A1061">
            <v>3057</v>
          </cell>
          <cell r="B1061" t="str">
            <v>Стеллаж Zett Ультра Черный 730х1757х250</v>
          </cell>
          <cell r="C1061" t="str">
            <v>Загашева</v>
          </cell>
          <cell r="D1061" t="str">
            <v>СТЕЛЛАЖИ</v>
          </cell>
          <cell r="E1061" t="str">
            <v>FBO</v>
          </cell>
          <cell r="F1061" t="str">
            <v>Стеллаж Zett Ультра  730х1757х250</v>
          </cell>
          <cell r="G1061" t="str">
            <v>Черный</v>
          </cell>
          <cell r="H1061" t="str">
            <v>2520897922316</v>
          </cell>
          <cell r="I1061" t="str">
            <v>Основной ассортимент</v>
          </cell>
        </row>
        <row r="1062">
          <cell r="A1062">
            <v>2496</v>
          </cell>
          <cell r="B1062" t="str">
            <v>Стол компьютерный с 2 ящиками Ультра Белое тиснение 900х750х450</v>
          </cell>
          <cell r="C1062" t="str">
            <v>Перепечаева</v>
          </cell>
          <cell r="D1062" t="str">
            <v>СТОЛЫ</v>
          </cell>
          <cell r="E1062" t="str">
            <v>FBS</v>
          </cell>
          <cell r="F1062" t="str">
            <v>Стол компьютерный с 2 ящиками  900х750х450</v>
          </cell>
          <cell r="G1062" t="str">
            <v>Белое тиснение</v>
          </cell>
          <cell r="H1062" t="str">
            <v>2520000001067</v>
          </cell>
          <cell r="I1062" t="str">
            <v>Основной ассортимент</v>
          </cell>
        </row>
        <row r="1063">
          <cell r="A1063">
            <v>3669</v>
          </cell>
          <cell r="B1063" t="str">
            <v>Стеллаж Zett с 2 дверками Белое тиснение 730х1757х266</v>
          </cell>
          <cell r="C1063" t="str">
            <v>Загашева</v>
          </cell>
          <cell r="D1063" t="str">
            <v>СТЕЛЛАЖИ</v>
          </cell>
          <cell r="E1063" t="str">
            <v>FBO</v>
          </cell>
          <cell r="F1063" t="str">
            <v>Стеллаж Zett с 2 дверками  730х1757х266</v>
          </cell>
          <cell r="G1063" t="str">
            <v>Белое тиснение</v>
          </cell>
          <cell r="H1063" t="str">
            <v>2521897952620</v>
          </cell>
          <cell r="I1063" t="str">
            <v>Основной ассортимент</v>
          </cell>
        </row>
        <row r="1064">
          <cell r="A1064">
            <v>3671</v>
          </cell>
          <cell r="B1064" t="str">
            <v>Стеллаж Zett с 2 дверками Венге 730х1757х266</v>
          </cell>
          <cell r="C1064" t="str">
            <v>Загашева</v>
          </cell>
          <cell r="D1064" t="str">
            <v>СТЕЛЛАЖИ</v>
          </cell>
          <cell r="E1064" t="str">
            <v>FBO</v>
          </cell>
          <cell r="F1064" t="str">
            <v>Стеллаж Zett с 2 дверками  730х1757х266</v>
          </cell>
          <cell r="G1064" t="str">
            <v>Венге</v>
          </cell>
          <cell r="H1064" t="str">
            <v>2521897952622</v>
          </cell>
          <cell r="I1064" t="str">
            <v>Основной ассортимент</v>
          </cell>
        </row>
        <row r="1065">
          <cell r="A1065">
            <v>3670</v>
          </cell>
          <cell r="B1065" t="str">
            <v>Стеллаж Zett с 2 дверками Дуб сонома 730х1757х266</v>
          </cell>
          <cell r="C1065" t="str">
            <v>Загашева</v>
          </cell>
          <cell r="D1065" t="str">
            <v>СТЕЛЛАЖИ</v>
          </cell>
          <cell r="E1065" t="str">
            <v>FBO</v>
          </cell>
          <cell r="F1065" t="str">
            <v>Стеллаж Zett с 2 дверками  730х1757х266</v>
          </cell>
          <cell r="G1065" t="str">
            <v>Дуб сонома</v>
          </cell>
          <cell r="H1065" t="str">
            <v>2521897952621</v>
          </cell>
          <cell r="I1065" t="str">
            <v>Основной ассортимент</v>
          </cell>
        </row>
        <row r="1066">
          <cell r="A1066">
            <v>36691</v>
          </cell>
          <cell r="B1066" t="str">
            <v>Стеллаж Zett с 2 дверками Дуб Крафт белый 730х1757х266</v>
          </cell>
          <cell r="C1066" t="str">
            <v>Загашева</v>
          </cell>
          <cell r="D1066" t="str">
            <v>СТЕЛЛАЖИ</v>
          </cell>
          <cell r="E1066" t="str">
            <v>FBO</v>
          </cell>
          <cell r="F1066" t="str">
            <v>Стеллаж Zett с 2 дверками  730х1757х266</v>
          </cell>
          <cell r="G1066" t="str">
            <v>Дуб Крафт Белый</v>
          </cell>
          <cell r="H1066" t="str">
            <v>2521897952652</v>
          </cell>
          <cell r="I1066" t="str">
            <v>Основной ассортимент</v>
          </cell>
        </row>
        <row r="1067">
          <cell r="A1067">
            <v>36701</v>
          </cell>
          <cell r="B1067" t="str">
            <v>Стеллаж Zett с 2 дверками Дуб Крафт золотой</v>
          </cell>
          <cell r="C1067" t="str">
            <v>Загашева</v>
          </cell>
          <cell r="D1067" t="str">
            <v>СТЕЛЛАЖИ</v>
          </cell>
          <cell r="E1067" t="str">
            <v>FBO</v>
          </cell>
          <cell r="F1067" t="str">
            <v>Стеллаж Zett с 2 дверками  730х1757х266</v>
          </cell>
          <cell r="G1067" t="str">
            <v>Дуб Крафт золотой</v>
          </cell>
          <cell r="H1067" t="str">
            <v>2521897952653</v>
          </cell>
          <cell r="I1067" t="str">
            <v>Основной ассортимент</v>
          </cell>
        </row>
        <row r="1068">
          <cell r="A1068" t="str">
            <v>MK1260101</v>
          </cell>
          <cell r="B1068" t="str">
            <v>Стеллаж Tokyo lite ЛДСП Дуб Вотан, Черн. металл. 752х1520(h)х290</v>
          </cell>
          <cell r="C1068" t="str">
            <v>Зимакова</v>
          </cell>
          <cell r="D1068" t="str">
            <v>СТЕЛЛАЖИ</v>
          </cell>
          <cell r="E1068" t="str">
            <v>FBS</v>
          </cell>
          <cell r="F1068" t="str">
            <v>Стеллаж Tokyo lite  752х1520(h)х290</v>
          </cell>
          <cell r="G1068" t="str">
            <v>ЛДСП Дуб Вотан, Черн. металл.</v>
          </cell>
          <cell r="H1068" t="str">
            <v>2521897952681</v>
          </cell>
          <cell r="I1068" t="str">
            <v>Основной ассортимент</v>
          </cell>
        </row>
        <row r="1069">
          <cell r="A1069" t="str">
            <v>MK1270101</v>
          </cell>
          <cell r="B1069" t="str">
            <v>Стеллаж Tokyo угловой ЛДСП Дуб Вотан, Черн. металл. 470х1758(h)х232</v>
          </cell>
          <cell r="C1069" t="str">
            <v>Зимакова</v>
          </cell>
          <cell r="D1069" t="str">
            <v>СТЕЛЛАЖИ</v>
          </cell>
          <cell r="E1069" t="str">
            <v>FBS</v>
          </cell>
          <cell r="F1069" t="str">
            <v>Стеллаж Tokyo угловой</v>
          </cell>
          <cell r="G1069" t="str">
            <v>ЛДСП Дуб Вотан, Черн. металл.</v>
          </cell>
          <cell r="H1069" t="str">
            <v>4660041007008</v>
          </cell>
          <cell r="I1069" t="str">
            <v>Основной ассортимент</v>
          </cell>
        </row>
        <row r="1070">
          <cell r="A1070" t="str">
            <v>MK1440101</v>
          </cell>
          <cell r="B1070" t="str">
            <v>Стеллаж Frame комбинирован. ЛДСП Дуб Вотан, Черн. металл. 712х1550(h)х278</v>
          </cell>
          <cell r="C1070" t="str">
            <v>Загашева</v>
          </cell>
          <cell r="D1070" t="str">
            <v>СТЕЛЛАЖИ</v>
          </cell>
          <cell r="E1070" t="str">
            <v>FBS</v>
          </cell>
          <cell r="F1070" t="str">
            <v>Стеллаж Frame комбинирован.  712х1550(h)х278</v>
          </cell>
          <cell r="G1070" t="str">
            <v>ЛДСП Дуб Вотан, Черн. металл.</v>
          </cell>
          <cell r="H1070" t="str">
            <v>2521897952689</v>
          </cell>
          <cell r="I1070" t="str">
            <v>Основной ассортимент</v>
          </cell>
        </row>
        <row r="1071">
          <cell r="A1071">
            <v>2615</v>
          </cell>
          <cell r="B1071" t="str">
            <v>Стеллаж Zett Ультра Дуб Крафт Золотой 730х1757х250</v>
          </cell>
          <cell r="C1071" t="str">
            <v>Загашева</v>
          </cell>
          <cell r="D1071" t="str">
            <v>СТЕЛЛАЖИ</v>
          </cell>
          <cell r="E1071" t="str">
            <v>FBO</v>
          </cell>
          <cell r="F1071" t="str">
            <v>Стеллаж Zett Ультра  730х1757х250</v>
          </cell>
          <cell r="G1071" t="str">
            <v>Дуб Крафт золотой</v>
          </cell>
          <cell r="H1071" t="str">
            <v>2521897952704</v>
          </cell>
          <cell r="I1071" t="str">
            <v>Основной ассортимент</v>
          </cell>
        </row>
        <row r="1072">
          <cell r="A1072">
            <v>135570</v>
          </cell>
          <cell r="B1072" t="str">
            <v>Стеллаж Hardy узкий дуб крафт белый</v>
          </cell>
          <cell r="C1072" t="str">
            <v>Загашева</v>
          </cell>
          <cell r="D1072" t="str">
            <v>СТЕЛЛАЖИ</v>
          </cell>
          <cell r="E1072" t="str">
            <v>FBO</v>
          </cell>
          <cell r="F1072" t="str">
            <v>Стеллаж Hardy узкий</v>
          </cell>
          <cell r="G1072" t="str">
            <v>Дуб Крафт Белый</v>
          </cell>
          <cell r="H1072" t="str">
            <v>2521897952875</v>
          </cell>
          <cell r="I1072" t="str">
            <v>Основной ассортимент</v>
          </cell>
        </row>
        <row r="1073">
          <cell r="A1073">
            <v>3035</v>
          </cell>
          <cell r="B1073" t="str">
            <v>Стол письменный Рейн на 800 Белое тиснение 800х750х550</v>
          </cell>
          <cell r="C1073" t="str">
            <v>Перепечаева</v>
          </cell>
          <cell r="D1073" t="str">
            <v>СТОЛЫ</v>
          </cell>
          <cell r="E1073" t="str">
            <v>FBO</v>
          </cell>
          <cell r="F1073" t="str">
            <v>Стол письменный Рейн  800х750х550</v>
          </cell>
          <cell r="G1073" t="str">
            <v>Белое тиснение</v>
          </cell>
          <cell r="H1073" t="str">
            <v>2520000002244</v>
          </cell>
          <cell r="I1073" t="str">
            <v>Основной ассортимент</v>
          </cell>
        </row>
        <row r="1074">
          <cell r="A1074">
            <v>135566</v>
          </cell>
          <cell r="B1074" t="str">
            <v>Стеллаж Hardy узкий белое тиснение</v>
          </cell>
          <cell r="C1074" t="str">
            <v>Загашева</v>
          </cell>
          <cell r="D1074" t="str">
            <v>СТЕЛЛАЖИ</v>
          </cell>
          <cell r="E1074" t="str">
            <v>FBO</v>
          </cell>
          <cell r="F1074" t="str">
            <v>Стеллаж Hardy узкий</v>
          </cell>
          <cell r="G1074" t="str">
            <v>Белое тиснение</v>
          </cell>
          <cell r="H1074" t="str">
            <v>2521897952871</v>
          </cell>
          <cell r="I1074" t="str">
            <v>Основной ассортимент</v>
          </cell>
        </row>
        <row r="1075">
          <cell r="A1075">
            <v>135567</v>
          </cell>
          <cell r="B1075" t="str">
            <v>Стеллаж Hardy узкий  дуб сонома</v>
          </cell>
          <cell r="C1075" t="str">
            <v>Загашева</v>
          </cell>
          <cell r="D1075" t="str">
            <v>СТЕЛЛАЖИ</v>
          </cell>
          <cell r="E1075" t="str">
            <v>FBO</v>
          </cell>
          <cell r="F1075" t="str">
            <v>Стеллаж Hardy узкий</v>
          </cell>
          <cell r="G1075" t="str">
            <v>Дуб сонома</v>
          </cell>
          <cell r="H1075" t="str">
            <v>2521897952872</v>
          </cell>
          <cell r="I1075" t="str">
            <v>Основной ассортимент</v>
          </cell>
        </row>
        <row r="1076">
          <cell r="A1076">
            <v>135568</v>
          </cell>
          <cell r="B1076" t="str">
            <v>Стеллаж Hardy узкий венге</v>
          </cell>
          <cell r="C1076" t="str">
            <v>Загашева</v>
          </cell>
          <cell r="D1076" t="str">
            <v>СТЕЛЛАЖИ</v>
          </cell>
          <cell r="E1076" t="str">
            <v>FBO</v>
          </cell>
          <cell r="F1076" t="str">
            <v>Стеллаж Hardy узкий</v>
          </cell>
          <cell r="G1076" t="str">
            <v>Венге</v>
          </cell>
          <cell r="H1076" t="str">
            <v>2521897952873</v>
          </cell>
          <cell r="I1076" t="str">
            <v>Основной ассортимент</v>
          </cell>
        </row>
        <row r="1077">
          <cell r="A1077">
            <v>3058</v>
          </cell>
          <cell r="B1077" t="str">
            <v>Стеллаж Zett Ультра Бетон 730х1757х250</v>
          </cell>
          <cell r="C1077" t="str">
            <v>Загашева</v>
          </cell>
          <cell r="D1077" t="str">
            <v>СТЕЛЛАЖИ</v>
          </cell>
          <cell r="E1077" t="str">
            <v>FBO</v>
          </cell>
          <cell r="F1077" t="str">
            <v>Стеллаж Zett Ультра  730х1757х250</v>
          </cell>
          <cell r="G1077" t="str">
            <v>Бетон</v>
          </cell>
          <cell r="H1077" t="str">
            <v>2521897952997</v>
          </cell>
          <cell r="I1077" t="str">
            <v>Основной ассортимент</v>
          </cell>
        </row>
        <row r="1078">
          <cell r="A1078">
            <v>135656</v>
          </cell>
          <cell r="B1078" t="str">
            <v>Стеллаж "Hardy узкий Бетон</v>
          </cell>
          <cell r="C1078" t="str">
            <v>Загашева</v>
          </cell>
          <cell r="D1078" t="str">
            <v>СТЕЛЛАЖИ</v>
          </cell>
          <cell r="E1078" t="str">
            <v>FBO</v>
          </cell>
          <cell r="F1078" t="str">
            <v>Стеллаж Hardy узкий</v>
          </cell>
          <cell r="G1078" t="str">
            <v>Бетон</v>
          </cell>
          <cell r="H1078" t="str">
            <v>2521897952975</v>
          </cell>
          <cell r="I1078" t="str">
            <v>Основной ассортимент</v>
          </cell>
        </row>
        <row r="1079">
          <cell r="A1079">
            <v>366941</v>
          </cell>
          <cell r="B1079" t="str">
            <v>Стеллаж Zett с дверками и с ручками Белое тиснение 730х1757х230</v>
          </cell>
          <cell r="C1079" t="str">
            <v>Загашева</v>
          </cell>
          <cell r="D1079" t="str">
            <v>СТЕЛЛАЖИ</v>
          </cell>
          <cell r="E1079" t="str">
            <v>FBO</v>
          </cell>
          <cell r="F1079" t="str">
            <v>Стеллаж Zett с дверками и с ручками  730х1757х230</v>
          </cell>
          <cell r="G1079" t="str">
            <v>Белое тиснение</v>
          </cell>
          <cell r="H1079" t="str">
            <v>2521897952932</v>
          </cell>
          <cell r="I1079" t="str">
            <v>Основной ассортимент</v>
          </cell>
        </row>
        <row r="1080">
          <cell r="A1080">
            <v>366942</v>
          </cell>
          <cell r="B1080" t="str">
            <v>Стеллаж Zett с дверками и с ручками Дуб сонома 730х1757х230</v>
          </cell>
          <cell r="C1080" t="str">
            <v>Загашева</v>
          </cell>
          <cell r="D1080" t="str">
            <v>СТЕЛЛАЖИ</v>
          </cell>
          <cell r="E1080" t="str">
            <v>FBO</v>
          </cell>
          <cell r="F1080" t="str">
            <v>Стеллаж Zett с дверками и с ручками  730х1757х230</v>
          </cell>
          <cell r="G1080" t="str">
            <v>Дуб сонома</v>
          </cell>
          <cell r="H1080" t="str">
            <v>2521897952933</v>
          </cell>
          <cell r="I1080" t="str">
            <v>Основной ассортимент</v>
          </cell>
        </row>
        <row r="1081">
          <cell r="A1081">
            <v>366943</v>
          </cell>
          <cell r="B1081" t="str">
            <v>Стеллаж Zett с дверками и с ручками Венге 730х1757х230</v>
          </cell>
          <cell r="C1081" t="str">
            <v>Загашева</v>
          </cell>
          <cell r="D1081" t="str">
            <v>СТЕЛЛАЖИ</v>
          </cell>
          <cell r="E1081" t="str">
            <v>FBO</v>
          </cell>
          <cell r="F1081" t="str">
            <v>Стеллаж Zett с дверками и с ручками  730х1757х230</v>
          </cell>
          <cell r="G1081" t="str">
            <v>Венге</v>
          </cell>
          <cell r="H1081" t="str">
            <v>2521897952934</v>
          </cell>
          <cell r="I1081" t="str">
            <v>Основной ассортимент</v>
          </cell>
        </row>
        <row r="1082">
          <cell r="A1082">
            <v>366945</v>
          </cell>
          <cell r="B1082" t="str">
            <v>Стеллаж Zett с дверками и с ручками Крафт золотой 730х1757х230</v>
          </cell>
          <cell r="C1082" t="str">
            <v>Загашева</v>
          </cell>
          <cell r="D1082" t="str">
            <v>СТЕЛЛАЖИ</v>
          </cell>
          <cell r="E1082" t="str">
            <v>FBO</v>
          </cell>
          <cell r="F1082" t="str">
            <v>Стеллаж Zett с дверками и с ручками  730х1757х230</v>
          </cell>
          <cell r="G1082" t="str">
            <v>Дуб Крафт золотой</v>
          </cell>
          <cell r="H1082" t="str">
            <v>2521897953008</v>
          </cell>
          <cell r="I1082" t="str">
            <v>Основной ассортимент</v>
          </cell>
        </row>
        <row r="1083">
          <cell r="A1083">
            <v>36690</v>
          </cell>
          <cell r="B1083" t="str">
            <v>Стеллаж Zett с 2 дверками Черный 730х1757х266</v>
          </cell>
          <cell r="C1083" t="str">
            <v>Загашева</v>
          </cell>
          <cell r="D1083" t="str">
            <v>СТЕЛЛАЖИ</v>
          </cell>
          <cell r="E1083" t="str">
            <v>FBO</v>
          </cell>
          <cell r="F1083" t="str">
            <v>Стеллаж Zett с 2 дверками  730х1757х266</v>
          </cell>
          <cell r="G1083" t="str">
            <v>Черный</v>
          </cell>
          <cell r="H1083" t="str">
            <v>2521897952928</v>
          </cell>
          <cell r="I1083" t="str">
            <v>Основной ассортимент</v>
          </cell>
        </row>
        <row r="1084">
          <cell r="A1084">
            <v>135526</v>
          </cell>
          <cell r="B1084" t="str">
            <v>Стол письменный УЛЬТРА (1,097х0,75х0,493) Бетон  (серия2)</v>
          </cell>
          <cell r="C1084" t="str">
            <v>Перепечаева</v>
          </cell>
          <cell r="D1084" t="str">
            <v>СТОЛЫ</v>
          </cell>
          <cell r="E1084" t="str">
            <v>FBS</v>
          </cell>
          <cell r="F1084" t="str">
            <v>Стол письменный Ультра 4 ящика 1056*750*450</v>
          </cell>
          <cell r="G1084" t="str">
            <v>Бетон</v>
          </cell>
          <cell r="H1084" t="str">
            <v>2521897952935</v>
          </cell>
          <cell r="I1084" t="str">
            <v>Основной ассортимент</v>
          </cell>
        </row>
        <row r="1085">
          <cell r="A1085">
            <v>135521</v>
          </cell>
          <cell r="B1085" t="str">
            <v>Стол письменный УЛЬТРА (1,097х0,75х0,493) БЕЛЫЙ ТЕКСТУРА</v>
          </cell>
          <cell r="C1085" t="str">
            <v>Перепечаева</v>
          </cell>
          <cell r="D1085" t="str">
            <v>СТОЛЫ</v>
          </cell>
          <cell r="E1085" t="str">
            <v>FBS</v>
          </cell>
          <cell r="F1085" t="str">
            <v>Стол письменный Ультра 4 ящика 1056*750*450</v>
          </cell>
          <cell r="G1085" t="str">
            <v>Белое тиснение</v>
          </cell>
          <cell r="H1085" t="str">
            <v>2520897927296</v>
          </cell>
          <cell r="I1085" t="str">
            <v>Основной ассортимент</v>
          </cell>
        </row>
        <row r="1086">
          <cell r="A1086">
            <v>135522</v>
          </cell>
          <cell r="B1086" t="str">
            <v>Стол письменный УЛЬТРА (1,097х0,75х0,493) ДУБ СОНОМА</v>
          </cell>
          <cell r="C1086" t="str">
            <v>Перепечаева</v>
          </cell>
          <cell r="D1086" t="str">
            <v>СТОЛЫ</v>
          </cell>
          <cell r="E1086" t="str">
            <v>FBS</v>
          </cell>
          <cell r="F1086" t="str">
            <v>Стол письменный Ультра 4 ящика 1056*750*450</v>
          </cell>
          <cell r="G1086" t="str">
            <v>Дуб сонома</v>
          </cell>
          <cell r="H1086" t="str">
            <v>2520897927297</v>
          </cell>
          <cell r="I1086" t="str">
            <v>Основной ассортимент</v>
          </cell>
        </row>
        <row r="1087">
          <cell r="A1087">
            <v>135573</v>
          </cell>
          <cell r="B1087" t="str">
            <v>Столик придиванный Крафт золотой 470х600х300</v>
          </cell>
          <cell r="C1087" t="str">
            <v>Леонтьева</v>
          </cell>
          <cell r="D1087" t="str">
            <v>СТОЛИКИ ЖУРНАЛЬНЫЕ</v>
          </cell>
          <cell r="E1087" t="str">
            <v>FBO</v>
          </cell>
          <cell r="F1087" t="str">
            <v>Столик придиванный  470х600х300</v>
          </cell>
          <cell r="G1087" t="str">
            <v>Дуб Крафт золотой</v>
          </cell>
          <cell r="H1087" t="str">
            <v>2521897952881</v>
          </cell>
          <cell r="I1087" t="str">
            <v>Основной ассортимент</v>
          </cell>
        </row>
        <row r="1088">
          <cell r="A1088">
            <v>135574</v>
          </cell>
          <cell r="B1088" t="str">
            <v>Столик придиванный Крафт белый 470х600х300</v>
          </cell>
          <cell r="C1088" t="str">
            <v>Леонтьева</v>
          </cell>
          <cell r="D1088" t="str">
            <v>СТОЛИКИ ЖУРНАЛЬНЫЕ</v>
          </cell>
          <cell r="E1088" t="str">
            <v>FBO</v>
          </cell>
          <cell r="F1088" t="str">
            <v>Столик придиванный  470х600х300</v>
          </cell>
          <cell r="G1088" t="str">
            <v>дуб крафт белый</v>
          </cell>
          <cell r="H1088" t="str">
            <v>2521897952882</v>
          </cell>
          <cell r="I1088" t="str">
            <v>Основной ассортимент</v>
          </cell>
        </row>
        <row r="1089">
          <cell r="A1089">
            <v>135604</v>
          </cell>
          <cell r="B1089" t="str">
            <v>Стол журнальный "Комфорт" (серия 2) Дуб Крафт золотой</v>
          </cell>
          <cell r="C1089" t="str">
            <v>Леонтьева</v>
          </cell>
          <cell r="D1089" t="str">
            <v>СТОЛИКИ ЖУРНАЛЬНЫЕ</v>
          </cell>
          <cell r="E1089" t="str">
            <v>FBO</v>
          </cell>
          <cell r="F1089" t="str">
            <v xml:space="preserve">Стол журнальный "Комфорт" (серия 2) </v>
          </cell>
          <cell r="G1089" t="str">
            <v>Дуб Крафт золотой</v>
          </cell>
          <cell r="H1089" t="str">
            <v>2521897953141</v>
          </cell>
          <cell r="I1089" t="str">
            <v>Основной ассортимент</v>
          </cell>
        </row>
        <row r="1090">
          <cell r="A1090">
            <v>135603</v>
          </cell>
          <cell r="B1090" t="str">
            <v>Стол журнальный "Комфорт" (серия 2) Бетон</v>
          </cell>
          <cell r="C1090" t="str">
            <v>Леонтьева</v>
          </cell>
          <cell r="D1090" t="str">
            <v>СТОЛИКИ ЖУРНАЛЬНЫЕ</v>
          </cell>
          <cell r="E1090" t="str">
            <v>FBO</v>
          </cell>
          <cell r="F1090" t="str">
            <v xml:space="preserve">Стол журнальный "Комфорт" (серия 2) </v>
          </cell>
          <cell r="G1090" t="str">
            <v>Бетон</v>
          </cell>
          <cell r="H1090" t="str">
            <v>2521897953140</v>
          </cell>
          <cell r="I1090" t="str">
            <v>Основной ассортимент</v>
          </cell>
        </row>
        <row r="1091">
          <cell r="A1091">
            <v>9480</v>
          </cell>
          <cell r="B1091" t="str">
            <v>Стол-стеллаж Jazz Венге 1140*490*1030</v>
          </cell>
          <cell r="C1091" t="str">
            <v>Перепечаева</v>
          </cell>
          <cell r="D1091" t="str">
            <v>СТОЛЫ</v>
          </cell>
          <cell r="E1091" t="str">
            <v>FBO</v>
          </cell>
          <cell r="F1091" t="str">
            <v>Стол-стеллаж Jazz 1140*490*1030</v>
          </cell>
          <cell r="G1091" t="str">
            <v>Венге</v>
          </cell>
          <cell r="H1091" t="str">
            <v>2521897952534</v>
          </cell>
          <cell r="I1091" t="str">
            <v>Основной ассортимент</v>
          </cell>
        </row>
        <row r="1092">
          <cell r="A1092">
            <v>9487</v>
          </cell>
          <cell r="B1092" t="str">
            <v>Стол-стеллаж Jazz Крафт золотой 1140*490*1030</v>
          </cell>
          <cell r="C1092" t="str">
            <v>Перепечаева</v>
          </cell>
          <cell r="D1092" t="str">
            <v>СТОЛЫ</v>
          </cell>
          <cell r="E1092" t="str">
            <v>FBO</v>
          </cell>
          <cell r="F1092" t="str">
            <v>Стол-стеллаж Jazz 1140*490*1030</v>
          </cell>
          <cell r="G1092" t="str">
            <v>Дуб Крафт золотой</v>
          </cell>
          <cell r="H1092" t="str">
            <v>2521897952957</v>
          </cell>
          <cell r="I1092" t="str">
            <v>Основной ассортимент</v>
          </cell>
        </row>
        <row r="1093">
          <cell r="A1093" t="str">
            <v>MK1120101</v>
          </cell>
          <cell r="B1093" t="str">
            <v>Стол письменный Frame New с ящ., с полкой ЛДСП Дуб Вотан, Черн. металл. 800х760(h)х510</v>
          </cell>
          <cell r="C1093" t="str">
            <v>Ратникова</v>
          </cell>
          <cell r="D1093" t="str">
            <v>СТОЛЫ</v>
          </cell>
          <cell r="E1093" t="str">
            <v>FBS</v>
          </cell>
          <cell r="F1093" t="str">
            <v>Стол письменный Frame New с ящ., с полкой  800х760(h)х510</v>
          </cell>
          <cell r="G1093" t="str">
            <v>ЛДСП Дуб Вотан, Черн. металл.</v>
          </cell>
          <cell r="H1093" t="str">
            <v>2521897952635</v>
          </cell>
          <cell r="I1093" t="str">
            <v>Основной ассортимент</v>
          </cell>
        </row>
        <row r="1094">
          <cell r="A1094">
            <v>3409</v>
          </cell>
          <cell r="B1094" t="str">
            <v>Стол рабочий маникюрный Jazz Белое тиснение</v>
          </cell>
          <cell r="C1094" t="str">
            <v>Леонтьева</v>
          </cell>
          <cell r="D1094" t="str">
            <v>СТОЛЫ МАНИКЮРНЫЕ</v>
          </cell>
          <cell r="E1094" t="str">
            <v>FBS</v>
          </cell>
          <cell r="F1094" t="str">
            <v xml:space="preserve">Стол рабочий маникюрный Jazz </v>
          </cell>
          <cell r="G1094" t="str">
            <v>Белое тиснение</v>
          </cell>
          <cell r="H1094" t="str">
            <v>2521897952897</v>
          </cell>
          <cell r="I1094" t="str">
            <v>Основной ассортимент</v>
          </cell>
        </row>
        <row r="1095">
          <cell r="A1095" t="str">
            <v>MK1590101</v>
          </cell>
          <cell r="B1095" t="str">
            <v>Стол стеллаж Tokyo с дверками ЛДСП Дуб Вотан/Антрацит, Черн. металл</v>
          </cell>
          <cell r="C1095" t="str">
            <v>Ратникова</v>
          </cell>
          <cell r="D1095" t="str">
            <v>СТОЛЫ</v>
          </cell>
          <cell r="E1095" t="str">
            <v>FBS</v>
          </cell>
          <cell r="F1095" t="str">
            <v>Стол стеллаж Tokyo с дверками</v>
          </cell>
          <cell r="G1095" t="str">
            <v>Дуб вотан/Антрацит. Черн металл</v>
          </cell>
          <cell r="H1095" t="str">
            <v>2521897952906</v>
          </cell>
          <cell r="I1095" t="str">
            <v>Основной ассортимент</v>
          </cell>
        </row>
        <row r="1096">
          <cell r="A1096">
            <v>2497</v>
          </cell>
          <cell r="B1096" t="str">
            <v>Стол компьютерный с 2 ящиками Ультра Венге 900х750х450</v>
          </cell>
          <cell r="C1096" t="str">
            <v>Перепечаева</v>
          </cell>
          <cell r="D1096" t="str">
            <v>СТОЛЫ</v>
          </cell>
          <cell r="E1096" t="str">
            <v>FBS</v>
          </cell>
          <cell r="F1096" t="str">
            <v>Стол компьютерный с 2 ящиками  900х750х450</v>
          </cell>
          <cell r="G1096" t="str">
            <v>Венге</v>
          </cell>
          <cell r="H1096" t="str">
            <v>2520000001074</v>
          </cell>
          <cell r="I1096" t="str">
            <v>Основной ассортимент</v>
          </cell>
        </row>
        <row r="1097">
          <cell r="A1097">
            <v>2498</v>
          </cell>
          <cell r="B1097" t="str">
            <v>Стол компьютерный с 2 ящиками Ультра Дуб сонома 900х750х450</v>
          </cell>
          <cell r="C1097" t="str">
            <v>Перепечаева</v>
          </cell>
          <cell r="D1097" t="str">
            <v>СТОЛЫ</v>
          </cell>
          <cell r="E1097" t="str">
            <v>FBS</v>
          </cell>
          <cell r="F1097" t="str">
            <v>Стол компьютерный с 2 ящиками  900х750х450</v>
          </cell>
          <cell r="G1097" t="str">
            <v>Дуб сонома</v>
          </cell>
          <cell r="H1097" t="str">
            <v>2520000001081</v>
          </cell>
          <cell r="I1097" t="str">
            <v>Основной ассортимент</v>
          </cell>
        </row>
        <row r="1098">
          <cell r="A1098">
            <v>3055</v>
          </cell>
          <cell r="B1098" t="str">
            <v>Стол компьютерный с 2 ящиками Ультра Черный 900х750х450</v>
          </cell>
          <cell r="C1098" t="str">
            <v>Перепечаева</v>
          </cell>
          <cell r="D1098" t="str">
            <v>СТОЛЫ</v>
          </cell>
          <cell r="E1098" t="str">
            <v>FBS</v>
          </cell>
          <cell r="F1098" t="str">
            <v>Стол компьютерный с 2 ящиками  900х750х450</v>
          </cell>
          <cell r="G1098" t="str">
            <v>Черный</v>
          </cell>
          <cell r="H1098" t="str">
            <v>2520897922318</v>
          </cell>
          <cell r="I1098" t="str">
            <v>Основной ассортимент</v>
          </cell>
        </row>
        <row r="1099">
          <cell r="A1099">
            <v>9900</v>
          </cell>
          <cell r="B1099" t="str">
            <v>Стол письменный компьютерный Белое тиснение Веста Plus</v>
          </cell>
          <cell r="C1099" t="str">
            <v>Перепечаева</v>
          </cell>
          <cell r="D1099" t="str">
            <v>СТОЛЫ</v>
          </cell>
          <cell r="E1099" t="str">
            <v>СКГТ</v>
          </cell>
          <cell r="F1099" t="str">
            <v>Стол письменный компьютерный  Веста Plus</v>
          </cell>
          <cell r="G1099" t="str">
            <v>Белое тиснение</v>
          </cell>
          <cell r="H1099" t="str">
            <v>2521897952972</v>
          </cell>
          <cell r="I1099" t="str">
            <v>Основной ассортимент</v>
          </cell>
        </row>
        <row r="1100">
          <cell r="A1100">
            <v>3566</v>
          </cell>
          <cell r="B1100" t="str">
            <v>Стол письменный Estet Дуб сонома/Белое тиснение 952х754(h)х450</v>
          </cell>
          <cell r="C1100" t="str">
            <v>Перепечаева</v>
          </cell>
          <cell r="D1100" t="str">
            <v>СТОЛЫ</v>
          </cell>
          <cell r="E1100" t="str">
            <v>FBO</v>
          </cell>
          <cell r="F1100" t="str">
            <v>Стол письменный Estet  952х754(h)х450</v>
          </cell>
          <cell r="G1100" t="str">
            <v>дуб сонома/белое тиснение</v>
          </cell>
          <cell r="H1100" t="str">
            <v>2521897953025</v>
          </cell>
          <cell r="I1100" t="str">
            <v>Основной ассортимент</v>
          </cell>
        </row>
        <row r="1101">
          <cell r="A1101">
            <v>2614</v>
          </cell>
          <cell r="B1101" t="str">
            <v>Стол письменный Рейн на 800 Венге 800х750х550</v>
          </cell>
          <cell r="C1101" t="str">
            <v>Перепечаева</v>
          </cell>
          <cell r="D1101" t="str">
            <v>СТОЛЫ</v>
          </cell>
          <cell r="E1101" t="str">
            <v>FBO</v>
          </cell>
          <cell r="F1101" t="str">
            <v>Стол письменный Рейн  800х750х550</v>
          </cell>
          <cell r="G1101" t="str">
            <v>Венге</v>
          </cell>
          <cell r="H1101" t="str">
            <v>2520000001166</v>
          </cell>
          <cell r="I1101" t="str">
            <v>Основной ассортимент</v>
          </cell>
        </row>
        <row r="1102">
          <cell r="A1102">
            <v>2405</v>
          </cell>
          <cell r="B1102" t="str">
            <v>Стол письменный Рейн на 800 Дуб сонома 800х750х550</v>
          </cell>
          <cell r="C1102" t="str">
            <v>Перепечаева</v>
          </cell>
          <cell r="D1102" t="str">
            <v>СТОЛЫ</v>
          </cell>
          <cell r="E1102" t="str">
            <v>FBO</v>
          </cell>
          <cell r="F1102" t="str">
            <v>Стол письменный Рейн  800х750х550</v>
          </cell>
          <cell r="G1102" t="str">
            <v>Дуб сонома</v>
          </cell>
          <cell r="H1102" t="str">
            <v>2520000001159</v>
          </cell>
          <cell r="I1102" t="str">
            <v>Основной ассортимент</v>
          </cell>
        </row>
        <row r="1103">
          <cell r="A1103">
            <v>7773</v>
          </cell>
          <cell r="B1103" t="str">
            <v>Стол компьютерный рабочий Orion Белое тиснение 110х75х60</v>
          </cell>
          <cell r="C1103" t="str">
            <v>Перепечаева</v>
          </cell>
          <cell r="D1103" t="str">
            <v>СТОЛЫ</v>
          </cell>
          <cell r="E1103" t="str">
            <v>FBS</v>
          </cell>
          <cell r="F1103" t="str">
            <v>Стол компьютерный рабочий Orion  110х75х60</v>
          </cell>
          <cell r="G1103" t="str">
            <v>Белое тиснение</v>
          </cell>
          <cell r="H1103" t="str">
            <v>2521897953128</v>
          </cell>
          <cell r="I1103" t="str">
            <v>Основной ассортимент</v>
          </cell>
        </row>
        <row r="1104">
          <cell r="A1104">
            <v>9901</v>
          </cell>
          <cell r="B1104" t="str">
            <v>Стол письменный компьютерный Веста plus Дуб Сонома/Белый текстурный</v>
          </cell>
          <cell r="C1104" t="str">
            <v>Перепечаева</v>
          </cell>
          <cell r="D1104" t="str">
            <v>СТОЛЫ</v>
          </cell>
          <cell r="E1104" t="str">
            <v>СКГТ</v>
          </cell>
          <cell r="F1104" t="str">
            <v>Стол письменный компьютерный  Веста Plus</v>
          </cell>
          <cell r="G1104" t="str">
            <v>дуб сонома/белое тиснение</v>
          </cell>
          <cell r="H1104" t="str">
            <v>2521897952973</v>
          </cell>
          <cell r="I1104" t="str">
            <v>Основной ассортимент</v>
          </cell>
        </row>
        <row r="1105">
          <cell r="A1105">
            <v>1355201</v>
          </cell>
          <cell r="B1105" t="str">
            <v>Стол письменный Ультра (Серия 2) Графит</v>
          </cell>
          <cell r="C1105" t="str">
            <v>Перепечаева</v>
          </cell>
          <cell r="D1105" t="str">
            <v>СТОЛЫ</v>
          </cell>
          <cell r="E1105" t="str">
            <v>FBS</v>
          </cell>
          <cell r="F1105" t="str">
            <v>Стол письменный Ультра 4 ящика 1056*750*450</v>
          </cell>
          <cell r="G1105" t="str">
            <v>Графит</v>
          </cell>
          <cell r="H1105" t="str">
            <v>2521897953099</v>
          </cell>
          <cell r="I1105" t="str">
            <v>Основной ассортимент</v>
          </cell>
        </row>
        <row r="1106">
          <cell r="A1106">
            <v>1355211</v>
          </cell>
          <cell r="B1106" t="str">
            <v>Стол письменный Ультра 4 ящика Белое тиснение 1056*750*450</v>
          </cell>
          <cell r="C1106" t="str">
            <v>Перепечаева</v>
          </cell>
          <cell r="D1106" t="str">
            <v>СТОЛЫ</v>
          </cell>
          <cell r="E1106" t="str">
            <v>FBO</v>
          </cell>
          <cell r="F1106" t="str">
            <v>Стол письменный Ультра 4 ящика 1056*750*450</v>
          </cell>
          <cell r="G1106" t="str">
            <v>Дуб Крафт золотой</v>
          </cell>
          <cell r="H1106" t="str">
            <v>2521897953170</v>
          </cell>
          <cell r="I1106" t="str">
            <v>Основной ассортимент</v>
          </cell>
        </row>
        <row r="1107">
          <cell r="A1107">
            <v>9396</v>
          </cell>
          <cell r="B1107" t="str">
            <v>Столик консольный Валенсия СТМ011 900*750*420</v>
          </cell>
          <cell r="C1107" t="str">
            <v>Ратникова</v>
          </cell>
          <cell r="D1107" t="str">
            <v>СТОЛЫ</v>
          </cell>
          <cell r="E1107" t="str">
            <v>FBS</v>
          </cell>
          <cell r="F1107" t="str">
            <v xml:space="preserve">Столик консольный Валенсия </v>
          </cell>
          <cell r="G1107" t="str">
            <v>Белое тиснение</v>
          </cell>
          <cell r="H1107" t="str">
            <v>2520000002157</v>
          </cell>
          <cell r="I1107" t="str">
            <v>Основной ассортимент</v>
          </cell>
        </row>
        <row r="1108">
          <cell r="A1108">
            <v>135523</v>
          </cell>
          <cell r="B1108" t="str">
            <v>Стол письменный УЛЬТРА (1,097х0,75х0,493) ВЕНГЕ</v>
          </cell>
          <cell r="C1108" t="str">
            <v>Перепечаева</v>
          </cell>
          <cell r="D1108" t="str">
            <v>СТОЛЫ</v>
          </cell>
          <cell r="E1108" t="str">
            <v>FBS</v>
          </cell>
          <cell r="F1108" t="str">
            <v>Стол письменный Ультра 4 ящика 1056*750*450</v>
          </cell>
          <cell r="G1108" t="str">
            <v>Венге</v>
          </cell>
          <cell r="H1108" t="str">
            <v>2520897927298</v>
          </cell>
          <cell r="I1108" t="str">
            <v>Основной ассортимент</v>
          </cell>
        </row>
        <row r="1109">
          <cell r="A1109">
            <v>2645</v>
          </cell>
          <cell r="B1109" t="str">
            <v>Стол обеденный Мальта Лайт Бетон/Белое тиснение 650х780х650</v>
          </cell>
          <cell r="C1109" t="str">
            <v>Леонтьева</v>
          </cell>
          <cell r="D1109" t="str">
            <v>СТОЛЫ ОБЕДЕННЫЕ</v>
          </cell>
          <cell r="E1109" t="str">
            <v>FBO</v>
          </cell>
          <cell r="F1109" t="str">
            <v>Стол обеденный Мальта Лайт  650х780х650</v>
          </cell>
          <cell r="G1109" t="str">
            <v>Бетон/Белое тиснение</v>
          </cell>
          <cell r="H1109" t="str">
            <v>2520000000862</v>
          </cell>
          <cell r="I1109" t="str">
            <v>Вакансия</v>
          </cell>
        </row>
        <row r="1110">
          <cell r="A1110">
            <v>135524</v>
          </cell>
          <cell r="B1110" t="str">
            <v>Стол письменный УЛЬТРА (1,097х0,75х0,493) ДУБ СОНОМА/БЕЛЫЙ ТЕКСТУРА</v>
          </cell>
          <cell r="C1110" t="str">
            <v>Перепечаева</v>
          </cell>
          <cell r="D1110" t="str">
            <v>СТОЛЫ</v>
          </cell>
          <cell r="E1110" t="str">
            <v>FBS</v>
          </cell>
          <cell r="F1110" t="str">
            <v>Стол письменный Ультра 4 ящика 1056*750*450</v>
          </cell>
          <cell r="G1110" t="str">
            <v>дуб сонома/белое тиснение</v>
          </cell>
          <cell r="H1110" t="str">
            <v>2521897952413</v>
          </cell>
          <cell r="I1110" t="str">
            <v>Основной ассортимент</v>
          </cell>
        </row>
        <row r="1111">
          <cell r="A1111">
            <v>777</v>
          </cell>
          <cell r="B1111" t="str">
            <v>Стол компьютерный рабочий Orion черный/красная кромка 110х75х60</v>
          </cell>
          <cell r="C1111" t="str">
            <v>Перепечаева</v>
          </cell>
          <cell r="D1111" t="str">
            <v>СТОЛЫ</v>
          </cell>
          <cell r="E1111" t="str">
            <v>FBS</v>
          </cell>
          <cell r="F1111" t="str">
            <v>Стол компьютерный рабочий Orion  110х75х60</v>
          </cell>
          <cell r="G1111" t="str">
            <v>черный + кромка</v>
          </cell>
          <cell r="H1111" t="str">
            <v>2520897927308</v>
          </cell>
          <cell r="I1111" t="str">
            <v>Основной ассортимент</v>
          </cell>
        </row>
        <row r="1112">
          <cell r="A1112">
            <v>135525</v>
          </cell>
          <cell r="B1112" t="str">
            <v>Стол письменный УЛЬТРА (1,097х0,75х0,493) ВЕНГЕ/БЕЛФОРТ</v>
          </cell>
          <cell r="C1112" t="str">
            <v>Перепечаева</v>
          </cell>
          <cell r="D1112" t="str">
            <v>СТОЛЫ</v>
          </cell>
          <cell r="E1112" t="str">
            <v>FBS</v>
          </cell>
          <cell r="F1112" t="str">
            <v>Стол письменный Ультра 4 ящика 1056*750*450</v>
          </cell>
          <cell r="G1112" t="str">
            <v>ВЕНГЕ/ДУБ БЕЛФОРД</v>
          </cell>
          <cell r="H1112" t="str">
            <v>2521897952508</v>
          </cell>
          <cell r="I1112" t="str">
            <v>Основной ассортимент</v>
          </cell>
        </row>
        <row r="1113">
          <cell r="A1113">
            <v>9481</v>
          </cell>
          <cell r="B1113" t="str">
            <v>Стол-стеллаж Jazz Дуб сонома 1140*490*1030</v>
          </cell>
          <cell r="C1113" t="str">
            <v>Перепечаева</v>
          </cell>
          <cell r="D1113" t="str">
            <v>СТОЛЫ</v>
          </cell>
          <cell r="E1113" t="str">
            <v>FBO</v>
          </cell>
          <cell r="F1113" t="str">
            <v>Стол-стеллаж Jazz 1140*490*1030</v>
          </cell>
          <cell r="G1113" t="str">
            <v>Дуб сонома</v>
          </cell>
          <cell r="H1113" t="str">
            <v>2521897952535</v>
          </cell>
          <cell r="I1113" t="str">
            <v>Основной ассортимент</v>
          </cell>
        </row>
        <row r="1114">
          <cell r="A1114">
            <v>9477</v>
          </cell>
          <cell r="B1114" t="str">
            <v>Стол-стеллаж Jazz Белое тиснение 1140*490*1030</v>
          </cell>
          <cell r="C1114" t="str">
            <v>Перепечаева</v>
          </cell>
          <cell r="D1114" t="str">
            <v>СТОЛЫ</v>
          </cell>
          <cell r="E1114" t="str">
            <v>FBO</v>
          </cell>
          <cell r="F1114" t="str">
            <v>Стол-стеллаж Jazz 1140*490*1030</v>
          </cell>
          <cell r="G1114" t="str">
            <v>Белое тиснение</v>
          </cell>
          <cell r="H1114" t="str">
            <v>2521897952533</v>
          </cell>
          <cell r="I1114" t="str">
            <v>Основной ассортимент</v>
          </cell>
        </row>
        <row r="1115">
          <cell r="A1115">
            <v>9486</v>
          </cell>
          <cell r="B1115" t="str">
            <v>Стол-стеллаж Jazz Крафт белый1140*490*1030</v>
          </cell>
          <cell r="C1115" t="str">
            <v>Перепечаева</v>
          </cell>
          <cell r="D1115" t="str">
            <v>СТОЛЫ</v>
          </cell>
          <cell r="E1115" t="str">
            <v>FBO</v>
          </cell>
          <cell r="F1115" t="str">
            <v>Стол-стеллаж Jazz 1140*490*1030</v>
          </cell>
          <cell r="G1115" t="str">
            <v>дуб крафт белый</v>
          </cell>
          <cell r="H1115" t="str">
            <v>2521897952956</v>
          </cell>
          <cell r="I1115" t="str">
            <v>Основной ассортимент</v>
          </cell>
        </row>
        <row r="1116">
          <cell r="A1116">
            <v>135578</v>
          </cell>
          <cell r="B1116" t="str">
            <v>Стол обеденный Мальта Лайт Венге</v>
          </cell>
          <cell r="C1116" t="str">
            <v>Леонтьева</v>
          </cell>
          <cell r="D1116" t="str">
            <v>СТОЛЫ ОБЕДЕННЫЕ</v>
          </cell>
          <cell r="E1116" t="str">
            <v>FBO</v>
          </cell>
          <cell r="F1116" t="str">
            <v>Стол обеденный Мальта Лайт  650х780х650</v>
          </cell>
          <cell r="G1116" t="str">
            <v>Венге</v>
          </cell>
          <cell r="H1116" t="str">
            <v>2521897952886</v>
          </cell>
          <cell r="I1116" t="str">
            <v>Вакансия</v>
          </cell>
        </row>
        <row r="1117">
          <cell r="A1117">
            <v>7771</v>
          </cell>
          <cell r="B1117" t="str">
            <v>Стол компьютерный рабочий Orion черный/белая кромка 110х75х60</v>
          </cell>
          <cell r="C1117" t="str">
            <v>Перепечаева</v>
          </cell>
          <cell r="D1117" t="str">
            <v>СТОЛЫ</v>
          </cell>
          <cell r="E1117" t="str">
            <v>FBS</v>
          </cell>
          <cell r="F1117" t="str">
            <v>Стол компьютерный рабочий Orion  110х75х60</v>
          </cell>
          <cell r="G1117" t="str">
            <v>черный + кромка</v>
          </cell>
          <cell r="H1117" t="str">
            <v>2521897952582</v>
          </cell>
          <cell r="I1117" t="str">
            <v>Основной ассортимент</v>
          </cell>
        </row>
        <row r="1118">
          <cell r="A1118">
            <v>135400</v>
          </cell>
          <cell r="B1118" t="str">
            <v>Стол письменный компьютерный Praga Белое тиснение</v>
          </cell>
          <cell r="C1118" t="str">
            <v>Ратникова</v>
          </cell>
          <cell r="D1118" t="str">
            <v>СТОЛЫ</v>
          </cell>
          <cell r="E1118" t="str">
            <v>FBS</v>
          </cell>
          <cell r="F1118" t="str">
            <v xml:space="preserve">Стол письменный компьютерный Praga </v>
          </cell>
          <cell r="G1118" t="str">
            <v>Белое тиснение</v>
          </cell>
          <cell r="H1118" t="str">
            <v>2521897952570</v>
          </cell>
          <cell r="I1118" t="str">
            <v>Основной ассортимент</v>
          </cell>
        </row>
        <row r="1119">
          <cell r="A1119">
            <v>135401</v>
          </cell>
          <cell r="B1119" t="str">
            <v>Стол письменный компьютерный Praga крафт белый</v>
          </cell>
          <cell r="C1119" t="str">
            <v>Ратникова</v>
          </cell>
          <cell r="D1119" t="str">
            <v>СТОЛЫ</v>
          </cell>
          <cell r="E1119" t="str">
            <v>FBS</v>
          </cell>
          <cell r="F1119" t="str">
            <v xml:space="preserve">Стол письменный компьютерный Praga </v>
          </cell>
          <cell r="G1119" t="str">
            <v>дуб крафт белый</v>
          </cell>
          <cell r="H1119" t="str">
            <v>2521897952938</v>
          </cell>
          <cell r="I1119" t="str">
            <v>Основной ассортимент</v>
          </cell>
        </row>
        <row r="1120">
          <cell r="A1120">
            <v>9470</v>
          </cell>
          <cell r="B1120" t="str">
            <v>Стол-стеллаж Jazz Бетон 1140*490*1031</v>
          </cell>
          <cell r="C1120" t="str">
            <v>Перепечаева</v>
          </cell>
          <cell r="D1120" t="str">
            <v>СТОЛЫ</v>
          </cell>
          <cell r="E1120" t="str">
            <v>FBO</v>
          </cell>
          <cell r="F1120" t="str">
            <v>Стол-стеллаж Jazz 1140*490*1030</v>
          </cell>
          <cell r="G1120" t="str">
            <v>Бетон</v>
          </cell>
          <cell r="H1120" t="str">
            <v>2521897952955</v>
          </cell>
          <cell r="I1120" t="str">
            <v>Основной ассортимент</v>
          </cell>
        </row>
        <row r="1121">
          <cell r="A1121" t="str">
            <v>MK1120601</v>
          </cell>
          <cell r="B1121" t="str">
            <v>Стол письменный Frame New с ящ., с полкой ЛДСП Дуб Крафт Белый, Черн. металл. 800х760(h)х510</v>
          </cell>
          <cell r="C1121" t="str">
            <v>Ратникова</v>
          </cell>
          <cell r="D1121" t="str">
            <v>СТОЛЫ</v>
          </cell>
          <cell r="E1121" t="str">
            <v>FBS</v>
          </cell>
          <cell r="F1121" t="str">
            <v>Стол письменный Frame New с ящ., с полкой  800х760(h)х510</v>
          </cell>
          <cell r="G1121" t="str">
            <v>ЛДСП Дуб Крафт белый, Белый металл.</v>
          </cell>
          <cell r="H1121" t="str">
            <v>2521897952734</v>
          </cell>
          <cell r="I1121" t="str">
            <v>Основной ассортимент</v>
          </cell>
        </row>
        <row r="1122">
          <cell r="A1122">
            <v>14015</v>
          </cell>
          <cell r="B1122" t="str">
            <v>Стол письменный City Lite Белое тиснение</v>
          </cell>
          <cell r="C1122" t="str">
            <v>Перепечаева</v>
          </cell>
          <cell r="D1122" t="str">
            <v>СТОЛЫ</v>
          </cell>
          <cell r="E1122" t="str">
            <v>FBS</v>
          </cell>
          <cell r="F1122" t="str">
            <v xml:space="preserve">Стол письменный City Lite </v>
          </cell>
          <cell r="G1122" t="str">
            <v>Белое тиснение</v>
          </cell>
          <cell r="H1122" t="str">
            <v>2521897952740</v>
          </cell>
          <cell r="I1122" t="str">
            <v>Основной ассортимент</v>
          </cell>
        </row>
        <row r="1123">
          <cell r="A1123">
            <v>14011</v>
          </cell>
          <cell r="B1123" t="str">
            <v>Стол письменный City Lite Дуб сонома</v>
          </cell>
          <cell r="C1123" t="str">
            <v>Перепечаева</v>
          </cell>
          <cell r="D1123" t="str">
            <v>СТОЛЫ</v>
          </cell>
          <cell r="E1123" t="str">
            <v>FBS</v>
          </cell>
          <cell r="F1123" t="str">
            <v xml:space="preserve">Стол письменный City Lite </v>
          </cell>
          <cell r="G1123" t="str">
            <v>Дуб сонома</v>
          </cell>
          <cell r="H1123" t="str">
            <v>2521897952919</v>
          </cell>
          <cell r="I1123" t="str">
            <v>Основной ассортимент</v>
          </cell>
        </row>
        <row r="1124">
          <cell r="A1124">
            <v>7772</v>
          </cell>
          <cell r="B1124" t="str">
            <v>Стол компьютерный рабочий Orion Белая Шагрень/Черная кромка 110х75х60</v>
          </cell>
          <cell r="C1124" t="str">
            <v>Перепечаева</v>
          </cell>
          <cell r="D1124" t="str">
            <v>СТОЛЫ</v>
          </cell>
          <cell r="E1124" t="str">
            <v>FBS</v>
          </cell>
          <cell r="F1124" t="str">
            <v>Стол компьютерный рабочий Orion  110х75х60</v>
          </cell>
          <cell r="G1124" t="str">
            <v>черный + кромка</v>
          </cell>
          <cell r="H1124" t="str">
            <v>2521897952789</v>
          </cell>
          <cell r="I1124" t="str">
            <v>Основной ассортимент</v>
          </cell>
        </row>
        <row r="1125">
          <cell r="A1125">
            <v>135450</v>
          </cell>
          <cell r="B1125" t="str">
            <v>Стол письменный Ультра с тумбой Белое тиснение</v>
          </cell>
          <cell r="C1125" t="str">
            <v>Перепечаева</v>
          </cell>
          <cell r="D1125" t="str">
            <v>СТОЛЫ</v>
          </cell>
          <cell r="E1125" t="str">
            <v>FBO</v>
          </cell>
          <cell r="F1125" t="str">
            <v>Стол письменный Ультра с тумбой</v>
          </cell>
          <cell r="G1125" t="str">
            <v>Белое тиснение</v>
          </cell>
          <cell r="H1125" t="str">
            <v>2521897952838</v>
          </cell>
          <cell r="I1125" t="str">
            <v>Основной ассортимент</v>
          </cell>
        </row>
        <row r="1126">
          <cell r="A1126">
            <v>135451</v>
          </cell>
          <cell r="B1126" t="str">
            <v>Стол письменный Ультра с тумбой Дуб сонома</v>
          </cell>
          <cell r="C1126" t="str">
            <v>Перепечаева</v>
          </cell>
          <cell r="D1126" t="str">
            <v>СТОЛЫ</v>
          </cell>
          <cell r="E1126" t="str">
            <v>FBO</v>
          </cell>
          <cell r="F1126" t="str">
            <v>Стол письменный Ультра с тумбой</v>
          </cell>
          <cell r="G1126" t="str">
            <v>Дуб сонома</v>
          </cell>
          <cell r="H1126" t="str">
            <v>2521897952839</v>
          </cell>
          <cell r="I1126" t="str">
            <v>Основной ассортимент</v>
          </cell>
        </row>
        <row r="1127">
          <cell r="A1127">
            <v>135452</v>
          </cell>
          <cell r="B1127" t="str">
            <v>Стол письменный Ультра с тумбой Венге</v>
          </cell>
          <cell r="C1127" t="str">
            <v>Перепечаева</v>
          </cell>
          <cell r="D1127" t="str">
            <v>СТОЛЫ</v>
          </cell>
          <cell r="E1127" t="str">
            <v>FBO</v>
          </cell>
          <cell r="F1127" t="str">
            <v>Стол письменный Ультра с тумбой</v>
          </cell>
          <cell r="G1127" t="str">
            <v>Венге</v>
          </cell>
          <cell r="H1127" t="str">
            <v>2521897952840</v>
          </cell>
          <cell r="I1127" t="str">
            <v>Основной ассортимент</v>
          </cell>
        </row>
        <row r="1128">
          <cell r="A1128">
            <v>135575</v>
          </cell>
          <cell r="B1128" t="str">
            <v>Стол компьютерный с 2 ящиками Ультра Крафт белый  900х750х450</v>
          </cell>
          <cell r="C1128" t="str">
            <v>Перепечаева</v>
          </cell>
          <cell r="D1128" t="str">
            <v>СТОЛЫ</v>
          </cell>
          <cell r="E1128" t="str">
            <v>FBS</v>
          </cell>
          <cell r="F1128" t="str">
            <v>Стол компьютерный с 2 ящиками  900х750х450</v>
          </cell>
          <cell r="G1128" t="str">
            <v>дуб крафт белый</v>
          </cell>
          <cell r="H1128" t="str">
            <v>2521897952883</v>
          </cell>
          <cell r="I1128" t="str">
            <v>Основной ассортимент</v>
          </cell>
        </row>
        <row r="1129">
          <cell r="A1129">
            <v>135576</v>
          </cell>
          <cell r="B1129" t="str">
            <v>Стол компьютерный с 2 ящиками Ультра Крафт золотой 900х750х450</v>
          </cell>
          <cell r="C1129" t="str">
            <v>Перепечаева</v>
          </cell>
          <cell r="D1129" t="str">
            <v>СТОЛЫ</v>
          </cell>
          <cell r="E1129" t="str">
            <v>FBS</v>
          </cell>
          <cell r="F1129" t="str">
            <v>Стол компьютерный с 2 ящиками  900х750х450</v>
          </cell>
          <cell r="G1129" t="str">
            <v>Дуб Крафт золотой</v>
          </cell>
          <cell r="H1129" t="str">
            <v>2521897952884</v>
          </cell>
          <cell r="I1129" t="str">
            <v>Основной ассортимент</v>
          </cell>
        </row>
        <row r="1130">
          <cell r="A1130">
            <v>7778</v>
          </cell>
          <cell r="B1130" t="str">
            <v>Стол компьютерный рабочий Orion Plus черный-белая кромка 1090х600х746</v>
          </cell>
          <cell r="C1130" t="str">
            <v>Перепечаева</v>
          </cell>
          <cell r="D1130" t="str">
            <v>СТОЛЫ</v>
          </cell>
          <cell r="E1130" t="str">
            <v>FBS</v>
          </cell>
          <cell r="F1130" t="str">
            <v>Стол компьютерный рабочий Orion  110х75х60</v>
          </cell>
          <cell r="G1130" t="str">
            <v>черный + кромка</v>
          </cell>
          <cell r="H1130" t="str">
            <v>2521897952863</v>
          </cell>
          <cell r="I1130" t="str">
            <v>Основной ассортимент</v>
          </cell>
        </row>
        <row r="1131">
          <cell r="A1131">
            <v>7779</v>
          </cell>
          <cell r="B1131" t="str">
            <v>Стол компьютерный рабочий Orion Plus белый/черная кромка 1090х600х746</v>
          </cell>
          <cell r="C1131" t="str">
            <v>Перепечаева</v>
          </cell>
          <cell r="D1131" t="str">
            <v>СТОЛЫ</v>
          </cell>
          <cell r="E1131" t="str">
            <v>FBS</v>
          </cell>
          <cell r="F1131" t="str">
            <v>Стол компьютерный рабочий Orion  110х75х60</v>
          </cell>
          <cell r="G1131" t="str">
            <v>Белое тиснение</v>
          </cell>
          <cell r="H1131" t="str">
            <v>2521897952864</v>
          </cell>
          <cell r="I1131" t="str">
            <v>Основной ассортимент</v>
          </cell>
        </row>
        <row r="1132">
          <cell r="A1132">
            <v>1355760</v>
          </cell>
          <cell r="B1132" t="str">
            <v>Стол компьютерный с 2 ящиками Ультра Бетон 900х750х450</v>
          </cell>
          <cell r="C1132" t="str">
            <v>Перепечаева</v>
          </cell>
          <cell r="D1132" t="str">
            <v>СТОЛЫ</v>
          </cell>
          <cell r="E1132" t="str">
            <v>FBS</v>
          </cell>
          <cell r="F1132" t="str">
            <v>Стол компьютерный с 2 ящиками  900х750х450</v>
          </cell>
          <cell r="G1132" t="str">
            <v>Бетон</v>
          </cell>
          <cell r="H1132" t="str">
            <v>2521897952945</v>
          </cell>
          <cell r="I1132" t="str">
            <v>Основной ассортимент</v>
          </cell>
        </row>
        <row r="1133">
          <cell r="A1133">
            <v>14008</v>
          </cell>
          <cell r="B1133" t="str">
            <v>Стол письменный City Lite Венге</v>
          </cell>
          <cell r="C1133" t="str">
            <v>Перепечаева</v>
          </cell>
          <cell r="D1133" t="str">
            <v>СТОЛЫ</v>
          </cell>
          <cell r="E1133" t="str">
            <v>FBS</v>
          </cell>
          <cell r="F1133" t="str">
            <v xml:space="preserve">Стол письменный City Lite </v>
          </cell>
          <cell r="G1133" t="str">
            <v>Венге</v>
          </cell>
          <cell r="H1133" t="str">
            <v>2521897952920</v>
          </cell>
          <cell r="I1133" t="str">
            <v>Основной ассортимент</v>
          </cell>
        </row>
        <row r="1134">
          <cell r="A1134">
            <v>14010</v>
          </cell>
          <cell r="B1134" t="str">
            <v>Стол письменный City Lite Бетон/Белое тиснесние</v>
          </cell>
          <cell r="C1134" t="str">
            <v>Перепечаева</v>
          </cell>
          <cell r="D1134" t="str">
            <v>СТОЛЫ</v>
          </cell>
          <cell r="E1134" t="str">
            <v>FBS</v>
          </cell>
          <cell r="F1134" t="str">
            <v xml:space="preserve">Стол письменный City Lite </v>
          </cell>
          <cell r="G1134" t="str">
            <v>Бетон/Белое тиснение</v>
          </cell>
          <cell r="H1134" t="str">
            <v>2521897953010</v>
          </cell>
          <cell r="I1134" t="str">
            <v>Основной ассортимент</v>
          </cell>
        </row>
        <row r="1135">
          <cell r="A1135">
            <v>135520</v>
          </cell>
          <cell r="B1135" t="str">
            <v>Стол письменный УЛЬТРА (1,058х0,75х0,45) Бетон/белое тиснение (серия2)</v>
          </cell>
          <cell r="C1135" t="str">
            <v>Перепечаева</v>
          </cell>
          <cell r="D1135" t="str">
            <v>СТОЛЫ</v>
          </cell>
          <cell r="E1135" t="str">
            <v>FBS</v>
          </cell>
          <cell r="F1135" t="str">
            <v>Стол письменный Ультра 4 ящика 1056*750*450</v>
          </cell>
          <cell r="G1135" t="str">
            <v>Бетон/Белое тиснение</v>
          </cell>
          <cell r="H1135" t="str">
            <v>2521897953054</v>
          </cell>
          <cell r="I1135" t="str">
            <v>Основной ассортимент</v>
          </cell>
        </row>
        <row r="1136">
          <cell r="A1136">
            <v>7777</v>
          </cell>
          <cell r="B1136" t="str">
            <v xml:space="preserve">Стол компьютерный рабочий Orion Plus черный/красная кромка </v>
          </cell>
          <cell r="C1136" t="str">
            <v>Перепечаева</v>
          </cell>
          <cell r="D1136" t="str">
            <v>СТОЛЫ</v>
          </cell>
          <cell r="E1136" t="str">
            <v>FBS</v>
          </cell>
          <cell r="F1136" t="str">
            <v>Стол компьютерный рабочий Orion  110х75х60</v>
          </cell>
          <cell r="G1136" t="str">
            <v>черный + кромка</v>
          </cell>
          <cell r="H1136" t="str">
            <v>2521897952862</v>
          </cell>
          <cell r="I1136" t="str">
            <v>Основной ассортимент</v>
          </cell>
        </row>
        <row r="1137">
          <cell r="A1137">
            <v>1355202</v>
          </cell>
          <cell r="B1137" t="str">
            <v>Стол письменный Ультра (Серия 2) Крафт табачный</v>
          </cell>
          <cell r="C1137" t="str">
            <v>Перепечаева</v>
          </cell>
          <cell r="D1137" t="str">
            <v>СТОЛЫ</v>
          </cell>
          <cell r="E1137" t="str">
            <v>FBS</v>
          </cell>
          <cell r="F1137" t="str">
            <v>Стол письменный Ультра 4 ящика 1056*750*450</v>
          </cell>
          <cell r="G1137" t="str">
            <v>дуб крафт табачный</v>
          </cell>
          <cell r="H1137" t="str">
            <v>2521897953100</v>
          </cell>
          <cell r="I1137" t="str">
            <v>Основной ассортимент</v>
          </cell>
        </row>
        <row r="1138">
          <cell r="A1138">
            <v>14001</v>
          </cell>
          <cell r="B1138" t="str">
            <v>Стол письменный City Lite Графит</v>
          </cell>
          <cell r="C1138" t="str">
            <v>Перепечаева</v>
          </cell>
          <cell r="D1138" t="str">
            <v>СТОЛЫ</v>
          </cell>
          <cell r="E1138" t="str">
            <v>FBS</v>
          </cell>
          <cell r="F1138" t="str">
            <v xml:space="preserve">Стол письменный City Lite </v>
          </cell>
          <cell r="G1138" t="str">
            <v>Графит</v>
          </cell>
          <cell r="H1138" t="str">
            <v>2521897953160</v>
          </cell>
          <cell r="I1138" t="str">
            <v>Основной ассортимент</v>
          </cell>
        </row>
        <row r="1139">
          <cell r="A1139">
            <v>1355250</v>
          </cell>
          <cell r="B1139" t="str">
            <v>Стол письменный УЛЬТРА (1,058х0,75х0,45) Дуб крафт белый (серия2)</v>
          </cell>
          <cell r="C1139" t="str">
            <v>Перепечаева</v>
          </cell>
          <cell r="D1139" t="str">
            <v>СТОЛЫ</v>
          </cell>
          <cell r="E1139" t="str">
            <v>FBS</v>
          </cell>
          <cell r="F1139" t="str">
            <v>Стол письменный Ультра 4 ящика 1056*750*450</v>
          </cell>
          <cell r="G1139" t="str">
            <v>Дуб Крафт Белый</v>
          </cell>
          <cell r="H1139" t="str">
            <v>2521897952946</v>
          </cell>
          <cell r="I1139" t="str">
            <v>Основной ассортимент</v>
          </cell>
        </row>
        <row r="1140">
          <cell r="A1140">
            <v>14032</v>
          </cell>
          <cell r="B1140" t="str">
            <v>Стол письменный Милан Бетон</v>
          </cell>
          <cell r="C1140" t="str">
            <v>Кошкарева</v>
          </cell>
          <cell r="D1140" t="str">
            <v>СТОЛЫ</v>
          </cell>
          <cell r="E1140" t="str">
            <v>FBS</v>
          </cell>
          <cell r="F1140" t="str">
            <v xml:space="preserve">Стол письменный рабочий Милан </v>
          </cell>
          <cell r="G1140" t="str">
            <v>Бетон</v>
          </cell>
          <cell r="H1140" t="str">
            <v>2521897953175</v>
          </cell>
          <cell r="I1140" t="str">
            <v>Основной ассортимент</v>
          </cell>
        </row>
        <row r="1141">
          <cell r="A1141">
            <v>3212</v>
          </cell>
          <cell r="B1141" t="str">
            <v>Тумба подвесная Мальта Белое тиснение 610х200х290</v>
          </cell>
          <cell r="C1141" t="str">
            <v>Леонтьева</v>
          </cell>
          <cell r="D1141" t="str">
            <v>СТОЛЫ МАНИКЮРНЫЕ</v>
          </cell>
          <cell r="E1141" t="str">
            <v>FBO</v>
          </cell>
          <cell r="F1141" t="str">
            <v>Тумба подвесная Мальта  610х200х290</v>
          </cell>
          <cell r="G1141" t="str">
            <v>Белое тиснение</v>
          </cell>
          <cell r="H1141" t="str">
            <v>2521897952488</v>
          </cell>
          <cell r="I1141" t="str">
            <v>Основной ассортимент</v>
          </cell>
        </row>
        <row r="1142">
          <cell r="A1142">
            <v>3213</v>
          </cell>
          <cell r="B1142" t="str">
            <v>Тумба подвесная с двойным ящиком Мальта Плюс Белое тиснение 910х200х290</v>
          </cell>
          <cell r="C1142" t="str">
            <v>Леонтьева</v>
          </cell>
          <cell r="D1142" t="str">
            <v>СТОЛЫ МАНИКЮРНЫЕ</v>
          </cell>
          <cell r="E1142" t="str">
            <v>FBS</v>
          </cell>
          <cell r="F1142" t="str">
            <v>Тумба подвесная с двойным ящиком Мальта Плюс 910х200х290</v>
          </cell>
          <cell r="G1142" t="str">
            <v>Белое тиснение</v>
          </cell>
          <cell r="H1142" t="str">
            <v>2521897952489</v>
          </cell>
          <cell r="I1142" t="str">
            <v>Основной ассортимент</v>
          </cell>
        </row>
        <row r="1143">
          <cell r="A1143">
            <v>3687</v>
          </cell>
          <cell r="B1143" t="str">
            <v>Тумба подвесная Malta Ателье светлое/Белое тисн. 610х200(h)х284</v>
          </cell>
          <cell r="C1143" t="str">
            <v>Леонтьева</v>
          </cell>
          <cell r="D1143" t="str">
            <v>СТОЛЫ МАНИКЮРНЫЕ</v>
          </cell>
          <cell r="E1143" t="str">
            <v>FBO</v>
          </cell>
          <cell r="F1143" t="str">
            <v>Тумба подвесная Мальта  610х200х290</v>
          </cell>
          <cell r="G1143" t="str">
            <v>Бетон/Белое тиснение</v>
          </cell>
          <cell r="H1143" t="str">
            <v>2521897953152</v>
          </cell>
          <cell r="I1143" t="str">
            <v>Вакансия</v>
          </cell>
        </row>
        <row r="1144">
          <cell r="A1144">
            <v>3688</v>
          </cell>
          <cell r="B1144" t="str">
            <v>Тумба подвесная Malta Графит 610х200(h)х284</v>
          </cell>
          <cell r="C1144" t="str">
            <v>Леонтьева</v>
          </cell>
          <cell r="D1144" t="str">
            <v>СТОЛЫ МАНИКЮРНЫЕ</v>
          </cell>
          <cell r="E1144" t="str">
            <v>FBO</v>
          </cell>
          <cell r="F1144" t="str">
            <v>Тумба подвесная Мальта  610х200х290</v>
          </cell>
          <cell r="G1144" t="str">
            <v>Графит</v>
          </cell>
          <cell r="H1144" t="str">
            <v>2521897953153</v>
          </cell>
          <cell r="I1144" t="str">
            <v>Основной ассортимент</v>
          </cell>
        </row>
        <row r="1145">
          <cell r="A1145">
            <v>2644</v>
          </cell>
          <cell r="B1145" t="str">
            <v>Стол обеденный Мальта Лайт Дуб сонома/Белое тиснение 650х780х650</v>
          </cell>
          <cell r="C1145" t="str">
            <v>Леонтьева</v>
          </cell>
          <cell r="D1145" t="str">
            <v>СТОЛЫ ОБЕДЕННЫЕ</v>
          </cell>
          <cell r="E1145" t="str">
            <v>FBO</v>
          </cell>
          <cell r="F1145" t="str">
            <v>Стол обеденный Мальта Лайт  650х780х650</v>
          </cell>
          <cell r="G1145" t="str">
            <v>дуб сонома/белое тиснение</v>
          </cell>
          <cell r="H1145" t="str">
            <v>2520000000848</v>
          </cell>
          <cell r="I1145" t="str">
            <v>Вакансия</v>
          </cell>
        </row>
        <row r="1146">
          <cell r="A1146">
            <v>2664</v>
          </cell>
          <cell r="B1146" t="str">
            <v>Стол обеденный Мальта Лайт Орех лион/Венге 650х780х650</v>
          </cell>
          <cell r="C1146" t="str">
            <v>Леонтьева</v>
          </cell>
          <cell r="D1146" t="str">
            <v>СТОЛЫ ОБЕДЕННЫЕ</v>
          </cell>
          <cell r="E1146" t="str">
            <v>FBO</v>
          </cell>
          <cell r="F1146" t="str">
            <v>Стол обеденный Мальта Лайт  650х780х650</v>
          </cell>
          <cell r="G1146" t="str">
            <v>Венге/Дуб крафт золотой</v>
          </cell>
          <cell r="H1146" t="str">
            <v>2520000000855</v>
          </cell>
          <cell r="I1146" t="str">
            <v>Вакансия</v>
          </cell>
        </row>
        <row r="1147">
          <cell r="A1147">
            <v>135577</v>
          </cell>
          <cell r="B1147" t="str">
            <v>Стол обеденный Мальта Лайт Белое тиснение</v>
          </cell>
          <cell r="C1147" t="str">
            <v>Леонтьева</v>
          </cell>
          <cell r="D1147" t="str">
            <v>СТОЛЫ ОБЕДЕННЫЕ</v>
          </cell>
          <cell r="E1147" t="str">
            <v>FBO</v>
          </cell>
          <cell r="F1147" t="str">
            <v>Стол обеденный Мальта Лайт  650х780х650</v>
          </cell>
          <cell r="G1147" t="str">
            <v>Белое тиснение</v>
          </cell>
          <cell r="H1147" t="str">
            <v>2521897952885</v>
          </cell>
          <cell r="I1147" t="str">
            <v>Вакансия</v>
          </cell>
        </row>
        <row r="1148">
          <cell r="A1148">
            <v>2938</v>
          </cell>
          <cell r="B1148" t="str">
            <v>Тумба под ТВ Лофт плюс Белое тиснение 1150х477х350</v>
          </cell>
          <cell r="C1148" t="str">
            <v>Мисесина</v>
          </cell>
          <cell r="D1148" t="str">
            <v>ТУМБЫ под ТВ</v>
          </cell>
          <cell r="E1148" t="str">
            <v>FBS</v>
          </cell>
          <cell r="F1148" t="str">
            <v>Тумба под ТВ Loft плюс</v>
          </cell>
          <cell r="G1148" t="str">
            <v>Белое тиснение</v>
          </cell>
          <cell r="H1148" t="str">
            <v>2520000000046</v>
          </cell>
          <cell r="I1148" t="str">
            <v>Основной ассортимент</v>
          </cell>
        </row>
        <row r="1149">
          <cell r="A1149">
            <v>3610</v>
          </cell>
          <cell r="B1149" t="str">
            <v>Тумба под тв Мальта Белое гладкое ш1020*в293*г354</v>
          </cell>
          <cell r="C1149" t="str">
            <v>Мисесина</v>
          </cell>
          <cell r="D1149" t="str">
            <v>ТУМБЫ под ТВ</v>
          </cell>
          <cell r="E1149" t="str">
            <v>FBS</v>
          </cell>
          <cell r="F1149" t="str">
            <v xml:space="preserve">Тумба под тв Мальта </v>
          </cell>
          <cell r="G1149" t="str">
            <v>Белое тиснение</v>
          </cell>
          <cell r="H1149" t="str">
            <v>2521897953027</v>
          </cell>
          <cell r="I1149" t="str">
            <v>Основной ассортимент</v>
          </cell>
        </row>
        <row r="1150">
          <cell r="A1150">
            <v>3571</v>
          </cell>
          <cell r="B1150" t="str">
            <v>Тумба под ТВ Loft Дуб Крафт Белый 1090х477(h)х350</v>
          </cell>
          <cell r="C1150" t="str">
            <v>Мисесина</v>
          </cell>
          <cell r="D1150" t="str">
            <v>ТУМБЫ под ТВ</v>
          </cell>
          <cell r="E1150" t="str">
            <v>FBS</v>
          </cell>
          <cell r="F1150" t="str">
            <v>Тумба под ТВ Loft плюс</v>
          </cell>
          <cell r="G1150" t="str">
            <v>Дуб Крафт Белый</v>
          </cell>
          <cell r="H1150" t="str">
            <v>2521897952781</v>
          </cell>
          <cell r="I1150" t="str">
            <v>Основной ассортимент</v>
          </cell>
        </row>
        <row r="1151">
          <cell r="A1151">
            <v>3386</v>
          </cell>
          <cell r="B1151" t="str">
            <v>Тумба City 2 ящика Белое тиснение</v>
          </cell>
          <cell r="C1151" t="str">
            <v>Кошкарева</v>
          </cell>
          <cell r="D1151" t="str">
            <v>ТУМБЫ ПРИКРОВАТНЫЕ</v>
          </cell>
          <cell r="E1151" t="str">
            <v>FBO</v>
          </cell>
          <cell r="F1151" t="str">
            <v xml:space="preserve">Тумба City 2 ящика </v>
          </cell>
          <cell r="G1151" t="str">
            <v>Белое тиснение</v>
          </cell>
          <cell r="H1151" t="str">
            <v>2521897952576</v>
          </cell>
          <cell r="I1151" t="str">
            <v>Основной ассортимент</v>
          </cell>
        </row>
        <row r="1152">
          <cell r="A1152">
            <v>3511</v>
          </cell>
          <cell r="B1152" t="str">
            <v>Тумба City 2 ящика Дуб сонома</v>
          </cell>
          <cell r="C1152" t="str">
            <v>Кошкарева</v>
          </cell>
          <cell r="D1152" t="str">
            <v>ТУМБЫ ПРИКРОВАТНЫЕ</v>
          </cell>
          <cell r="E1152" t="str">
            <v>FBO</v>
          </cell>
          <cell r="F1152" t="str">
            <v xml:space="preserve">Тумба City 2 ящика </v>
          </cell>
          <cell r="G1152" t="str">
            <v>Дуб сонома</v>
          </cell>
          <cell r="H1152" t="str">
            <v>2521897952578</v>
          </cell>
          <cell r="I1152" t="str">
            <v>Основной ассортимент</v>
          </cell>
        </row>
        <row r="1153">
          <cell r="A1153">
            <v>4070</v>
          </cell>
          <cell r="B1153" t="str">
            <v>Тумба подвесная Белое тиснение Оливия 420*279*300</v>
          </cell>
          <cell r="C1153" t="str">
            <v>Кошкарева</v>
          </cell>
          <cell r="D1153" t="str">
            <v>ТУМБЫ ПРИКРОВАТНЫЕ</v>
          </cell>
          <cell r="E1153" t="str">
            <v>FBO</v>
          </cell>
          <cell r="F1153" t="str">
            <v>Тумба подвесная  Оливия 420*279*300</v>
          </cell>
          <cell r="G1153" t="str">
            <v>Белое тиснение</v>
          </cell>
          <cell r="H1153" t="str">
            <v>2521897953019</v>
          </cell>
          <cell r="I1153" t="str">
            <v>Основной ассортимент</v>
          </cell>
        </row>
        <row r="1154">
          <cell r="A1154">
            <v>2563</v>
          </cell>
          <cell r="B1154" t="str">
            <v>Тумба прикроватная Ультра 2 ящика Белое тиснение 400х445х386</v>
          </cell>
          <cell r="C1154" t="str">
            <v>Кошкарева</v>
          </cell>
          <cell r="D1154" t="str">
            <v>ТУМБЫ ПРИКРОВАТНЫЕ</v>
          </cell>
          <cell r="E1154" t="str">
            <v>FBO</v>
          </cell>
          <cell r="F1154" t="str">
            <v>Тумба прикроватная Ультра 2 ящика  400х445х386</v>
          </cell>
          <cell r="G1154" t="str">
            <v>Белое тиснение</v>
          </cell>
          <cell r="H1154" t="str">
            <v>2520000000138</v>
          </cell>
          <cell r="I1154" t="str">
            <v>Основной ассортимент</v>
          </cell>
        </row>
        <row r="1155">
          <cell r="A1155">
            <v>2537</v>
          </cell>
          <cell r="B1155" t="str">
            <v>Тумба прикроватная Ультра 2 ящика Венге 400х445х386</v>
          </cell>
          <cell r="C1155" t="str">
            <v>Кошкарева</v>
          </cell>
          <cell r="D1155" t="str">
            <v>ТУМБЫ ПРИКРОВАТНЫЕ</v>
          </cell>
          <cell r="E1155" t="str">
            <v>FBO</v>
          </cell>
          <cell r="F1155" t="str">
            <v>Тумба прикроватная Ультра 2 ящика  400х445х386</v>
          </cell>
          <cell r="G1155" t="str">
            <v>Венге</v>
          </cell>
          <cell r="H1155" t="str">
            <v>2520000000145</v>
          </cell>
          <cell r="I1155" t="str">
            <v>Основной ассортимент</v>
          </cell>
        </row>
        <row r="1156">
          <cell r="A1156">
            <v>3551</v>
          </cell>
          <cell r="B1156" t="str">
            <v>Тумба прикроватная Ультра Дуб белый Крафт 2 ящика 400х445х386</v>
          </cell>
          <cell r="C1156" t="str">
            <v>Кошкарева</v>
          </cell>
          <cell r="D1156" t="str">
            <v>ТУМБЫ ПРИКРОВАТНЫЕ</v>
          </cell>
          <cell r="E1156" t="str">
            <v>FBO</v>
          </cell>
          <cell r="F1156" t="str">
            <v>Тумба прикроватная Ультра 2 ящика  400х445х386</v>
          </cell>
          <cell r="G1156" t="str">
            <v>дуб крафт белый</v>
          </cell>
          <cell r="H1156" t="str">
            <v>2521897952712</v>
          </cell>
          <cell r="I1156" t="str">
            <v>Основной ассортимент</v>
          </cell>
        </row>
        <row r="1157">
          <cell r="A1157">
            <v>4000</v>
          </cell>
          <cell r="B1157" t="str">
            <v>Тумба прикроватная Индиго Белое тиснение 410х530х380</v>
          </cell>
          <cell r="C1157" t="str">
            <v>Кошкарева</v>
          </cell>
          <cell r="D1157" t="str">
            <v>ТУМБЫ ПРИКРОВАТНЫЕ</v>
          </cell>
          <cell r="E1157" t="str">
            <v>FBO</v>
          </cell>
          <cell r="F1157" t="str">
            <v>Тумба прикроватная Индиго 410х530х380</v>
          </cell>
          <cell r="G1157" t="str">
            <v>Белое тиснение</v>
          </cell>
          <cell r="H1157" t="str">
            <v>2521897952965</v>
          </cell>
          <cell r="I1157" t="str">
            <v>Основной ассортимент</v>
          </cell>
        </row>
        <row r="1158">
          <cell r="A1158">
            <v>4011</v>
          </cell>
          <cell r="B1158" t="str">
            <v>Тумба прикроватная Индиго Дуб сонома 410х530х380</v>
          </cell>
          <cell r="C1158" t="str">
            <v>Кошкарева</v>
          </cell>
          <cell r="D1158" t="str">
            <v>ТУМБЫ ПРИКРОВАТНЫЕ</v>
          </cell>
          <cell r="E1158" t="str">
            <v>FBO</v>
          </cell>
          <cell r="F1158" t="str">
            <v>Тумба прикроватная Индиго 410х530х380</v>
          </cell>
          <cell r="G1158" t="str">
            <v>Дуб сонома</v>
          </cell>
          <cell r="H1158" t="str">
            <v>2521897952967</v>
          </cell>
          <cell r="I1158" t="str">
            <v>Основной ассортимент</v>
          </cell>
        </row>
        <row r="1159">
          <cell r="A1159">
            <v>2940</v>
          </cell>
          <cell r="B1159" t="str">
            <v>Тумба под ТВ Лофт плюс Дуб сонома 1150х477х350</v>
          </cell>
          <cell r="C1159" t="str">
            <v>Мисесина</v>
          </cell>
          <cell r="D1159" t="str">
            <v>ТУМБЫ под ТВ</v>
          </cell>
          <cell r="E1159" t="str">
            <v>FBS</v>
          </cell>
          <cell r="F1159" t="str">
            <v>Тумба под ТВ Loft плюс</v>
          </cell>
          <cell r="G1159" t="str">
            <v>Дуб сонома</v>
          </cell>
          <cell r="H1159" t="str">
            <v>2520000000053</v>
          </cell>
          <cell r="I1159" t="str">
            <v>Основной ассортимент</v>
          </cell>
        </row>
        <row r="1160">
          <cell r="A1160">
            <v>2939</v>
          </cell>
          <cell r="B1160" t="str">
            <v>Тумба под ТВ Loft плюс Дуб крафт золотой 1090х477х350</v>
          </cell>
          <cell r="C1160" t="str">
            <v>Мисесина</v>
          </cell>
          <cell r="D1160" t="str">
            <v>ТУМБЫ под ТВ</v>
          </cell>
          <cell r="E1160" t="str">
            <v>FBS</v>
          </cell>
          <cell r="F1160" t="str">
            <v>Тумба под ТВ Loft плюс</v>
          </cell>
          <cell r="G1160" t="str">
            <v>Дуб Крафт золотой</v>
          </cell>
          <cell r="H1160" t="str">
            <v>2520000000060</v>
          </cell>
          <cell r="I1160" t="str">
            <v>Основной ассортимент</v>
          </cell>
        </row>
        <row r="1161">
          <cell r="A1161">
            <v>14114</v>
          </cell>
          <cell r="B1161" t="str">
            <v>Шкаф 2в1 Пакс  Графит</v>
          </cell>
          <cell r="C1161" t="str">
            <v>Перепечаева</v>
          </cell>
          <cell r="D1161" t="str">
            <v>ШКАФЫ</v>
          </cell>
          <cell r="E1161" t="str">
            <v>СКГТ (ОЗОН)</v>
          </cell>
          <cell r="F1161" t="str">
            <v xml:space="preserve">Шкаф 2в1 Пакс </v>
          </cell>
          <cell r="G1161" t="str">
            <v>Графит</v>
          </cell>
          <cell r="H1161" t="str">
            <v>2521897953118</v>
          </cell>
          <cell r="I1161" t="str">
            <v>Основной ассортимент</v>
          </cell>
        </row>
        <row r="1162">
          <cell r="A1162">
            <v>14115</v>
          </cell>
          <cell r="B1162" t="str">
            <v>Шкаф 2в1 Пакс Бетон</v>
          </cell>
          <cell r="C1162" t="str">
            <v>Перепечаева</v>
          </cell>
          <cell r="D1162" t="str">
            <v>ШКАФЫ</v>
          </cell>
          <cell r="E1162" t="str">
            <v>СКГТ (ОЗОН)</v>
          </cell>
          <cell r="F1162" t="str">
            <v xml:space="preserve">Шкаф 2в1 Пакс </v>
          </cell>
          <cell r="G1162" t="str">
            <v>Бетон</v>
          </cell>
          <cell r="H1162" t="str">
            <v>2521897953119</v>
          </cell>
          <cell r="I1162" t="str">
            <v>Основной ассортимент</v>
          </cell>
        </row>
        <row r="1163">
          <cell r="A1163">
            <v>2607</v>
          </cell>
          <cell r="B1163" t="str">
            <v>Тумба под тв Мальта Дуб сонома/Белое гладкое 1020х293х354</v>
          </cell>
          <cell r="C1163" t="str">
            <v>Мисесина</v>
          </cell>
          <cell r="D1163" t="str">
            <v>ТУМБЫ под ТВ</v>
          </cell>
          <cell r="E1163" t="str">
            <v>FBS</v>
          </cell>
          <cell r="F1163" t="str">
            <v xml:space="preserve">Тумба под тв Мальта </v>
          </cell>
          <cell r="G1163" t="str">
            <v>дуб сонома/белая гладкая</v>
          </cell>
          <cell r="H1163" t="str">
            <v>2520000000107</v>
          </cell>
          <cell r="I1163" t="str">
            <v>Основной ассортимент</v>
          </cell>
        </row>
        <row r="1164">
          <cell r="A1164">
            <v>3570</v>
          </cell>
          <cell r="B1164" t="str">
            <v>Тумба под ТВ Loft Черный 1090х477(h)х350</v>
          </cell>
          <cell r="C1164" t="str">
            <v>Мисесина</v>
          </cell>
          <cell r="D1164" t="str">
            <v>ТУМБЫ под ТВ</v>
          </cell>
          <cell r="E1164" t="str">
            <v>FBS</v>
          </cell>
          <cell r="F1164" t="str">
            <v>Тумба под ТВ Loft плюс</v>
          </cell>
          <cell r="G1164" t="str">
            <v>Черный</v>
          </cell>
          <cell r="H1164" t="str">
            <v>2521897952780</v>
          </cell>
          <cell r="I1164" t="str">
            <v>Основной ассортимент</v>
          </cell>
        </row>
        <row r="1165">
          <cell r="A1165">
            <v>41103</v>
          </cell>
          <cell r="B1165" t="str">
            <v>Комод Веста Дуб сонома 757х346х600</v>
          </cell>
          <cell r="C1165" t="str">
            <v>Ратникова</v>
          </cell>
          <cell r="D1165" t="str">
            <v>КОМОДЫ</v>
          </cell>
          <cell r="E1165" t="str">
            <v>FBO</v>
          </cell>
          <cell r="F1165" t="str">
            <v>Комод Веста</v>
          </cell>
          <cell r="G1165" t="str">
            <v>Графит</v>
          </cell>
          <cell r="H1165" t="str">
            <v>2521897953192</v>
          </cell>
          <cell r="I1165" t="str">
            <v>Основной ассортимент</v>
          </cell>
        </row>
        <row r="1166">
          <cell r="A1166">
            <v>41141</v>
          </cell>
          <cell r="B1166" t="str">
            <v>Комод Веста Lite Графит 782х599х294</v>
          </cell>
          <cell r="C1166" t="str">
            <v>Ратникова</v>
          </cell>
          <cell r="D1166" t="str">
            <v>КОМОДЫ</v>
          </cell>
          <cell r="E1166" t="str">
            <v>FBO</v>
          </cell>
          <cell r="F1166" t="str">
            <v>Комод Веста Lite</v>
          </cell>
          <cell r="G1166" t="str">
            <v>Дуб сонома</v>
          </cell>
          <cell r="H1166" t="str">
            <v>2521897953183</v>
          </cell>
          <cell r="I1166" t="str">
            <v>Основной ассортимент</v>
          </cell>
        </row>
        <row r="1167">
          <cell r="A1167" t="str">
            <v>MK1310101</v>
          </cell>
          <cell r="B1167" t="str">
            <v>Комод тумба Frame ЛДСП Дуб Вотан, Черн.металл.</v>
          </cell>
          <cell r="C1167" t="str">
            <v>Мисесина</v>
          </cell>
          <cell r="D1167" t="str">
            <v>ТУМБЫ под ТВ</v>
          </cell>
          <cell r="E1167" t="str">
            <v>FBS</v>
          </cell>
          <cell r="F1167" t="str">
            <v xml:space="preserve">Комод тумба Frame </v>
          </cell>
          <cell r="G1167" t="str">
            <v>ЛДСП Дуб Вотан, Черн. металл.</v>
          </cell>
          <cell r="H1167" t="str">
            <v>2521897952670</v>
          </cell>
          <cell r="I1167" t="str">
            <v>Основной ассортимент</v>
          </cell>
        </row>
        <row r="1168">
          <cell r="A1168">
            <v>3723</v>
          </cell>
          <cell r="B1168" t="str">
            <v>Тумба под ТВ Loft плюс Серый Графит 1090х477х350</v>
          </cell>
          <cell r="C1168" t="str">
            <v>Мисесина</v>
          </cell>
          <cell r="D1168" t="str">
            <v>ТУМБЫ под ТВ</v>
          </cell>
          <cell r="E1168" t="str">
            <v>FBS</v>
          </cell>
          <cell r="F1168" t="str">
            <v>Тумба под ТВ Loft плюс</v>
          </cell>
          <cell r="G1168" t="str">
            <v>Графит</v>
          </cell>
          <cell r="H1168" t="str">
            <v>2521897953172</v>
          </cell>
          <cell r="I1168" t="str">
            <v>Основной ассортимент</v>
          </cell>
        </row>
        <row r="1169">
          <cell r="A1169">
            <v>3748</v>
          </cell>
          <cell r="B1169" t="str">
            <v>Шкаф стеллаж детский Белое тиснение 780*1100*292</v>
          </cell>
          <cell r="C1169" t="str">
            <v>Перепечаева</v>
          </cell>
          <cell r="D1169" t="str">
            <v>ШКАФЫ</v>
          </cell>
          <cell r="E1169" t="str">
            <v>FBO</v>
          </cell>
          <cell r="F1169" t="str">
            <v>Шкаф стеллаж детский</v>
          </cell>
          <cell r="G1169" t="str">
            <v>Белое тиснение</v>
          </cell>
          <cell r="H1169" t="str">
            <v>2521897953219</v>
          </cell>
          <cell r="I1169" t="str">
            <v>Основной ассортимент</v>
          </cell>
        </row>
        <row r="1170">
          <cell r="A1170">
            <v>3751</v>
          </cell>
          <cell r="B1170" t="str">
            <v>Комод City New универсальный Белое тиснение 1402*1083*394</v>
          </cell>
          <cell r="C1170" t="str">
            <v>Платонова</v>
          </cell>
          <cell r="D1170" t="str">
            <v>КОМОДЫ</v>
          </cell>
          <cell r="E1170" t="str">
            <v>СКГТ (ОЗОН)</v>
          </cell>
          <cell r="F1170" t="str">
            <v>Комод City New универсальный</v>
          </cell>
          <cell r="G1170" t="str">
            <v>Белое тиснение</v>
          </cell>
          <cell r="H1170" t="str">
            <v>2521897953228</v>
          </cell>
          <cell r="I1170" t="str">
            <v>Основной ассортимент</v>
          </cell>
        </row>
        <row r="1171">
          <cell r="A1171" t="str">
            <v>MK00019</v>
          </cell>
          <cell r="B1171" t="str">
            <v>Тумба Frame с ящиком ЛДСП Дуб Вотан, черн. Металл. 408х504х304</v>
          </cell>
          <cell r="C1171" t="str">
            <v>Кошкарева</v>
          </cell>
          <cell r="D1171" t="str">
            <v>ТУМБЫ ПРИКРОВАТНЫЕ</v>
          </cell>
          <cell r="E1171" t="str">
            <v>FBO</v>
          </cell>
          <cell r="F1171" t="str">
            <v>Тумба Frame с ящиком  408х504х304</v>
          </cell>
          <cell r="G1171" t="str">
            <v>ЛДСП Дуб Вотан, Черн. металл.</v>
          </cell>
          <cell r="H1171" t="str">
            <v>2521897952616</v>
          </cell>
          <cell r="I1171" t="str">
            <v>Основной ассортимент</v>
          </cell>
        </row>
        <row r="1172">
          <cell r="A1172" t="str">
            <v>3804.17/01</v>
          </cell>
          <cell r="B1172" t="str">
            <v>Стол письменный Estet Plus Белая Гладкая 1100*754*670</v>
          </cell>
          <cell r="C1172" t="str">
            <v>Ратникова</v>
          </cell>
          <cell r="D1172" t="str">
            <v>СТОЛЫ</v>
          </cell>
          <cell r="E1172" t="str">
            <v>СКГТ</v>
          </cell>
          <cell r="F1172" t="str">
            <v>Стол письменный Estet Plus</v>
          </cell>
          <cell r="G1172" t="str">
            <v>Белая гладкая</v>
          </cell>
          <cell r="H1172" t="str">
            <v>2521897953246</v>
          </cell>
          <cell r="I1172" t="str">
            <v>Основной ассортимент</v>
          </cell>
        </row>
        <row r="1173">
          <cell r="A1173">
            <v>4073</v>
          </cell>
          <cell r="B1173" t="str">
            <v>Тумба подвесная Дуб сонома Оливия 420*279*300</v>
          </cell>
          <cell r="C1173" t="str">
            <v>Кошкарева</v>
          </cell>
          <cell r="D1173" t="str">
            <v>ТУМБЫ ПРИКРОВАТНЫЕ</v>
          </cell>
          <cell r="E1173" t="str">
            <v>FBO</v>
          </cell>
          <cell r="F1173" t="str">
            <v>Тумба подвесная  Оливия 420*279*300</v>
          </cell>
          <cell r="G1173" t="str">
            <v>Дуб сонома</v>
          </cell>
          <cell r="H1173" t="str">
            <v>2521897953022</v>
          </cell>
          <cell r="I1173" t="str">
            <v>Основной ассортимент</v>
          </cell>
        </row>
        <row r="1174">
          <cell r="A1174" t="str">
            <v>MK1030101</v>
          </cell>
          <cell r="B1174" t="str">
            <v>Тумба Frame с ящиком, с полкой ЛДСП Дуб Вотан, Черн. металл. 406х470(h)х304</v>
          </cell>
          <cell r="C1174" t="str">
            <v>Кошкарева</v>
          </cell>
          <cell r="D1174" t="str">
            <v>ТУМБЫ ПРИКРОВАТНЫЕ</v>
          </cell>
          <cell r="E1174" t="str">
            <v>FBO</v>
          </cell>
          <cell r="F1174" t="str">
            <v>Тумба Frame с ящиком, с полкой 406х470х304</v>
          </cell>
          <cell r="G1174" t="str">
            <v>ЛДСП Дуб Вотан, Черн. металл.</v>
          </cell>
          <cell r="H1174" t="str">
            <v>2521897952638</v>
          </cell>
          <cell r="I1174" t="str">
            <v>Основной ассортимент</v>
          </cell>
        </row>
        <row r="1175">
          <cell r="A1175" t="str">
            <v>3751.03/01</v>
          </cell>
          <cell r="B1175" t="str">
            <v>Комод City New универсальный Дуб Сонома 1402*1083*394</v>
          </cell>
          <cell r="C1175" t="str">
            <v>Платонова</v>
          </cell>
          <cell r="D1175" t="str">
            <v>КОМОДЫ</v>
          </cell>
          <cell r="E1175" t="str">
            <v>СКГТ (ОЗОН)</v>
          </cell>
          <cell r="F1175" t="str">
            <v>Комод City New универсальный</v>
          </cell>
          <cell r="G1175" t="str">
            <v>Дуб сонома</v>
          </cell>
          <cell r="H1175" t="str">
            <v>2521897953230</v>
          </cell>
          <cell r="I1175" t="str">
            <v>Основной ассортимент</v>
          </cell>
        </row>
        <row r="1176">
          <cell r="A1176">
            <v>3052</v>
          </cell>
          <cell r="B1176" t="str">
            <v>Тумба прикроватная Ультра  2 ящ. Черный 400х445х386</v>
          </cell>
          <cell r="C1176" t="str">
            <v>Кошкарева</v>
          </cell>
          <cell r="D1176" t="str">
            <v>ТУМБЫ ПРИКРОВАТНЫЕ</v>
          </cell>
          <cell r="E1176" t="str">
            <v>FBO</v>
          </cell>
          <cell r="F1176" t="str">
            <v>Тумба прикроватная Ультра 2 ящика  400х445х386</v>
          </cell>
          <cell r="G1176" t="str">
            <v>Черный</v>
          </cell>
          <cell r="H1176" t="str">
            <v>2520897922321</v>
          </cell>
          <cell r="I1176" t="str">
            <v>Основной ассортимент</v>
          </cell>
        </row>
        <row r="1177">
          <cell r="A1177" t="str">
            <v>3357.09/01</v>
          </cell>
          <cell r="B1177" t="str">
            <v>Тумба для обуви Серый Графит/Кожзам Серый1042х500х295</v>
          </cell>
          <cell r="C1177" t="str">
            <v xml:space="preserve">Петрова </v>
          </cell>
          <cell r="D1177" t="str">
            <v>ОБУВНИЦЫ</v>
          </cell>
          <cell r="E1177" t="str">
            <v>FBS</v>
          </cell>
          <cell r="F1177" t="str">
            <v>Тумба для обуви 1042х500х295</v>
          </cell>
          <cell r="G1177" t="str">
            <v>Графит</v>
          </cell>
          <cell r="H1177" t="str">
            <v>2521897953221</v>
          </cell>
          <cell r="I1177" t="str">
            <v>Основной ассортимент</v>
          </cell>
        </row>
        <row r="1178">
          <cell r="A1178">
            <v>2550</v>
          </cell>
          <cell r="B1178" t="str">
            <v>Тумба прикроватная Ультра 2 ящика Дуб сонома 400х445х386</v>
          </cell>
          <cell r="C1178" t="str">
            <v>Кошкарева</v>
          </cell>
          <cell r="D1178" t="str">
            <v>ТУМБЫ ПРИКРОВАТНЫЕ</v>
          </cell>
          <cell r="E1178" t="str">
            <v>FBO</v>
          </cell>
          <cell r="F1178" t="str">
            <v>Тумба прикроватная Ультра 2 ящика  400х445х386</v>
          </cell>
          <cell r="G1178" t="str">
            <v>Дуб сонома</v>
          </cell>
          <cell r="H1178" t="str">
            <v>2520000000152</v>
          </cell>
          <cell r="I1178" t="str">
            <v>Основной ассортимент</v>
          </cell>
        </row>
        <row r="1179">
          <cell r="A1179" t="str">
            <v>3751.11/01</v>
          </cell>
          <cell r="B1179" t="str">
            <v>Комод City New универсальный Венге Цаво 1402*1083*394</v>
          </cell>
          <cell r="C1179" t="str">
            <v>Платонова</v>
          </cell>
          <cell r="D1179" t="str">
            <v>КОМОДЫ</v>
          </cell>
          <cell r="E1179" t="str">
            <v>СКГТ (ОЗОН)</v>
          </cell>
          <cell r="F1179" t="str">
            <v>Комод City New универсальный</v>
          </cell>
          <cell r="G1179" t="str">
            <v>Венге</v>
          </cell>
          <cell r="H1179" t="str">
            <v>2521897953233</v>
          </cell>
          <cell r="I1179" t="str">
            <v>Основной ассортимент</v>
          </cell>
        </row>
        <row r="1180">
          <cell r="A1180">
            <v>3550</v>
          </cell>
          <cell r="B1180" t="str">
            <v>Тумба прикроватная Ультра Дуб золотой Крафт 2 ящика 400х445х386</v>
          </cell>
          <cell r="C1180" t="str">
            <v>Кошкарева</v>
          </cell>
          <cell r="D1180" t="str">
            <v>ТУМБЫ ПРИКРОВАТНЫЕ</v>
          </cell>
          <cell r="E1180" t="str">
            <v>FBO</v>
          </cell>
          <cell r="F1180" t="str">
            <v>Тумба прикроватная Ультра 2 ящика  400х445х386</v>
          </cell>
          <cell r="G1180" t="str">
            <v>Дуб Крафт золотой</v>
          </cell>
          <cell r="H1180" t="str">
            <v>2521897952711</v>
          </cell>
          <cell r="I1180" t="str">
            <v>Основной ассортимент</v>
          </cell>
        </row>
        <row r="1181">
          <cell r="A1181" t="str">
            <v>3751.03.17/01</v>
          </cell>
          <cell r="B1181" t="str">
            <v>Комод City New универсальный Дуб сонома/Белая гладкая 1402х1083(h)х394</v>
          </cell>
          <cell r="C1181" t="str">
            <v>Платонова</v>
          </cell>
          <cell r="D1181" t="str">
            <v>КОМОДЫ</v>
          </cell>
          <cell r="E1181" t="str">
            <v>СКГТ (ОЗОН)</v>
          </cell>
          <cell r="F1181" t="str">
            <v>Комод City New универсальный</v>
          </cell>
          <cell r="G1181" t="str">
            <v>дуб сонома/белая гладкая</v>
          </cell>
          <cell r="H1181" t="str">
            <v>2521897953229</v>
          </cell>
          <cell r="I1181" t="str">
            <v>Основной ассортимент</v>
          </cell>
        </row>
        <row r="1182">
          <cell r="A1182">
            <v>3552</v>
          </cell>
          <cell r="B1182" t="str">
            <v>Тумба прикроватная Ультра Бетон 2 ящика 400х445х386</v>
          </cell>
          <cell r="C1182" t="str">
            <v>Кошкарева</v>
          </cell>
          <cell r="D1182" t="str">
            <v>ТУМБЫ ПРИКРОВАТНЫЕ</v>
          </cell>
          <cell r="E1182" t="str">
            <v>FBO</v>
          </cell>
          <cell r="F1182" t="str">
            <v>Тумба прикроватная Ультра 2 ящика  400х445х386</v>
          </cell>
          <cell r="G1182" t="str">
            <v>Бетон</v>
          </cell>
          <cell r="H1182" t="str">
            <v>2521897952971</v>
          </cell>
          <cell r="I1182" t="str">
            <v>Основной ассортимент</v>
          </cell>
        </row>
        <row r="1183">
          <cell r="A1183" t="str">
            <v>3751.04.09/01</v>
          </cell>
          <cell r="B1183" t="str">
            <v>Комод City New универсальный Крафт Серый/Серый Графит 1402х1083(h)х394</v>
          </cell>
          <cell r="C1183" t="str">
            <v>Платонова</v>
          </cell>
          <cell r="D1183" t="str">
            <v>КОМОДЫ</v>
          </cell>
          <cell r="E1183" t="str">
            <v>СКГТ (ОЗОН)</v>
          </cell>
          <cell r="F1183" t="str">
            <v>Комод City New универсальный</v>
          </cell>
          <cell r="G1183" t="str">
            <v>Графит</v>
          </cell>
          <cell r="H1183" t="str">
            <v>2521897953231</v>
          </cell>
          <cell r="I1183" t="str">
            <v>Основной ассортимент</v>
          </cell>
        </row>
        <row r="1184">
          <cell r="A1184">
            <v>4010</v>
          </cell>
          <cell r="B1184" t="str">
            <v>Тумба прикроватная Индиго Бетон 410х530х380</v>
          </cell>
          <cell r="C1184" t="str">
            <v>Кошкарева</v>
          </cell>
          <cell r="D1184" t="str">
            <v>ТУМБЫ ПРИКРОВАТНЫЕ</v>
          </cell>
          <cell r="E1184" t="str">
            <v>FBO</v>
          </cell>
          <cell r="F1184" t="str">
            <v>Тумба прикроватная Индиго 410х530х380</v>
          </cell>
          <cell r="G1184" t="str">
            <v>Бетон</v>
          </cell>
          <cell r="H1184" t="str">
            <v>2521897952966</v>
          </cell>
          <cell r="I1184" t="str">
            <v>Основной ассортимент</v>
          </cell>
        </row>
        <row r="1185">
          <cell r="A1185" t="str">
            <v>3751.09/01</v>
          </cell>
          <cell r="B1185" t="str">
            <v>Комод City New универсальный Серый Графит 1402х1083(h)х394</v>
          </cell>
          <cell r="C1185" t="str">
            <v>Платонова</v>
          </cell>
          <cell r="D1185" t="str">
            <v>КОМОДЫ</v>
          </cell>
          <cell r="E1185" t="str">
            <v>СКГТ (ОЗОН)</v>
          </cell>
          <cell r="F1185" t="str">
            <v>Комод City New универсальный</v>
          </cell>
          <cell r="G1185" t="str">
            <v>Графит</v>
          </cell>
          <cell r="H1185" t="str">
            <v>2521897953232</v>
          </cell>
          <cell r="I1185" t="str">
            <v>Основной ассортимент</v>
          </cell>
        </row>
        <row r="1186">
          <cell r="A1186">
            <v>4072</v>
          </cell>
          <cell r="B1186" t="str">
            <v>Тумба подвесная Бетон Оливия 420*279*300</v>
          </cell>
          <cell r="C1186" t="str">
            <v>Кошкарева</v>
          </cell>
          <cell r="D1186" t="str">
            <v>ТУМБЫ ПРИКРОВАТНЫЕ</v>
          </cell>
          <cell r="E1186" t="str">
            <v>FBO</v>
          </cell>
          <cell r="F1186" t="str">
            <v>Тумба подвесная  Оливия 420*279*300</v>
          </cell>
          <cell r="G1186" t="str">
            <v>Бетон</v>
          </cell>
          <cell r="H1186" t="str">
            <v>2521897953021</v>
          </cell>
          <cell r="I1186" t="str">
            <v>Основной ассортимент</v>
          </cell>
        </row>
        <row r="1187">
          <cell r="A1187">
            <v>3724</v>
          </cell>
          <cell r="B1187" t="str">
            <v>Тумба City 2 ящика Серый Графит 400х481х354</v>
          </cell>
          <cell r="C1187" t="str">
            <v>Кошкарева</v>
          </cell>
          <cell r="D1187" t="str">
            <v>ТУМБЫ ПРИКРОВАТНЫЕ</v>
          </cell>
          <cell r="E1187" t="str">
            <v>FBO</v>
          </cell>
          <cell r="F1187" t="str">
            <v xml:space="preserve">Тумба City 2 ящика </v>
          </cell>
          <cell r="G1187" t="str">
            <v>Графит</v>
          </cell>
          <cell r="H1187" t="str">
            <v>2521897953173</v>
          </cell>
          <cell r="I1187" t="str">
            <v>Основной ассортимент</v>
          </cell>
        </row>
        <row r="1188">
          <cell r="A1188">
            <v>3740</v>
          </cell>
          <cell r="B1188" t="str">
            <v>Шкаф 3в1 Пакс Дуб Вотан 1050х1800(h)x454</v>
          </cell>
          <cell r="C1188" t="str">
            <v>Перепечаева</v>
          </cell>
          <cell r="D1188" t="str">
            <v>ШКАФЫ</v>
          </cell>
          <cell r="E1188" t="str">
            <v>СКГТ (ОЗОН)</v>
          </cell>
          <cell r="F1188" t="str">
            <v>Шкаф 3в1 Пакс</v>
          </cell>
          <cell r="G1188" t="str">
            <v>Дуб Вотан</v>
          </cell>
          <cell r="H1188" t="str">
            <v>2521897953291</v>
          </cell>
          <cell r="I1188" t="str">
            <v>Основной ассортимент</v>
          </cell>
        </row>
        <row r="1189">
          <cell r="A1189">
            <v>3741</v>
          </cell>
          <cell r="B1189" t="str">
            <v>Шкаф 3в1 Пакс Серый графит 1050х1800(h)x454</v>
          </cell>
          <cell r="C1189" t="str">
            <v>Перепечаева</v>
          </cell>
          <cell r="D1189" t="str">
            <v>ШКАФЫ</v>
          </cell>
          <cell r="E1189" t="str">
            <v>СКГТ (ОЗОН)</v>
          </cell>
          <cell r="F1189" t="str">
            <v>Шкаф 3в1 Пакс</v>
          </cell>
          <cell r="G1189" t="str">
            <v>Графит</v>
          </cell>
          <cell r="H1189" t="str">
            <v>2521897953292</v>
          </cell>
          <cell r="I1189" t="str">
            <v>Основной ассортимент</v>
          </cell>
        </row>
        <row r="1190">
          <cell r="A1190">
            <v>3739</v>
          </cell>
          <cell r="B1190" t="str">
            <v>Шкаф 3в1 Пакс Дуб Крафт Серый 1050х1800(h)x454</v>
          </cell>
          <cell r="C1190" t="str">
            <v>Перепечаева</v>
          </cell>
          <cell r="D1190" t="str">
            <v>ШКАФЫ</v>
          </cell>
          <cell r="E1190" t="str">
            <v>СКГТ (ОЗОН)</v>
          </cell>
          <cell r="F1190" t="str">
            <v>Шкаф 3в1 Пакс</v>
          </cell>
          <cell r="G1190" t="str">
            <v>дуб крафт серый</v>
          </cell>
          <cell r="H1190" t="str">
            <v>2521897953290</v>
          </cell>
          <cell r="I1190" t="str">
            <v>Основной ассортимент</v>
          </cell>
        </row>
        <row r="1191">
          <cell r="A1191">
            <v>14026</v>
          </cell>
          <cell r="B1191" t="str">
            <v>Стеллаж  Пакс с ящиками Венге</v>
          </cell>
          <cell r="C1191" t="str">
            <v>Загашева</v>
          </cell>
          <cell r="D1191" t="str">
            <v>СТЕЛЛАЖИ</v>
          </cell>
          <cell r="E1191" t="str">
            <v>СКГТ (ОЗОН)</v>
          </cell>
          <cell r="F1191" t="str">
            <v>Cтеллаж  Пакс с ящиками</v>
          </cell>
          <cell r="G1191" t="str">
            <v>Венге</v>
          </cell>
          <cell r="H1191" t="str">
            <v>2521897953303</v>
          </cell>
          <cell r="I1191" t="str">
            <v>Основной ассортимент</v>
          </cell>
        </row>
        <row r="1192">
          <cell r="A1192" t="str">
            <v>3750.09/01</v>
          </cell>
          <cell r="B1192" t="str">
            <v>Комод City New 6 ящиков Графит 1400*827*394</v>
          </cell>
          <cell r="C1192" t="str">
            <v>Платонова</v>
          </cell>
          <cell r="D1192" t="str">
            <v>КОМОДЫ</v>
          </cell>
          <cell r="E1192" t="str">
            <v>СКГТ (ОЗОН)</v>
          </cell>
          <cell r="F1192" t="str">
            <v>Комод City New 6 ящиков</v>
          </cell>
          <cell r="G1192" t="str">
            <v>Графит</v>
          </cell>
          <cell r="H1192" t="str">
            <v>2521897953308</v>
          </cell>
          <cell r="I1192" t="str">
            <v>Основной ассортимент</v>
          </cell>
        </row>
        <row r="1193">
          <cell r="A1193">
            <v>14013</v>
          </cell>
          <cell r="B1193" t="str">
            <v>Шкаф 2в1 Пакс Белое тиснение</v>
          </cell>
          <cell r="C1193" t="str">
            <v>Перепечаева</v>
          </cell>
          <cell r="D1193" t="str">
            <v>ШКАФЫ</v>
          </cell>
          <cell r="E1193" t="str">
            <v>СКГТ (ОЗОН)</v>
          </cell>
          <cell r="F1193" t="str">
            <v xml:space="preserve">Шкаф 2в1 Пакс </v>
          </cell>
          <cell r="G1193" t="str">
            <v>Белое тиснение</v>
          </cell>
          <cell r="H1193" t="str">
            <v>2521897952738</v>
          </cell>
          <cell r="I1193" t="str">
            <v>Основной ассортимент</v>
          </cell>
        </row>
        <row r="1194">
          <cell r="A1194">
            <v>14012</v>
          </cell>
          <cell r="B1194" t="str">
            <v>Шкаф 3в1 Пакс Белое тиснение</v>
          </cell>
          <cell r="C1194" t="str">
            <v>Перепечаева</v>
          </cell>
          <cell r="D1194" t="str">
            <v>ШКАФЫ</v>
          </cell>
          <cell r="E1194" t="str">
            <v>СКГТ (ОЗОН)</v>
          </cell>
          <cell r="F1194" t="str">
            <v>Шкаф 3в1 Пакс</v>
          </cell>
          <cell r="G1194" t="str">
            <v>Белое тиснение</v>
          </cell>
          <cell r="H1194" t="str">
            <v>2521897952737</v>
          </cell>
          <cell r="I1194" t="str">
            <v>Основной ассортимент</v>
          </cell>
        </row>
        <row r="1195">
          <cell r="A1195">
            <v>14116</v>
          </cell>
          <cell r="B1195" t="str">
            <v>Шкаф 2в1 Пакс Крафт белый</v>
          </cell>
          <cell r="C1195" t="str">
            <v>Перепечаева</v>
          </cell>
          <cell r="D1195" t="str">
            <v>ШКАФЫ</v>
          </cell>
          <cell r="E1195" t="str">
            <v>СКГТ (ОЗОН)</v>
          </cell>
          <cell r="F1195" t="str">
            <v xml:space="preserve">Шкаф 2в1 Пакс </v>
          </cell>
          <cell r="G1195" t="str">
            <v>дуб крафт белый</v>
          </cell>
          <cell r="H1195" t="str">
            <v>2521897953120</v>
          </cell>
          <cell r="I1195" t="str">
            <v>Основной ассортимент</v>
          </cell>
        </row>
        <row r="1196">
          <cell r="A1196" t="str">
            <v>3750.03/01</v>
          </cell>
          <cell r="B1196" t="str">
            <v>Комод City New 6 ящиков Дуб сонома 1400*827*394</v>
          </cell>
          <cell r="C1196" t="str">
            <v>Платонова</v>
          </cell>
          <cell r="D1196" t="str">
            <v>КОМОДЫ</v>
          </cell>
          <cell r="E1196" t="str">
            <v>СКГТ (ОЗОН)</v>
          </cell>
          <cell r="F1196" t="str">
            <v>Комод City New 6 ящиков</v>
          </cell>
          <cell r="G1196" t="str">
            <v>Дуб сонома</v>
          </cell>
          <cell r="H1196" t="str">
            <v>2521897953309</v>
          </cell>
          <cell r="I1196" t="str">
            <v>Основной ассортимент</v>
          </cell>
        </row>
        <row r="1197">
          <cell r="A1197">
            <v>14027</v>
          </cell>
          <cell r="B1197" t="str">
            <v>Стеллаж  Пакс с ящиками Дуб сонома</v>
          </cell>
          <cell r="C1197" t="str">
            <v>Загашева</v>
          </cell>
          <cell r="D1197" t="str">
            <v>СТЕЛЛАЖИ</v>
          </cell>
          <cell r="E1197" t="str">
            <v>СКГТ (ОЗОН)</v>
          </cell>
          <cell r="F1197" t="str">
            <v>Cтеллаж  Пакс с ящиками</v>
          </cell>
          <cell r="G1197" t="str">
            <v>Дуб сонома</v>
          </cell>
          <cell r="H1197" t="str">
            <v>2521897953304</v>
          </cell>
          <cell r="I1197" t="str">
            <v>Основной ассортимент</v>
          </cell>
        </row>
        <row r="1198">
          <cell r="A1198">
            <v>14028</v>
          </cell>
          <cell r="B1198" t="str">
            <v>Стеллаж  Пакс с ящиками Графит</v>
          </cell>
          <cell r="C1198" t="str">
            <v>Загашева</v>
          </cell>
          <cell r="D1198" t="str">
            <v>СТЕЛЛАЖИ</v>
          </cell>
          <cell r="E1198" t="str">
            <v>СКГТ (ОЗОН)</v>
          </cell>
          <cell r="F1198" t="str">
            <v>Cтеллаж  Пакс с ящиками</v>
          </cell>
          <cell r="G1198" t="str">
            <v>Графит</v>
          </cell>
          <cell r="H1198" t="str">
            <v>2521897953305</v>
          </cell>
          <cell r="I1198" t="str">
            <v>Основной ассортимент</v>
          </cell>
        </row>
        <row r="1199">
          <cell r="A1199">
            <v>14110</v>
          </cell>
          <cell r="B1199" t="str">
            <v>Шкаф 2в1 Пакс Крафт Табачный</v>
          </cell>
          <cell r="C1199" t="str">
            <v>Перепечаева</v>
          </cell>
          <cell r="D1199" t="str">
            <v>ШКАФЫ</v>
          </cell>
          <cell r="E1199" t="str">
            <v>СКГТ (ОЗОН)</v>
          </cell>
          <cell r="F1199" t="str">
            <v xml:space="preserve">Шкаф 2в1 Пакс </v>
          </cell>
          <cell r="G1199" t="str">
            <v>Белое тиснение</v>
          </cell>
          <cell r="H1199" t="str">
            <v>2521897953161</v>
          </cell>
          <cell r="I1199" t="str">
            <v>Основной ассортимент</v>
          </cell>
        </row>
        <row r="1200">
          <cell r="A1200">
            <v>14111</v>
          </cell>
          <cell r="B1200" t="str">
            <v>Шкаф 2в1 Пакс Крафт Золотой</v>
          </cell>
          <cell r="C1200" t="str">
            <v>Перепечаева</v>
          </cell>
          <cell r="D1200" t="str">
            <v>ШКАФЫ</v>
          </cell>
          <cell r="E1200" t="str">
            <v>СКГТ (ОЗОН)</v>
          </cell>
          <cell r="F1200" t="str">
            <v xml:space="preserve">Шкаф 2в1 Пакс </v>
          </cell>
          <cell r="G1200" t="str">
            <v>Дуб сонома</v>
          </cell>
          <cell r="H1200" t="str">
            <v>2521897953162</v>
          </cell>
          <cell r="I1200" t="str">
            <v>Основной ассортимент</v>
          </cell>
        </row>
        <row r="1201">
          <cell r="A1201" t="str">
            <v>3890.20/01</v>
          </cell>
          <cell r="B1201" t="str">
            <v>Шкаф комод Ультра Push 2х дверный Цемент светлый Вельвет 602*701*290</v>
          </cell>
          <cell r="C1201" t="str">
            <v>Ратникова</v>
          </cell>
          <cell r="D1201" t="str">
            <v>КОМОДЫ</v>
          </cell>
          <cell r="E1201" t="str">
            <v>FBO</v>
          </cell>
          <cell r="F1201" t="str">
            <v>Шкаф комод Ультра Push 2х дверный</v>
          </cell>
          <cell r="G1201" t="str">
            <v>Цемент светлый вельвет</v>
          </cell>
          <cell r="H1201" t="str">
            <v>2521897953331</v>
          </cell>
          <cell r="I1201" t="str">
            <v>Основной ассортимент</v>
          </cell>
        </row>
        <row r="1202">
          <cell r="A1202" t="str">
            <v>3770.09/01</v>
          </cell>
          <cell r="B1202" t="str">
            <v>Стол стеллаж Ultra Lite Серый графит 1088*1382*400</v>
          </cell>
          <cell r="C1202">
            <v>0</v>
          </cell>
          <cell r="D1202" t="str">
            <v>СТОЛЫ</v>
          </cell>
          <cell r="E1202" t="str">
            <v>FBO</v>
          </cell>
          <cell r="F1202" t="str">
            <v>Стол стеллаж Ultra Lite</v>
          </cell>
          <cell r="G1202" t="str">
            <v>Графит</v>
          </cell>
          <cell r="H1202" t="str">
            <v>2521897953475</v>
          </cell>
          <cell r="I1202" t="str">
            <v>Основной ассортимент</v>
          </cell>
        </row>
        <row r="1203">
          <cell r="A1203" t="str">
            <v>3770.06/01</v>
          </cell>
          <cell r="B1203" t="str">
            <v>Стол стеллаж Ultra Lite Дуб Крафт белый 1088*1382*400</v>
          </cell>
          <cell r="C1203">
            <v>0</v>
          </cell>
          <cell r="D1203" t="str">
            <v>СТОЛЫ</v>
          </cell>
          <cell r="E1203" t="str">
            <v>FBO</v>
          </cell>
          <cell r="F1203" t="str">
            <v>Стол стеллаж Ultra Lite</v>
          </cell>
          <cell r="G1203" t="str">
            <v>Дуб Крафт Белый</v>
          </cell>
          <cell r="H1203" t="str">
            <v>2521897953473</v>
          </cell>
          <cell r="I1203" t="str">
            <v>Основной ассортимент</v>
          </cell>
        </row>
        <row r="1204">
          <cell r="A1204">
            <v>41104</v>
          </cell>
          <cell r="B1204" t="str">
            <v>Комод Веста Дуб сонома/белое тиснение 757х346х600</v>
          </cell>
          <cell r="C1204" t="str">
            <v>Ратникова</v>
          </cell>
          <cell r="D1204" t="str">
            <v>КОМОДЫ</v>
          </cell>
          <cell r="E1204" t="str">
            <v>FBO</v>
          </cell>
          <cell r="F1204" t="str">
            <v>Комод Веста</v>
          </cell>
          <cell r="G1204" t="str">
            <v>дуб сонома/белое тиснение</v>
          </cell>
          <cell r="H1204" t="str">
            <v>2521897953193</v>
          </cell>
          <cell r="I1204" t="str">
            <v>Основной ассортимент</v>
          </cell>
        </row>
        <row r="1205">
          <cell r="A1205">
            <v>5481</v>
          </cell>
          <cell r="B1205" t="str">
            <v>Стол рабочий Jazz Дуб сонома NEW 1046*1075*490</v>
          </cell>
          <cell r="C1205">
            <v>0</v>
          </cell>
          <cell r="D1205" t="str">
            <v>СТОЛЫ</v>
          </cell>
          <cell r="E1205" t="str">
            <v>FBO</v>
          </cell>
          <cell r="F1205" t="str">
            <v>Стол рабочий Jazz</v>
          </cell>
          <cell r="G1205" t="str">
            <v>Дуб сонома</v>
          </cell>
          <cell r="H1205" t="str">
            <v>2521897953302</v>
          </cell>
          <cell r="I1205" t="str">
            <v>Основной ассортимент</v>
          </cell>
        </row>
        <row r="1206">
          <cell r="A1206">
            <v>41143</v>
          </cell>
          <cell r="B1206" t="str">
            <v>Комод Веста Lite Дуб сонома 782х599х294</v>
          </cell>
          <cell r="C1206" t="str">
            <v>Ратникова</v>
          </cell>
          <cell r="D1206" t="str">
            <v>КОМОДЫ</v>
          </cell>
          <cell r="E1206" t="str">
            <v>FBO</v>
          </cell>
          <cell r="F1206" t="str">
            <v>Комод Веста Lite</v>
          </cell>
          <cell r="G1206" t="str">
            <v>Дуб сонома</v>
          </cell>
          <cell r="H1206" t="str">
            <v>2521897953185</v>
          </cell>
          <cell r="I1206" t="str">
            <v>Основной ассортимент</v>
          </cell>
        </row>
        <row r="1207">
          <cell r="A1207">
            <v>41144</v>
          </cell>
          <cell r="B1207" t="str">
            <v>Комод Веста Lite Дуб сонома/белое тиснение 782х599х294</v>
          </cell>
          <cell r="C1207" t="str">
            <v>Ратникова</v>
          </cell>
          <cell r="D1207" t="str">
            <v>КОМОДЫ</v>
          </cell>
          <cell r="E1207" t="str">
            <v>FBO</v>
          </cell>
          <cell r="F1207" t="str">
            <v>Комод Веста Lite</v>
          </cell>
          <cell r="G1207" t="str">
            <v>дуб сонома/белое тиснение</v>
          </cell>
          <cell r="H1207" t="str">
            <v>2521897953186</v>
          </cell>
          <cell r="I1207" t="str">
            <v>Основной ассортимент</v>
          </cell>
        </row>
        <row r="1208">
          <cell r="A1208">
            <v>130070</v>
          </cell>
          <cell r="B1208" t="str">
            <v>Стеллаж Hardy узкий Графит</v>
          </cell>
          <cell r="C1208" t="str">
            <v>Загашева</v>
          </cell>
          <cell r="D1208" t="str">
            <v>СТЕЛЛАЖИ</v>
          </cell>
          <cell r="E1208" t="str">
            <v>FBO</v>
          </cell>
          <cell r="F1208" t="str">
            <v>Стеллаж Hardy узкий</v>
          </cell>
          <cell r="G1208" t="str">
            <v>Графит</v>
          </cell>
          <cell r="H1208" t="str">
            <v>2521897953210</v>
          </cell>
          <cell r="I1208" t="str">
            <v>Основной ассортимент</v>
          </cell>
        </row>
        <row r="1209">
          <cell r="A1209">
            <v>41145</v>
          </cell>
          <cell r="B1209" t="str">
            <v>Комод Веста Lite Венге 782х599х294</v>
          </cell>
          <cell r="C1209" t="str">
            <v>Ратникова</v>
          </cell>
          <cell r="D1209" t="str">
            <v>КОМОДЫ</v>
          </cell>
          <cell r="E1209" t="str">
            <v>FBO</v>
          </cell>
          <cell r="F1209" t="str">
            <v>Комод Веста Lite</v>
          </cell>
          <cell r="G1209" t="str">
            <v>Венге</v>
          </cell>
          <cell r="H1209" t="str">
            <v>2521897953187</v>
          </cell>
          <cell r="I1209" t="str">
            <v>Основной ассортимент</v>
          </cell>
        </row>
        <row r="1210">
          <cell r="A1210">
            <v>41105</v>
          </cell>
          <cell r="B1210" t="str">
            <v>Комод Веста Венге 757х346х600</v>
          </cell>
          <cell r="C1210" t="str">
            <v>Ратникова</v>
          </cell>
          <cell r="D1210" t="str">
            <v>КОМОДЫ</v>
          </cell>
          <cell r="E1210" t="str">
            <v>FBO</v>
          </cell>
          <cell r="F1210" t="str">
            <v>Комод Веста</v>
          </cell>
          <cell r="G1210" t="str">
            <v>Венге</v>
          </cell>
          <cell r="H1210" t="str">
            <v>2521897953194</v>
          </cell>
          <cell r="I1210" t="str">
            <v>Основной ассортимент</v>
          </cell>
        </row>
        <row r="1211">
          <cell r="A1211">
            <v>9903</v>
          </cell>
          <cell r="B1211" t="str">
            <v>Стол письменный компьютерный  Веста Plus Графит</v>
          </cell>
          <cell r="C1211" t="str">
            <v>Перепечаева</v>
          </cell>
          <cell r="D1211" t="str">
            <v>СТОЛЫ</v>
          </cell>
          <cell r="E1211" t="str">
            <v>СКГТ</v>
          </cell>
          <cell r="F1211" t="str">
            <v>Стол письменный компьютерный  Веста Plus</v>
          </cell>
          <cell r="G1211" t="str">
            <v>Графит</v>
          </cell>
          <cell r="H1211" t="str">
            <v>2521897953315</v>
          </cell>
          <cell r="I1211" t="str">
            <v>Основной ассортимент</v>
          </cell>
        </row>
        <row r="1212">
          <cell r="A1212" t="str">
            <v>3728.20/01</v>
          </cell>
          <cell r="B1212" t="str">
            <v>Стеллаж горка Quattro New универсальный Цемент светлый вельвет 954х956(h)х288</v>
          </cell>
          <cell r="C1212" t="str">
            <v>Зимакова</v>
          </cell>
          <cell r="D1212" t="str">
            <v>СТЕЛЛАЖИ</v>
          </cell>
          <cell r="E1212" t="str">
            <v>FBO</v>
          </cell>
          <cell r="F1212" t="str">
            <v>Стеллаж горка Quattro New универсальный</v>
          </cell>
          <cell r="G1212" t="str">
            <v>Цемент светлый вельвет</v>
          </cell>
          <cell r="H1212" t="str">
            <v>2521897953298</v>
          </cell>
          <cell r="I1212" t="str">
            <v>Основной ассортимент</v>
          </cell>
        </row>
        <row r="1213">
          <cell r="A1213" t="str">
            <v>3728.05/01</v>
          </cell>
          <cell r="B1213" t="str">
            <v>Стеллаж горка Quattro New универсальный Дуб Крафт золотой 954х956(h)х288</v>
          </cell>
          <cell r="C1213" t="str">
            <v>Зимакова</v>
          </cell>
          <cell r="D1213" t="str">
            <v>СТЕЛЛАЖИ</v>
          </cell>
          <cell r="E1213" t="str">
            <v>FBO</v>
          </cell>
          <cell r="F1213" t="str">
            <v>Стеллаж горка Quattro New универсальный</v>
          </cell>
          <cell r="G1213" t="str">
            <v>Дуб Крафт золотой</v>
          </cell>
          <cell r="H1213" t="str">
            <v>2521897953297</v>
          </cell>
          <cell r="I1213" t="str">
            <v>Основной ассортимент</v>
          </cell>
        </row>
        <row r="1214">
          <cell r="A1214" t="str">
            <v>3728.06/01</v>
          </cell>
          <cell r="B1214" t="str">
            <v>Стеллаж горка Quattro New универсальный Дуб Крафт Белый 954х956(h)х288</v>
          </cell>
          <cell r="C1214" t="str">
            <v>Зимакова</v>
          </cell>
          <cell r="D1214" t="str">
            <v>СТЕЛЛАЖИ</v>
          </cell>
          <cell r="E1214" t="str">
            <v>FBO</v>
          </cell>
          <cell r="F1214" t="str">
            <v>Стеллаж горка Quattro New универсальный</v>
          </cell>
          <cell r="G1214" t="str">
            <v>дуб крафт белый</v>
          </cell>
          <cell r="H1214" t="str">
            <v>2521897953296</v>
          </cell>
          <cell r="I1214" t="str">
            <v>Основной ассортимент</v>
          </cell>
        </row>
        <row r="1215">
          <cell r="A1215" t="str">
            <v>40217946.09/01</v>
          </cell>
          <cell r="B1215" t="str">
            <v>Стеллаж Hardy Лайт 2 с дверками Графит</v>
          </cell>
          <cell r="C1215" t="str">
            <v>Загашева</v>
          </cell>
          <cell r="D1215" t="str">
            <v>СТЕЛЛАЖИ</v>
          </cell>
          <cell r="E1215" t="str">
            <v>FBO</v>
          </cell>
          <cell r="F1215" t="str">
            <v>Стеллаж Hardy Лайт 2</v>
          </cell>
          <cell r="G1215" t="str">
            <v>Графит</v>
          </cell>
          <cell r="H1215" t="str">
            <v>2521897953214</v>
          </cell>
          <cell r="I1215" t="str">
            <v>Основной ассортимент</v>
          </cell>
        </row>
        <row r="1216">
          <cell r="A1216">
            <v>3770</v>
          </cell>
          <cell r="B1216" t="str">
            <v>Стол стеллаж Ultra Lite Белое Тиснение 1088*1382*400</v>
          </cell>
          <cell r="C1216" t="str">
            <v>Кошкарева</v>
          </cell>
          <cell r="D1216" t="str">
            <v>СТОЛЫ</v>
          </cell>
          <cell r="E1216" t="str">
            <v>FBO</v>
          </cell>
          <cell r="F1216" t="str">
            <v>Стол стеллаж Ultra Lite</v>
          </cell>
          <cell r="G1216" t="str">
            <v>Белое тиснение</v>
          </cell>
          <cell r="H1216" t="str">
            <v>2521897953254</v>
          </cell>
          <cell r="I1216" t="str">
            <v>Основной ассортимент</v>
          </cell>
        </row>
        <row r="1217">
          <cell r="A1217" t="str">
            <v>3556.01.09/01</v>
          </cell>
          <cell r="B1217" t="str">
            <v>Шкаф 3х дверный, комбинированный City Дуб Вотан/Серый графит 1050*1800*454</v>
          </cell>
          <cell r="C1217">
            <v>0</v>
          </cell>
          <cell r="D1217" t="str">
            <v>ШКАФЫ</v>
          </cell>
          <cell r="E1217" t="str">
            <v>СКГТ (ОЗОН)</v>
          </cell>
          <cell r="F1217" t="str">
            <v>Шкаф 3в1 Пакс</v>
          </cell>
          <cell r="G1217" t="str">
            <v>Дуб Вотан/графит</v>
          </cell>
          <cell r="H1217" t="str">
            <v>2521897953446</v>
          </cell>
          <cell r="I1217" t="str">
            <v>Основной ассортимент</v>
          </cell>
        </row>
        <row r="1218">
          <cell r="A1218" t="str">
            <v>3767.17/01</v>
          </cell>
          <cell r="B1218" t="str">
            <v>Обувница стеллаж Мальта с ящиком Белая Гладкая 600*750256</v>
          </cell>
          <cell r="C1218" t="str">
            <v xml:space="preserve">Петрова </v>
          </cell>
          <cell r="D1218" t="str">
            <v>ОБУВНИЦЫ</v>
          </cell>
          <cell r="E1218" t="str">
            <v>FBO</v>
          </cell>
          <cell r="F1218" t="str">
            <v>Обувница стеллаж Мальта с ящиком 600*750256</v>
          </cell>
          <cell r="G1218" t="str">
            <v>Белая гладкая</v>
          </cell>
          <cell r="H1218" t="str">
            <v>2521897953243</v>
          </cell>
          <cell r="I1218" t="str">
            <v>Основной ассортимент</v>
          </cell>
        </row>
        <row r="1219">
          <cell r="A1219">
            <v>3735</v>
          </cell>
          <cell r="B1219" t="str">
            <v>Шкаф 2х дверный, комбинированный City Дуб Крафт серый 802*1800*454</v>
          </cell>
          <cell r="C1219">
            <v>0</v>
          </cell>
          <cell r="D1219" t="str">
            <v>ШКАФЫ</v>
          </cell>
          <cell r="E1219" t="str">
            <v xml:space="preserve">СКГТ </v>
          </cell>
          <cell r="F1219" t="str">
            <v>Шкаф 2х дверный, комбинированный City</v>
          </cell>
          <cell r="G1219" t="str">
            <v>Дуб Крафт серый</v>
          </cell>
          <cell r="H1219">
            <v>0</v>
          </cell>
          <cell r="I1219" t="str">
            <v>Основной ассортимент</v>
          </cell>
        </row>
        <row r="1220">
          <cell r="A1220">
            <v>41101</v>
          </cell>
          <cell r="B1220" t="str">
            <v>Комод Веста Графит 757х346х600</v>
          </cell>
          <cell r="C1220" t="str">
            <v>Ратникова</v>
          </cell>
          <cell r="D1220" t="str">
            <v>КОМОДЫ</v>
          </cell>
          <cell r="E1220" t="str">
            <v>FBO</v>
          </cell>
          <cell r="F1220" t="str">
            <v>Комод Веста</v>
          </cell>
          <cell r="G1220" t="str">
            <v>Графит</v>
          </cell>
          <cell r="H1220" t="str">
            <v>2521897953190</v>
          </cell>
          <cell r="I1220" t="str">
            <v>Основной ассортимент</v>
          </cell>
        </row>
        <row r="1221">
          <cell r="A1221">
            <v>1355277</v>
          </cell>
          <cell r="B1221" t="str">
            <v>Стол письменный УЛЬТРА (серия 2) (1,058х0,75х0,45) Черный</v>
          </cell>
          <cell r="C1221" t="str">
            <v>Перепечаева</v>
          </cell>
          <cell r="D1221" t="str">
            <v>СТОЛЫ</v>
          </cell>
          <cell r="E1221" t="str">
            <v>FBS</v>
          </cell>
          <cell r="F1221" t="str">
            <v>Стол письменный Ультра 4 ящика 1056*750*450</v>
          </cell>
          <cell r="G1221" t="str">
            <v>Черный</v>
          </cell>
          <cell r="H1221" t="str">
            <v>2521897953211</v>
          </cell>
          <cell r="I1221" t="str">
            <v>Основной ассортимент</v>
          </cell>
        </row>
        <row r="1222">
          <cell r="A1222" t="str">
            <v>3767.05/01</v>
          </cell>
          <cell r="B1222" t="str">
            <v>Обувница стеллаж Мальта с ящиком Дуб Крафт Золотой 600*750256</v>
          </cell>
          <cell r="C1222" t="str">
            <v xml:space="preserve">Петрова </v>
          </cell>
          <cell r="D1222" t="str">
            <v>ОБУВНИЦЫ</v>
          </cell>
          <cell r="E1222" t="str">
            <v>FBO</v>
          </cell>
          <cell r="F1222" t="str">
            <v>Обувница стеллаж Мальта с ящиком 600*750256</v>
          </cell>
          <cell r="G1222" t="str">
            <v>Дуб Крафт золотой</v>
          </cell>
          <cell r="H1222" t="str">
            <v>2521897953241</v>
          </cell>
          <cell r="I1222" t="str">
            <v>Основной ассортимент</v>
          </cell>
        </row>
        <row r="1223">
          <cell r="A1223" t="str">
            <v>366941.09/01</v>
          </cell>
          <cell r="B1223" t="str">
            <v>Стеллаж Zett с дверками и с ручками Графит 730х1750х230</v>
          </cell>
          <cell r="C1223" t="str">
            <v>Загашева</v>
          </cell>
          <cell r="D1223" t="str">
            <v>СТЕЛЛАЖИ</v>
          </cell>
          <cell r="E1223" t="str">
            <v>FBO</v>
          </cell>
          <cell r="F1223" t="str">
            <v>Стеллаж Zett с дверками и с ручками  730х1757х230</v>
          </cell>
          <cell r="G1223" t="str">
            <v>Графит</v>
          </cell>
          <cell r="H1223" t="str">
            <v>2521897953212</v>
          </cell>
          <cell r="I1223" t="str">
            <v>Основной ассортимент</v>
          </cell>
        </row>
        <row r="1224">
          <cell r="A1224">
            <v>3838</v>
          </cell>
          <cell r="B1224" t="str">
            <v>Шкаф 3в1 Пакс Белая гладкая</v>
          </cell>
          <cell r="C1224" t="str">
            <v>Перепечаева</v>
          </cell>
          <cell r="D1224" t="str">
            <v>ШКАФЫ</v>
          </cell>
          <cell r="E1224" t="str">
            <v>СКГТ (ОЗОН)</v>
          </cell>
          <cell r="F1224" t="str">
            <v>Шкаф 3в1 Пакс</v>
          </cell>
          <cell r="G1224" t="str">
            <v>Белая гладкая</v>
          </cell>
          <cell r="H1224" t="str">
            <v>2521897953270</v>
          </cell>
          <cell r="I1224" t="str">
            <v>Основной ассортимент</v>
          </cell>
        </row>
        <row r="1225">
          <cell r="A1225">
            <v>40101</v>
          </cell>
          <cell r="B1225" t="str">
            <v>Тумба прикроватная Индиго Дуб Крафт золотой 410х530х380</v>
          </cell>
          <cell r="C1225">
            <v>0</v>
          </cell>
          <cell r="D1225" t="str">
            <v>ТУМБЫ ПРИКРОВАТНЫЕ</v>
          </cell>
          <cell r="E1225" t="str">
            <v>FBO</v>
          </cell>
          <cell r="F1225" t="str">
            <v>Тумба прикроватная Индиго</v>
          </cell>
          <cell r="G1225" t="str">
            <v>Дуб Крафт золотой</v>
          </cell>
          <cell r="H1225" t="str">
            <v>2521897953468</v>
          </cell>
          <cell r="I1225" t="str">
            <v>Основной ассортимент</v>
          </cell>
        </row>
        <row r="1226">
          <cell r="A1226">
            <v>3750</v>
          </cell>
          <cell r="B1226" t="str">
            <v>Комод City New 6 ящиков Белое тиснение 1400*827*394</v>
          </cell>
          <cell r="C1226" t="str">
            <v>Платонова</v>
          </cell>
          <cell r="D1226" t="str">
            <v>КОМОДЫ</v>
          </cell>
          <cell r="E1226" t="str">
            <v>СКГТ (ОЗОН)</v>
          </cell>
          <cell r="F1226" t="str">
            <v>Комод City New 6 ящиков 1400*827*394</v>
          </cell>
          <cell r="G1226" t="str">
            <v>Белое тиснение</v>
          </cell>
          <cell r="H1226" t="str">
            <v>2521897953253</v>
          </cell>
          <cell r="I1226" t="str">
            <v>Основной ассортимент</v>
          </cell>
        </row>
        <row r="1227">
          <cell r="A1227">
            <v>40102</v>
          </cell>
          <cell r="B1227" t="str">
            <v>Тумба прикроватная Индиго Антрацит 410х530х380</v>
          </cell>
          <cell r="C1227">
            <v>0</v>
          </cell>
          <cell r="D1227" t="str">
            <v>ТУМБЫ ПРИКРОВАТНЫЕ</v>
          </cell>
          <cell r="E1227" t="str">
            <v>FBO</v>
          </cell>
          <cell r="F1227" t="str">
            <v>Тумба прикроватная Индиго</v>
          </cell>
          <cell r="G1227" t="str">
            <v>Антрацит</v>
          </cell>
          <cell r="H1227" t="str">
            <v>2521897953470</v>
          </cell>
          <cell r="I1227" t="str">
            <v>Основной ассортимент</v>
          </cell>
        </row>
        <row r="1228">
          <cell r="A1228" t="str">
            <v>3757.05.09/01</v>
          </cell>
          <cell r="B1228" t="str">
            <v>Тумба под ТВ Valencia Plus Дуб Крафт золотой/Серый Графит 1000х340(h)х334</v>
          </cell>
          <cell r="C1228" t="str">
            <v>Мисесина</v>
          </cell>
          <cell r="D1228" t="str">
            <v>ТУМБЫ под ТВ</v>
          </cell>
          <cell r="E1228" t="str">
            <v>FBO</v>
          </cell>
          <cell r="F1228" t="str">
            <v>Тумба под ТВ Valencia Plus</v>
          </cell>
          <cell r="G1228" t="str">
            <v>Дуб крафт золотой/графит</v>
          </cell>
          <cell r="H1228" t="str">
            <v>2521897953294</v>
          </cell>
          <cell r="I1228" t="str">
            <v>Основной ассортимент</v>
          </cell>
        </row>
        <row r="1229">
          <cell r="A1229">
            <v>3757</v>
          </cell>
          <cell r="B1229" t="str">
            <v>Тумба под ТВ Valencia Plus Белое тиснение 1000х340(h)х334</v>
          </cell>
          <cell r="C1229" t="str">
            <v>Мисесина</v>
          </cell>
          <cell r="D1229" t="str">
            <v>ТУМБЫ под ТВ</v>
          </cell>
          <cell r="E1229" t="str">
            <v>FBO</v>
          </cell>
          <cell r="F1229" t="str">
            <v>Тумба под ТВ Valencia Plus</v>
          </cell>
          <cell r="G1229" t="str">
            <v>Белое тиснение</v>
          </cell>
          <cell r="H1229" t="str">
            <v>2521897953293</v>
          </cell>
          <cell r="I1229" t="str">
            <v>Основной ассортимент</v>
          </cell>
        </row>
        <row r="1230">
          <cell r="A1230" t="str">
            <v>3767.06/01</v>
          </cell>
          <cell r="B1230" t="str">
            <v>Обувница стеллаж Мальта с ящиком Дуб Крафт Белый 600*750*256</v>
          </cell>
          <cell r="C1230" t="str">
            <v xml:space="preserve">Петрова </v>
          </cell>
          <cell r="D1230" t="str">
            <v>ОБУВНИЦЫ</v>
          </cell>
          <cell r="E1230" t="str">
            <v>FBO</v>
          </cell>
          <cell r="F1230" t="str">
            <v>Обувница стеллаж Мальта с ящиком 600*750256</v>
          </cell>
          <cell r="G1230" t="str">
            <v>Дуб Крафт Белый</v>
          </cell>
          <cell r="H1230" t="str">
            <v>2521897953242</v>
          </cell>
          <cell r="I1230" t="str">
            <v>Основной ассортимент</v>
          </cell>
        </row>
        <row r="1231">
          <cell r="A1231" t="str">
            <v>3751.12/01</v>
          </cell>
          <cell r="B1231" t="str">
            <v>Комод City New универсальный Черный 1402*1083*394</v>
          </cell>
          <cell r="C1231" t="str">
            <v>Платонова</v>
          </cell>
          <cell r="D1231" t="str">
            <v>КОМОДЫ</v>
          </cell>
          <cell r="E1231" t="str">
            <v>СКГТ (ОЗОН)</v>
          </cell>
          <cell r="F1231" t="str">
            <v>Комод City New универсальный</v>
          </cell>
          <cell r="G1231" t="str">
            <v>Черный</v>
          </cell>
          <cell r="H1231" t="str">
            <v>2521897953234</v>
          </cell>
          <cell r="I1231" t="str">
            <v>Основной ассортимент</v>
          </cell>
        </row>
        <row r="1232">
          <cell r="A1232">
            <v>3715</v>
          </cell>
          <cell r="B1232" t="str">
            <v>Шкаф Норд 2х дверный Белое тиснение 800*2057*474</v>
          </cell>
          <cell r="C1232" t="str">
            <v>Перепечаева</v>
          </cell>
          <cell r="D1232" t="str">
            <v>ШКАФЫ</v>
          </cell>
          <cell r="E1232" t="str">
            <v>СКГТ (ОЗОН)</v>
          </cell>
          <cell r="F1232" t="str">
            <v>Шкаф Норд 2х дверный</v>
          </cell>
          <cell r="G1232" t="str">
            <v>Белое тиснение</v>
          </cell>
          <cell r="H1232" t="str">
            <v>4640219951425</v>
          </cell>
          <cell r="I1232" t="str">
            <v>Основной ассортимент</v>
          </cell>
        </row>
        <row r="1233">
          <cell r="A1233">
            <v>3716</v>
          </cell>
          <cell r="B1233" t="str">
            <v>Шкаф Норд 2х дверный Белое тиснение 800*2057*474</v>
          </cell>
          <cell r="C1233" t="str">
            <v>Перепечаева</v>
          </cell>
          <cell r="D1233" t="str">
            <v>ШКАФЫ</v>
          </cell>
          <cell r="E1233" t="str">
            <v>СКГТ (ОЗОН)</v>
          </cell>
          <cell r="F1233" t="str">
            <v>Шкаф Норд 2х дверный</v>
          </cell>
          <cell r="G1233" t="str">
            <v>Белое тиснение</v>
          </cell>
          <cell r="H1233">
            <v>0</v>
          </cell>
          <cell r="I1233" t="str">
            <v>Основной ассортимент</v>
          </cell>
        </row>
        <row r="1234">
          <cell r="A1234">
            <v>30362</v>
          </cell>
          <cell r="B1234" t="str">
            <v>Вешалка настенная Ультра  Дуб сонома 0,600 х1,050х0,282</v>
          </cell>
          <cell r="C1234" t="str">
            <v>Леонтьева</v>
          </cell>
          <cell r="D1234" t="str">
            <v>ВЕШАЛКИ</v>
          </cell>
          <cell r="E1234" t="str">
            <v>FBS</v>
          </cell>
          <cell r="F1234" t="str">
            <v>Вешалка настенная Ультра 0,600 х1,050х0,282</v>
          </cell>
          <cell r="G1234" t="str">
            <v>Дуб сонома</v>
          </cell>
          <cell r="H1234" t="str">
            <v>2521897952568</v>
          </cell>
          <cell r="I1234" t="str">
            <v>Основной ассортимент</v>
          </cell>
        </row>
        <row r="1235">
          <cell r="A1235">
            <v>3356</v>
          </cell>
          <cell r="B1235" t="str">
            <v>Вешалка выкатная Ultra с полками Черная 786х1463(h)х250</v>
          </cell>
          <cell r="C1235" t="str">
            <v>Леонтьева</v>
          </cell>
          <cell r="D1235" t="str">
            <v>ВЕШАЛКИ</v>
          </cell>
          <cell r="E1235" t="str">
            <v>FBS</v>
          </cell>
          <cell r="F1235" t="str">
            <v>Вешалка выкатная Ultra с полками 786х1463(h)х250</v>
          </cell>
          <cell r="G1235" t="str">
            <v>Черный</v>
          </cell>
          <cell r="H1235" t="str">
            <v>2521897952530</v>
          </cell>
          <cell r="I1235" t="str">
            <v>Основной ассортимент</v>
          </cell>
        </row>
        <row r="1236">
          <cell r="A1236" t="str">
            <v>3748.03/01</v>
          </cell>
          <cell r="B1236" t="str">
            <v>Шкаф стеллаж детский Дуб сонома 780*1100*292</v>
          </cell>
          <cell r="C1236" t="str">
            <v>Перепечаева</v>
          </cell>
          <cell r="D1236" t="str">
            <v>ШКАФЫ</v>
          </cell>
          <cell r="E1236" t="str">
            <v>FBO</v>
          </cell>
          <cell r="F1236" t="str">
            <v>Шкаф стеллаж детский</v>
          </cell>
          <cell r="G1236" t="str">
            <v>Дуб сонома</v>
          </cell>
          <cell r="H1236" t="str">
            <v>2521897953345</v>
          </cell>
          <cell r="I1236" t="str">
            <v>Основной ассортимент</v>
          </cell>
        </row>
        <row r="1237">
          <cell r="A1237">
            <v>3355</v>
          </cell>
          <cell r="B1237" t="str">
            <v>Вешалка выкатная Ultra с полками Дуб Сонома 786х1463(h)х250</v>
          </cell>
          <cell r="C1237" t="str">
            <v>Леонтьева</v>
          </cell>
          <cell r="D1237" t="str">
            <v>ВЕШАЛКИ</v>
          </cell>
          <cell r="E1237" t="str">
            <v>FBS</v>
          </cell>
          <cell r="F1237" t="str">
            <v>Вешалка выкатная Ultra с полками 786х1463(h)х250</v>
          </cell>
          <cell r="G1237" t="str">
            <v>Дуб сонома</v>
          </cell>
          <cell r="H1237" t="str">
            <v>2521897952528</v>
          </cell>
          <cell r="I1237" t="str">
            <v>Основной ассортимент</v>
          </cell>
        </row>
        <row r="1238">
          <cell r="A1238" t="str">
            <v>3890.17/01</v>
          </cell>
          <cell r="B1238" t="str">
            <v>Шкаф комод Ультра Push 2х дверный Белая гладкая 602*701*290</v>
          </cell>
          <cell r="C1238" t="str">
            <v>Ратникова</v>
          </cell>
          <cell r="D1238" t="str">
            <v>КОМОДЫ</v>
          </cell>
          <cell r="E1238" t="str">
            <v>FBO</v>
          </cell>
          <cell r="F1238" t="str">
            <v>Шкаф комод Ультра Push 2х дверный</v>
          </cell>
          <cell r="G1238" t="str">
            <v>Белая гладкая</v>
          </cell>
          <cell r="H1238" t="str">
            <v>2521897953329</v>
          </cell>
          <cell r="I1238" t="str">
            <v>Основной ассортимент</v>
          </cell>
        </row>
        <row r="1239">
          <cell r="A1239">
            <v>30361</v>
          </cell>
          <cell r="B1239" t="str">
            <v>Вешалка настенная Ультра  Белое тиснение 0,600 х1,050х0,282</v>
          </cell>
          <cell r="C1239" t="str">
            <v>Леонтьева</v>
          </cell>
          <cell r="D1239" t="str">
            <v>ВЕШАЛКИ</v>
          </cell>
          <cell r="E1239" t="str">
            <v>FBS</v>
          </cell>
          <cell r="F1239" t="str">
            <v>Вешалка настенная Ультра 0,600 х1,050х0,282</v>
          </cell>
          <cell r="G1239" t="str">
            <v>Белое тиснение</v>
          </cell>
          <cell r="H1239" t="str">
            <v>2521897952567</v>
          </cell>
          <cell r="I1239" t="str">
            <v>Основной ассортимент</v>
          </cell>
        </row>
        <row r="1240">
          <cell r="A1240">
            <v>3153</v>
          </cell>
          <cell r="B1240" t="str">
            <v>Вешалка выкатная Ultra с полками Белое тиснение</v>
          </cell>
          <cell r="C1240" t="str">
            <v>Леонтьева</v>
          </cell>
          <cell r="D1240" t="str">
            <v>ВЕШАЛКИ</v>
          </cell>
          <cell r="E1240" t="str">
            <v>FBS</v>
          </cell>
          <cell r="F1240" t="str">
            <v>Вешалка выкатная Ultra с полками 786х1463(h)х250</v>
          </cell>
          <cell r="G1240" t="str">
            <v>Белое тиснение</v>
          </cell>
          <cell r="H1240" t="str">
            <v>2521897952400</v>
          </cell>
          <cell r="I1240" t="str">
            <v>Основной ассортимент</v>
          </cell>
        </row>
        <row r="1241">
          <cell r="A1241" t="str">
            <v>MK1370101</v>
          </cell>
          <cell r="B1241" t="str">
            <v>Вешалка Frame ЛДСП Дуб Вотан, Черн. металл. 802х1750(h)х278</v>
          </cell>
          <cell r="C1241" t="str">
            <v>Леонтьева</v>
          </cell>
          <cell r="D1241" t="str">
            <v>ВЕШАЛКИ</v>
          </cell>
          <cell r="E1241" t="str">
            <v>FBS</v>
          </cell>
          <cell r="F1241" t="str">
            <v xml:space="preserve">Вешалка Frame ЛДСП </v>
          </cell>
          <cell r="G1241" t="str">
            <v>ЛДСП Дуб Вотан, Черн. металл.</v>
          </cell>
          <cell r="H1241" t="str">
            <v>2521897952732</v>
          </cell>
          <cell r="I1241" t="str">
            <v>Основной ассортимент</v>
          </cell>
        </row>
        <row r="1242">
          <cell r="A1242" t="str">
            <v>3704.17/01</v>
          </cell>
          <cell r="B1242" t="str">
            <v>Стеллаж Прага 2х дверн универс. Белая гладкая 500х1830(h)х224</v>
          </cell>
          <cell r="C1242" t="str">
            <v>Загашева</v>
          </cell>
          <cell r="D1242" t="str">
            <v>СТЕЛЛАЖИ</v>
          </cell>
          <cell r="E1242" t="str">
            <v>FBO</v>
          </cell>
          <cell r="F1242" t="str">
            <v>Стеллаж Прага 2х дверн универс. 500х1830(h)х224</v>
          </cell>
          <cell r="G1242" t="str">
            <v>Белая гладкая</v>
          </cell>
          <cell r="H1242" t="str">
            <v>2521897953223</v>
          </cell>
          <cell r="I1242" t="str">
            <v>Основной ассортимент</v>
          </cell>
        </row>
        <row r="1243">
          <cell r="A1243">
            <v>3286</v>
          </cell>
          <cell r="B1243" t="str">
            <v>Комод City универсальный Белое тиснение 1048*675*354</v>
          </cell>
          <cell r="C1243" t="str">
            <v>Платонова</v>
          </cell>
          <cell r="D1243" t="str">
            <v>КОМОДЫ</v>
          </cell>
          <cell r="E1243" t="str">
            <v xml:space="preserve">СКГТ </v>
          </cell>
          <cell r="F1243" t="str">
            <v>Комод City универсальный</v>
          </cell>
          <cell r="G1243" t="str">
            <v>Белое тиснение</v>
          </cell>
          <cell r="H1243" t="str">
            <v>2521897953342</v>
          </cell>
          <cell r="I1243" t="str">
            <v>Основной ассортимент</v>
          </cell>
        </row>
        <row r="1244">
          <cell r="A1244" t="str">
            <v>3934.17/01</v>
          </cell>
          <cell r="B1244" t="str">
            <v>Стеллаж Нео комбинированный Белая гладкая 400*1796*292</v>
          </cell>
          <cell r="C1244">
            <v>0</v>
          </cell>
          <cell r="D1244" t="str">
            <v>СТЕЛЛАЖИ</v>
          </cell>
          <cell r="E1244" t="str">
            <v>FBO</v>
          </cell>
          <cell r="F1244" t="str">
            <v>Стеллаж Нео комбинированный</v>
          </cell>
          <cell r="G1244" t="str">
            <v>Белая гладкая</v>
          </cell>
          <cell r="H1244" t="str">
            <v>2521897953417</v>
          </cell>
          <cell r="I1244" t="str">
            <v>Основной ассортимент</v>
          </cell>
        </row>
        <row r="1245">
          <cell r="A1245" t="str">
            <v>MK1270201</v>
          </cell>
          <cell r="B1245" t="str">
            <v>Стеллаж Tokyo угловой ЛДСП Белое тиснение, Черн. металл. 470х1758(h)х232</v>
          </cell>
          <cell r="C1245" t="str">
            <v>Зимакова</v>
          </cell>
          <cell r="D1245" t="str">
            <v>СТЕЛЛАЖИ</v>
          </cell>
          <cell r="E1245" t="str">
            <v>FBS</v>
          </cell>
          <cell r="F1245" t="str">
            <v>Стеллаж Tokyo угловой</v>
          </cell>
          <cell r="G1245" t="str">
            <v xml:space="preserve">ЛДСП Белое тиснение, Черн. металл. </v>
          </cell>
          <cell r="H1245" t="str">
            <v>2521897952684</v>
          </cell>
          <cell r="I1245" t="str">
            <v>Основной ассортимент</v>
          </cell>
        </row>
        <row r="1246">
          <cell r="A1246">
            <v>3717</v>
          </cell>
          <cell r="B1246" t="str">
            <v xml:space="preserve">      </v>
          </cell>
          <cell r="C1246" t="str">
            <v>Перепечаева</v>
          </cell>
          <cell r="D1246" t="str">
            <v>ШКАФЫ</v>
          </cell>
          <cell r="E1246" t="str">
            <v>СКГТ (ОЗОН)</v>
          </cell>
          <cell r="F1246" t="str">
            <v>Шкаф Норд 4х дверный с ящиками</v>
          </cell>
          <cell r="G1246" t="str">
            <v>Белое тиснение</v>
          </cell>
          <cell r="H1246" t="str">
            <v>4640219951449</v>
          </cell>
          <cell r="I1246" t="str">
            <v>Основной ассортимент</v>
          </cell>
        </row>
        <row r="1247">
          <cell r="A1247">
            <v>3718</v>
          </cell>
          <cell r="B1247" t="str">
            <v>Шкаф 4х дверный с ящиками Белое тиснение 1600*2057*474</v>
          </cell>
          <cell r="C1247" t="str">
            <v>Перепечаева</v>
          </cell>
          <cell r="D1247" t="str">
            <v>ШКАФЫ</v>
          </cell>
          <cell r="E1247" t="str">
            <v>СКГТ (ОЗОН)</v>
          </cell>
          <cell r="F1247" t="str">
            <v>Шкаф Норд 4х дверный с ящиками</v>
          </cell>
          <cell r="G1247" t="str">
            <v>Белое тиснение</v>
          </cell>
          <cell r="H1247">
            <v>0</v>
          </cell>
          <cell r="I1247" t="str">
            <v>Основной ассортимент</v>
          </cell>
        </row>
        <row r="1248">
          <cell r="A1248">
            <v>3719</v>
          </cell>
          <cell r="B1248" t="str">
            <v>Шкаф Норд 4х дверный с ящиками Белое тиснение 1600*2057*474</v>
          </cell>
          <cell r="C1248" t="str">
            <v>Перепечаева</v>
          </cell>
          <cell r="D1248" t="str">
            <v>ШКАФЫ</v>
          </cell>
          <cell r="E1248" t="str">
            <v>СКГТ (ОЗОН)</v>
          </cell>
          <cell r="F1248" t="str">
            <v>Шкаф Норд 4х дверный с ящиками</v>
          </cell>
          <cell r="G1248" t="str">
            <v>Белое тиснение</v>
          </cell>
          <cell r="H1248">
            <v>0</v>
          </cell>
          <cell r="I1248" t="str">
            <v>Основной ассортимент</v>
          </cell>
        </row>
        <row r="1249">
          <cell r="A1249" t="str">
            <v>MK2500101</v>
          </cell>
          <cell r="B1249" t="str">
            <v>Стеллаж Tokyo Lite Plus ЛДСП Дуб Вотан,Черн. метал. 780*1758*290</v>
          </cell>
          <cell r="C1249">
            <v>0</v>
          </cell>
          <cell r="D1249" t="str">
            <v>СТЕЛЛАЖИ</v>
          </cell>
          <cell r="E1249" t="str">
            <v>FBO</v>
          </cell>
          <cell r="F1249" t="str">
            <v>Стеллаж Tokyo Lite Plus</v>
          </cell>
          <cell r="G1249" t="str">
            <v>ЛДСП Дуб Вотан, Черн. металл.</v>
          </cell>
          <cell r="H1249" t="str">
            <v>2521897953412</v>
          </cell>
          <cell r="I1249" t="str">
            <v>Основной ассортимент</v>
          </cell>
        </row>
        <row r="1250">
          <cell r="A1250">
            <v>40110</v>
          </cell>
          <cell r="B1250" t="str">
            <v>Комод Лион 2х дверный с надстройкой Белое тиснение/Дуб сонома 780*870*334</v>
          </cell>
          <cell r="C1250" t="str">
            <v>Платонова</v>
          </cell>
          <cell r="D1250" t="str">
            <v>КОМОДЫ</v>
          </cell>
          <cell r="E1250" t="str">
            <v>FBO</v>
          </cell>
          <cell r="F1250" t="str">
            <v>Комод Лион 2х дверный с надстройкой</v>
          </cell>
          <cell r="G1250" t="str">
            <v>дуб сонома/белое тиснение</v>
          </cell>
          <cell r="H1250" t="str">
            <v>2521897953357</v>
          </cell>
          <cell r="I1250" t="str">
            <v>Основной ассортимент</v>
          </cell>
        </row>
        <row r="1251">
          <cell r="A1251" t="str">
            <v>3681.20/01</v>
          </cell>
          <cell r="B1251" t="str">
            <v>Стеллаж Quattro New 8 секций с дверками Цемент светлый вельвет 642*1268*292</v>
          </cell>
          <cell r="C1251" t="str">
            <v>Загашева</v>
          </cell>
          <cell r="D1251" t="str">
            <v>СТЕЛЛАЖИ</v>
          </cell>
          <cell r="E1251" t="str">
            <v>FBO</v>
          </cell>
          <cell r="F1251" t="str">
            <v>Стеллаж Quattro New 8 секций с дверками</v>
          </cell>
          <cell r="G1251" t="str">
            <v>Цемент светлый вельвет</v>
          </cell>
          <cell r="H1251" t="str">
            <v>2521897953314</v>
          </cell>
          <cell r="I1251" t="str">
            <v>Основной ассортимент</v>
          </cell>
        </row>
        <row r="1252">
          <cell r="A1252">
            <v>3700</v>
          </cell>
          <cell r="B1252" t="str">
            <v>Стеллаж Quattro New 8 секций с дверками Дуб сонома 642*1268*292</v>
          </cell>
          <cell r="C1252" t="str">
            <v>Загашева</v>
          </cell>
          <cell r="D1252" t="str">
            <v>СТЕЛЛАЖИ</v>
          </cell>
          <cell r="E1252" t="str">
            <v>FBO</v>
          </cell>
          <cell r="F1252" t="str">
            <v>Стеллаж Quattro New 8 секций с дверками</v>
          </cell>
          <cell r="G1252" t="str">
            <v>Дуб сонома</v>
          </cell>
          <cell r="H1252" t="str">
            <v>2521897953313</v>
          </cell>
          <cell r="I1252" t="str">
            <v>Основной ассортимент</v>
          </cell>
        </row>
        <row r="1253">
          <cell r="A1253">
            <v>3702</v>
          </cell>
          <cell r="B1253" t="str">
            <v>Стеллаж Quattro New 8 секций с дверками Венге 642*1268*292</v>
          </cell>
          <cell r="C1253" t="str">
            <v>Загашева</v>
          </cell>
          <cell r="D1253" t="str">
            <v>СТЕЛЛАЖИ</v>
          </cell>
          <cell r="E1253" t="str">
            <v>FBO</v>
          </cell>
          <cell r="F1253" t="str">
            <v>Стеллаж Quattro New 8 секций с дверками</v>
          </cell>
          <cell r="G1253" t="str">
            <v>Венге</v>
          </cell>
          <cell r="H1253" t="str">
            <v>2521897953312</v>
          </cell>
          <cell r="I1253" t="str">
            <v>Основной ассортимент</v>
          </cell>
        </row>
        <row r="1254">
          <cell r="A1254" t="str">
            <v>3818.17/01</v>
          </cell>
          <cell r="B1254" t="str">
            <v>Шкаф комод Николь универс. Белая гладкая 1248*1021*474</v>
          </cell>
          <cell r="C1254" t="str">
            <v>Ратникова</v>
          </cell>
          <cell r="D1254" t="str">
            <v>КОМОДЫ</v>
          </cell>
          <cell r="E1254" t="str">
            <v>СКГТ (ОЗОН)</v>
          </cell>
          <cell r="F1254" t="str">
            <v>Шкаф комод Николь универс.</v>
          </cell>
          <cell r="G1254" t="str">
            <v>Белая гладкая</v>
          </cell>
          <cell r="H1254" t="str">
            <v>2521897953352</v>
          </cell>
          <cell r="I1254" t="str">
            <v>Основной ассортимент</v>
          </cell>
        </row>
        <row r="1255">
          <cell r="A1255">
            <v>3681</v>
          </cell>
          <cell r="B1255" t="str">
            <v>Стеллаж Quattro New 8 секций с дверками Белое тиснение 642*1268*292</v>
          </cell>
          <cell r="C1255" t="str">
            <v>Загашева</v>
          </cell>
          <cell r="D1255" t="str">
            <v>СТЕЛЛАЖИ</v>
          </cell>
          <cell r="E1255" t="str">
            <v>FBO</v>
          </cell>
          <cell r="F1255" t="str">
            <v>Стеллаж Quattro New 8 секций с дверками</v>
          </cell>
          <cell r="G1255" t="str">
            <v>Белое тиснение</v>
          </cell>
          <cell r="H1255" t="str">
            <v>2521897953311</v>
          </cell>
          <cell r="I1255" t="str">
            <v>Основной ассортимент</v>
          </cell>
        </row>
        <row r="1256">
          <cell r="A1256" t="str">
            <v>MK2350101</v>
          </cell>
          <cell r="B1256" t="str">
            <v>Комод Frame 3 ящика с полками ЛДСП Дуб Вотан, Черн. металл. 1100х770(h)х282 ,</v>
          </cell>
          <cell r="C1256">
            <v>0</v>
          </cell>
          <cell r="D1256" t="str">
            <v>СТЕЛЛАЖИ</v>
          </cell>
          <cell r="E1256" t="str">
            <v>FBO</v>
          </cell>
          <cell r="F1256" t="str">
            <v>Комод Frame 3 ящика с полками</v>
          </cell>
          <cell r="G1256" t="str">
            <v>ЛДСП Дуб Вотан, Черн. металл.</v>
          </cell>
          <cell r="H1256" t="str">
            <v>2521897953427</v>
          </cell>
          <cell r="I1256" t="str">
            <v>Основной ассортимент</v>
          </cell>
        </row>
        <row r="1257">
          <cell r="A1257" t="str">
            <v>3894.17/01</v>
          </cell>
          <cell r="B1257" t="str">
            <v>Система хранения Компакт 4 секции Белая гладкая 780*800*240</v>
          </cell>
          <cell r="C1257">
            <v>0</v>
          </cell>
          <cell r="D1257" t="str">
            <v>ШКАФЫ</v>
          </cell>
          <cell r="E1257" t="str">
            <v>FBO</v>
          </cell>
          <cell r="F1257" t="str">
            <v>Система хранения Компакт 4 секции</v>
          </cell>
          <cell r="G1257" t="str">
            <v>Белая гладкая</v>
          </cell>
          <cell r="H1257" t="str">
            <v>2521897953414</v>
          </cell>
          <cell r="I1257" t="str">
            <v>Основной ассортимент</v>
          </cell>
        </row>
        <row r="1258">
          <cell r="A1258" t="str">
            <v>3895.17/01</v>
          </cell>
          <cell r="B1258" t="str">
            <v>Система хранения Компакт 3 секции Белая гладкая 390х1190(h)х240</v>
          </cell>
          <cell r="C1258">
            <v>0</v>
          </cell>
          <cell r="D1258" t="str">
            <v>ШКАФЫ</v>
          </cell>
          <cell r="E1258" t="str">
            <v>FBO</v>
          </cell>
          <cell r="F1258" t="str">
            <v>Система хранения Компакт 3 секции</v>
          </cell>
          <cell r="G1258" t="str">
            <v>Белая гладкая</v>
          </cell>
          <cell r="H1258" t="str">
            <v>2521897953423</v>
          </cell>
          <cell r="I1258" t="str">
            <v>Основной ассортимент</v>
          </cell>
        </row>
        <row r="1259">
          <cell r="A1259" t="str">
            <v>3893.17/01</v>
          </cell>
          <cell r="B1259" t="str">
            <v>Система хранения Компакт 2 секции Белая гладкая 390*800*240</v>
          </cell>
          <cell r="C1259">
            <v>0</v>
          </cell>
          <cell r="D1259" t="str">
            <v>ШКАФЫ</v>
          </cell>
          <cell r="E1259" t="str">
            <v>FBO</v>
          </cell>
          <cell r="F1259" t="str">
            <v>Система хранения Компакт 2 секции</v>
          </cell>
          <cell r="G1259" t="str">
            <v>Белая гладкая</v>
          </cell>
          <cell r="H1259" t="str">
            <v>2521897953415</v>
          </cell>
          <cell r="I1259" t="str">
            <v>Основной ассортимент</v>
          </cell>
        </row>
        <row r="1260">
          <cell r="A1260" t="str">
            <v>3942.01.09/01</v>
          </cell>
          <cell r="B1260" t="str">
            <v>Шкаф Мальта 2х дверный с ящиками Дуб Вотан/Серый графит 924х2020(h)х504</v>
          </cell>
          <cell r="C1260">
            <v>0</v>
          </cell>
          <cell r="D1260" t="str">
            <v>ШКАФЫ</v>
          </cell>
          <cell r="E1260" t="str">
            <v>СКГТ (ОЗОН)</v>
          </cell>
          <cell r="F1260" t="str">
            <v>Шкаф Мальта 2х дверный с ящиками</v>
          </cell>
          <cell r="G1260" t="str">
            <v>Дуб Вотан/графит</v>
          </cell>
          <cell r="H1260" t="str">
            <v>2521897953428</v>
          </cell>
          <cell r="I1260" t="str">
            <v>Основной ассортимент</v>
          </cell>
        </row>
        <row r="1261">
          <cell r="A1261" t="str">
            <v>3943.01/02</v>
          </cell>
          <cell r="B1261" t="str">
            <v>Шкаф Мальта 2х дверный с ящиками Дуб Вотан</v>
          </cell>
          <cell r="C1261">
            <v>0</v>
          </cell>
          <cell r="D1261" t="str">
            <v>ШКАФЫ</v>
          </cell>
          <cell r="E1261" t="str">
            <v>СКГТ (ОЗОН)</v>
          </cell>
          <cell r="F1261" t="str">
            <v>Шкаф Мальта 2х дверный с ящиками</v>
          </cell>
          <cell r="G1261" t="str">
            <v>Дуб Вотан</v>
          </cell>
          <cell r="H1261">
            <v>0</v>
          </cell>
          <cell r="I1261" t="str">
            <v>Основной ассортимент</v>
          </cell>
        </row>
        <row r="1262">
          <cell r="A1262">
            <v>3380</v>
          </cell>
          <cell r="B1262" t="str">
            <v>Стеллаж Quatrro 8 секций комбинир. Белое тиснение</v>
          </cell>
          <cell r="C1262" t="str">
            <v>Загашева</v>
          </cell>
          <cell r="D1262" t="str">
            <v>СТЕЛЛАЖИ</v>
          </cell>
          <cell r="E1262" t="str">
            <v>СКГТ (ОЗОН)</v>
          </cell>
          <cell r="F1262" t="str">
            <v>Стеллаж Quatrro 8 секций комбинир.</v>
          </cell>
          <cell r="G1262" t="str">
            <v>Белое тиснение</v>
          </cell>
          <cell r="H1262" t="str">
            <v>2521897953344</v>
          </cell>
          <cell r="I1262" t="str">
            <v>Основной ассортимент</v>
          </cell>
        </row>
        <row r="1263">
          <cell r="A1263">
            <v>30018</v>
          </cell>
          <cell r="B1263" t="str">
            <v>Стеллаж Quatrro 8 секций Графит 706х1396х280</v>
          </cell>
          <cell r="C1263" t="str">
            <v>Загашева</v>
          </cell>
          <cell r="D1263" t="str">
            <v>СТЕЛЛАЖИ</v>
          </cell>
          <cell r="E1263" t="str">
            <v>FBO</v>
          </cell>
          <cell r="F1263" t="str">
            <v>Стеллаж Quatrro 8 секций  706х1396х280</v>
          </cell>
          <cell r="G1263" t="str">
            <v>Графит</v>
          </cell>
          <cell r="H1263" t="str">
            <v>2521897953215</v>
          </cell>
          <cell r="I1263" t="str">
            <v>Основной ассортимент</v>
          </cell>
        </row>
        <row r="1264">
          <cell r="A1264" t="str">
            <v>MK2880101</v>
          </cell>
          <cell r="B1264" t="str">
            <v>Стеллаж Frame New комбинир. ЛДСП Дуб Вотан, Черн.металл 712*2000*408</v>
          </cell>
          <cell r="C1264">
            <v>0</v>
          </cell>
          <cell r="D1264" t="str">
            <v>СТЕЛЛАЖИ</v>
          </cell>
          <cell r="E1264" t="str">
            <v>СКГТ (ОЗОН)</v>
          </cell>
          <cell r="F1264" t="str">
            <v>Стеллаж Frame New комбинир.</v>
          </cell>
          <cell r="G1264" t="str">
            <v>ЛДСП Дуб Вотан, Черн. металл.</v>
          </cell>
          <cell r="H1264" t="str">
            <v>2521897953358</v>
          </cell>
          <cell r="I1264" t="str">
            <v>Основной ассортимент</v>
          </cell>
        </row>
        <row r="1265">
          <cell r="A1265" t="str">
            <v>3536.17/01</v>
          </cell>
          <cell r="B1265" t="str">
            <v>Прихожая Астерия Белая гладкая 1200х2045х356</v>
          </cell>
          <cell r="C1265" t="str">
            <v>Мисесина</v>
          </cell>
          <cell r="D1265" t="str">
            <v>ПРИХОЖАЯ</v>
          </cell>
          <cell r="E1265" t="str">
            <v>СКГТ (ОЗОН)</v>
          </cell>
          <cell r="F1265" t="str">
            <v>Прихожая Астерия</v>
          </cell>
          <cell r="G1265" t="str">
            <v>Белая гладкая</v>
          </cell>
          <cell r="H1265" t="str">
            <v>2521897953364</v>
          </cell>
          <cell r="I1265" t="str">
            <v>Основной ассортимент</v>
          </cell>
        </row>
        <row r="1266">
          <cell r="A1266" t="str">
            <v>3537.17/02</v>
          </cell>
          <cell r="B1266" t="str">
            <v>Прихожая Астерия Белая гладкая 1200х2045х356</v>
          </cell>
          <cell r="C1266" t="str">
            <v>Мисесина</v>
          </cell>
          <cell r="D1266" t="str">
            <v>ПРИХОЖАЯ</v>
          </cell>
          <cell r="E1266" t="str">
            <v>СКГТ (ОЗОН)</v>
          </cell>
          <cell r="F1266" t="str">
            <v>Прихожая Астерия</v>
          </cell>
          <cell r="G1266" t="str">
            <v>Белая гладкая</v>
          </cell>
          <cell r="H1266">
            <v>0</v>
          </cell>
          <cell r="I1266" t="str">
            <v>Основной ассортимент</v>
          </cell>
        </row>
        <row r="1267">
          <cell r="A1267" t="str">
            <v>3767.20/01</v>
          </cell>
          <cell r="B1267" t="str">
            <v>Обувница стеллаж Мальта с ящиком Цемент светлый вельвет 600х750(h)х256</v>
          </cell>
          <cell r="C1267" t="str">
            <v xml:space="preserve">Петрова </v>
          </cell>
          <cell r="D1267" t="str">
            <v>ОБУВНИЦЫ</v>
          </cell>
          <cell r="E1267" t="str">
            <v>FBO</v>
          </cell>
          <cell r="F1267" t="str">
            <v>Обувница стеллаж Мальта с ящиком 600*750256</v>
          </cell>
          <cell r="G1267" t="str">
            <v>Цемент светлый вельвет</v>
          </cell>
          <cell r="H1267" t="str">
            <v>2521897953244</v>
          </cell>
          <cell r="I1267" t="str">
            <v>Основной ассортимент</v>
          </cell>
        </row>
        <row r="1268">
          <cell r="A1268">
            <v>6000</v>
          </cell>
          <cell r="B1268" t="str">
            <v>Модульная система "Токио" шкаф двухстворчатый с двумя ящиками Белый текстурный</v>
          </cell>
          <cell r="C1268">
            <v>0</v>
          </cell>
          <cell r="D1268" t="str">
            <v>ШКАФЫ</v>
          </cell>
          <cell r="E1268" t="str">
            <v>СКГТ (ОЗОН)</v>
          </cell>
          <cell r="F1268" t="str">
            <v>Модульная система "Токио" шкаф двухстворчатый с двумя ящиками</v>
          </cell>
          <cell r="G1268" t="str">
            <v>Белое тиснение</v>
          </cell>
          <cell r="H1268" t="str">
            <v>2521897953426</v>
          </cell>
          <cell r="I1268" t="str">
            <v>Основной ассортимент</v>
          </cell>
        </row>
        <row r="1269">
          <cell r="A1269" t="str">
            <v>MK1120602</v>
          </cell>
          <cell r="B1269" t="str">
            <v>Стол письменный Frame New с ящ., с полкой ЛДСП Дуб Крафт Белый, Белый металл. 800х760(h)х510</v>
          </cell>
          <cell r="C1269">
            <v>0</v>
          </cell>
          <cell r="D1269" t="str">
            <v>СТОЛЫ</v>
          </cell>
          <cell r="E1269" t="str">
            <v>FBS</v>
          </cell>
          <cell r="F1269" t="str">
            <v>Стол письменный Frame New с ящ., с полкой  800х760(h)х510</v>
          </cell>
          <cell r="G1269" t="str">
            <v>ЛДСП Дуб Крафт белый, Белый металл.</v>
          </cell>
          <cell r="H1269" t="str">
            <v>2521897953463</v>
          </cell>
          <cell r="I1269" t="str">
            <v>Основной ассортимент</v>
          </cell>
        </row>
        <row r="1270">
          <cell r="A1270" t="str">
            <v>MK1121705</v>
          </cell>
          <cell r="B1270" t="str">
            <v>Стол письменный Frame New с ящ., с полкой ЛДСП Белая гладкая, Золото металл. 800х760(h)х510</v>
          </cell>
          <cell r="C1270">
            <v>0</v>
          </cell>
          <cell r="D1270" t="str">
            <v>СТОЛЫ</v>
          </cell>
          <cell r="E1270" t="str">
            <v>FBS</v>
          </cell>
          <cell r="F1270" t="str">
            <v>Стол письменный Frame New с ящ., с полкой  800х760(h)х510</v>
          </cell>
          <cell r="G1270" t="str">
            <v>Белая гладкая. Золото металл.</v>
          </cell>
          <cell r="H1270" t="str">
            <v>2521897953464</v>
          </cell>
          <cell r="I1270" t="str">
            <v>Основной ассортимент</v>
          </cell>
        </row>
        <row r="1271">
          <cell r="A1271" t="str">
            <v>3761.17/01</v>
          </cell>
          <cell r="B1271" t="str">
            <v>Обувница Ultra 2 секции с ящиком Белая гладкая 520*946*274</v>
          </cell>
          <cell r="C1271" t="str">
            <v xml:space="preserve">Петрова </v>
          </cell>
          <cell r="D1271" t="str">
            <v>ОБУВНИЦЫ</v>
          </cell>
          <cell r="E1271" t="str">
            <v>FBO</v>
          </cell>
          <cell r="F1271" t="str">
            <v>Обувница Ultra 2 секции с ящиком</v>
          </cell>
          <cell r="G1271" t="str">
            <v>Белая гладкая</v>
          </cell>
          <cell r="H1271" t="str">
            <v>2521897953349</v>
          </cell>
          <cell r="I1271" t="str">
            <v>Основной ассортимент</v>
          </cell>
        </row>
        <row r="1272">
          <cell r="A1272">
            <v>3792</v>
          </cell>
          <cell r="B1272" t="str">
            <v>Обувница Neoletta Lux 3 сек. Белое тиснение/Дуб Вотан 584*1396*246</v>
          </cell>
          <cell r="C1272">
            <v>0</v>
          </cell>
          <cell r="D1272" t="str">
            <v>ОБУВНИЦЫ</v>
          </cell>
          <cell r="E1272" t="str">
            <v>FBS</v>
          </cell>
          <cell r="F1272" t="str">
            <v>Обувница Neoletta Lux 3 сек.</v>
          </cell>
          <cell r="G1272" t="str">
            <v>Белое тиснение/Дуб Вотан</v>
          </cell>
          <cell r="H1272" t="str">
            <v>2521897953413</v>
          </cell>
          <cell r="I1272" t="str">
            <v>Основной ассортимент</v>
          </cell>
        </row>
        <row r="1273">
          <cell r="A1273" t="str">
            <v>3957.17/01</v>
          </cell>
          <cell r="B1273" t="str">
            <v>Шкаф комод Николь гардеробный с ящиками Белая гладкая 866*1021*474</v>
          </cell>
          <cell r="C1273">
            <v>0</v>
          </cell>
          <cell r="D1273" t="str">
            <v>КОМОДЫ</v>
          </cell>
          <cell r="E1273" t="str">
            <v>СКГТ</v>
          </cell>
          <cell r="F1273" t="str">
            <v>Шкаф комод Николь гардеробный с ящиками</v>
          </cell>
          <cell r="G1273" t="str">
            <v>Белая гладкая</v>
          </cell>
          <cell r="H1273" t="str">
            <v>2521897953459</v>
          </cell>
          <cell r="I1273" t="str">
            <v>Основной ассортимент</v>
          </cell>
        </row>
        <row r="1274">
          <cell r="A1274" t="str">
            <v>3958.17/01</v>
          </cell>
          <cell r="B1274" t="str">
            <v>Шкаф комод Николь гардеробный с дверкой Белая гладкая 866*1021*474</v>
          </cell>
          <cell r="C1274">
            <v>0</v>
          </cell>
          <cell r="D1274" t="str">
            <v>КОМОДЫ</v>
          </cell>
          <cell r="E1274" t="str">
            <v>СКГТ</v>
          </cell>
          <cell r="F1274" t="str">
            <v>Шкаф комод Николь гардеробный с дверкой</v>
          </cell>
          <cell r="G1274" t="str">
            <v>Белая гладкая</v>
          </cell>
          <cell r="H1274" t="str">
            <v>2521897953460</v>
          </cell>
          <cell r="I1274" t="str">
            <v>Основной ассортимент</v>
          </cell>
        </row>
        <row r="1275">
          <cell r="A1275" t="str">
            <v>MK2040101</v>
          </cell>
          <cell r="B1275" t="str">
            <v>Стеллаж Bronx Plus ЛДСП Дуб Вотан, Черн.металл.</v>
          </cell>
          <cell r="C1275">
            <v>0</v>
          </cell>
          <cell r="D1275" t="str">
            <v>СТЕЛЛАЖИ</v>
          </cell>
          <cell r="E1275" t="str">
            <v>FBO</v>
          </cell>
          <cell r="F1275" t="str">
            <v>Каркас ЛДСП, металл, фурн./Стеллаж Bronx Plus</v>
          </cell>
          <cell r="G1275" t="str">
            <v>ЛДСП Дуб Вотан, Черн. металл.</v>
          </cell>
          <cell r="H1275" t="str">
            <v>2521897953422</v>
          </cell>
          <cell r="I1275" t="str">
            <v>Основной ассортимент</v>
          </cell>
        </row>
        <row r="1276">
          <cell r="A1276" t="str">
            <v>3751.06/01</v>
          </cell>
          <cell r="B1276" t="str">
            <v>Комод City New универсальный Дуб Крафт Белый 1402х1083(h)х394</v>
          </cell>
          <cell r="C1276">
            <v>0</v>
          </cell>
          <cell r="D1276" t="str">
            <v>КОМОДЫ</v>
          </cell>
          <cell r="E1276" t="str">
            <v>СКГТ (ОЗОН)</v>
          </cell>
          <cell r="F1276" t="str">
            <v>Комод City New универсальный</v>
          </cell>
          <cell r="G1276" t="str">
            <v>Дуб Крафт Белый</v>
          </cell>
          <cell r="H1276" t="str">
            <v>4640219951777</v>
          </cell>
          <cell r="I1276" t="str">
            <v>Основной ассортимент</v>
          </cell>
        </row>
        <row r="1277">
          <cell r="A1277" t="str">
            <v>3770.05Ч/01</v>
          </cell>
          <cell r="B1277" t="str">
            <v>Стол стеллаж Ultra Lite Дуб Крафт золотой/черная кромка 1088*1382*400</v>
          </cell>
          <cell r="C1277">
            <v>0</v>
          </cell>
          <cell r="D1277" t="str">
            <v>СТОЛЫ</v>
          </cell>
          <cell r="E1277" t="str">
            <v>FBO</v>
          </cell>
          <cell r="F1277" t="str">
            <v>Стол стеллаж Ultra Lite</v>
          </cell>
          <cell r="G1277" t="str">
            <v>Дуб Крафт золотой/черная кромка</v>
          </cell>
          <cell r="H1277" t="str">
            <v>2521897953477</v>
          </cell>
          <cell r="I1277" t="str">
            <v>Основной ассортимент</v>
          </cell>
        </row>
        <row r="1278">
          <cell r="A1278">
            <v>3713</v>
          </cell>
          <cell r="B1278" t="str">
            <v>Шкаф Норд 2х дверный с ящиками Белое тиснение 800*2057*474</v>
          </cell>
          <cell r="C1278">
            <v>0</v>
          </cell>
          <cell r="D1278" t="str">
            <v>ШКАФЫ</v>
          </cell>
          <cell r="E1278" t="str">
            <v>СКГТ (ОЗОН)</v>
          </cell>
          <cell r="F1278" t="str">
            <v>Шкаф Норд 2х дверный с ящиками</v>
          </cell>
          <cell r="G1278" t="str">
            <v>Белое тиснение</v>
          </cell>
          <cell r="H1278" t="str">
            <v>2521897953453</v>
          </cell>
          <cell r="I1278" t="str">
            <v>Основной ассортимент</v>
          </cell>
        </row>
        <row r="1279">
          <cell r="A1279">
            <v>3714</v>
          </cell>
          <cell r="B1279" t="str">
            <v>Шкаф 2х дверный с ящиками Белое тиснение 800*2057*474</v>
          </cell>
          <cell r="C1279">
            <v>0</v>
          </cell>
          <cell r="D1279" t="str">
            <v>ШКАФЫ</v>
          </cell>
          <cell r="E1279" t="str">
            <v>СКГТ (ОЗОН)</v>
          </cell>
          <cell r="F1279" t="str">
            <v>Шкаф Норд 2х дверный с ящиками</v>
          </cell>
          <cell r="G1279" t="str">
            <v>Белое тиснение</v>
          </cell>
          <cell r="H1279">
            <v>0</v>
          </cell>
          <cell r="I1279" t="str">
            <v>Основной ассортимент</v>
          </cell>
        </row>
        <row r="1280">
          <cell r="A1280" t="str">
            <v>3770.05/01</v>
          </cell>
          <cell r="B1280" t="str">
            <v>Стол стеллаж Ultra Lite Дуб Крафт золотой 1088*1382*400</v>
          </cell>
          <cell r="C1280">
            <v>0</v>
          </cell>
          <cell r="D1280" t="str">
            <v>СТОЛЫ</v>
          </cell>
          <cell r="E1280" t="str">
            <v>FBO</v>
          </cell>
          <cell r="F1280" t="str">
            <v>Стол стеллаж Ultra Lite</v>
          </cell>
          <cell r="G1280" t="str">
            <v>Дуб Крафт золотой</v>
          </cell>
          <cell r="H1280" t="str">
            <v>2521897953474</v>
          </cell>
          <cell r="I1280" t="str">
            <v>Основной ассортимент</v>
          </cell>
        </row>
        <row r="1281">
          <cell r="A1281" t="str">
            <v>3750.01/01</v>
          </cell>
          <cell r="B1281" t="str">
            <v>Комод City New 6 ящиков Дуб Вотан 1402*827*394</v>
          </cell>
          <cell r="D1281" t="str">
            <v>КОМОДЫ</v>
          </cell>
          <cell r="E1281" t="str">
            <v>СКГТ (ОЗОН)</v>
          </cell>
          <cell r="F1281" t="str">
            <v>Комод City New 6 ящиков</v>
          </cell>
          <cell r="G1281" t="str">
            <v xml:space="preserve">Дуб Вотан </v>
          </cell>
          <cell r="H1281" t="str">
            <v>2521897953489</v>
          </cell>
          <cell r="I1281" t="str">
            <v>Основной ассортимент</v>
          </cell>
        </row>
        <row r="1282">
          <cell r="A1282" t="str">
            <v>MK1860101</v>
          </cell>
          <cell r="B1282" t="str">
            <v>Шкаф комод Frame с дверкой и полками ЛДСП Дуб Вотан, Черн.металл</v>
          </cell>
          <cell r="D1282" t="str">
            <v>КОМОДЫ</v>
          </cell>
          <cell r="E1282" t="str">
            <v>FBO</v>
          </cell>
          <cell r="F1282" t="str">
            <v>Шкаф комод Frame с дверкой и полками</v>
          </cell>
          <cell r="G1282" t="str">
            <v>ЛДСП Дуб Вотан, Черн. металл.</v>
          </cell>
          <cell r="H1282" t="str">
            <v>2521897953494</v>
          </cell>
          <cell r="I1282" t="str">
            <v>Основной ассортимент</v>
          </cell>
        </row>
        <row r="1283">
          <cell r="A1283" t="str">
            <v>MK00018</v>
          </cell>
          <cell r="B1283" t="str">
            <v>Комод Frame 2 ящика с полками ЛДСП дуб Вотан, Черн. металл. 754*770*282</v>
          </cell>
          <cell r="D1283" t="str">
            <v>КОМОДЫ</v>
          </cell>
          <cell r="E1283" t="str">
            <v>FBO</v>
          </cell>
          <cell r="F1283" t="str">
            <v>Комод Frame 2 ящика с полками</v>
          </cell>
          <cell r="G1283" t="str">
            <v>ЛДСП Дуб Вотан, Черн. металл.</v>
          </cell>
          <cell r="H1283" t="str">
            <v>2521897953496</v>
          </cell>
          <cell r="I1283" t="str">
            <v>Основной ассортимент</v>
          </cell>
        </row>
        <row r="1284">
          <cell r="A1284" t="str">
            <v>3536.20/01</v>
          </cell>
          <cell r="B1284" t="str">
            <v>Прихожая Астерия Цемент Светлый Вельвет 1200х2045х354</v>
          </cell>
          <cell r="D1284" t="str">
            <v>ПРИХОЖАЯ</v>
          </cell>
          <cell r="E1284" t="str">
            <v>СКГТ (ОЗОН)</v>
          </cell>
          <cell r="F1284" t="str">
            <v>Прихожая Астерия</v>
          </cell>
          <cell r="G1284" t="str">
            <v>Цемент светлый вельвет</v>
          </cell>
          <cell r="H1284" t="str">
            <v>2521897953501</v>
          </cell>
          <cell r="I1284" t="str">
            <v>Основной ассортимент</v>
          </cell>
        </row>
        <row r="1285">
          <cell r="A1285" t="str">
            <v>3536.09/01</v>
          </cell>
          <cell r="B1285" t="str">
            <v>Прихожая Астерия Серый графит  (всегда + арт 3537.09/02)</v>
          </cell>
          <cell r="D1285" t="str">
            <v>ПРИХОЖАЯ</v>
          </cell>
          <cell r="E1285" t="str">
            <v>СКГТ (ОЗОН)</v>
          </cell>
          <cell r="F1285" t="str">
            <v>Прихожая Астерия</v>
          </cell>
          <cell r="G1285" t="str">
            <v>Графит</v>
          </cell>
          <cell r="H1285" t="str">
            <v>2521897953511</v>
          </cell>
          <cell r="I1285" t="str">
            <v>Основной ассортимент</v>
          </cell>
        </row>
        <row r="1286">
          <cell r="A1286" t="str">
            <v>4013.02.03/01</v>
          </cell>
          <cell r="B1286" t="str">
            <v>Комод Лион 5 ящиков Белое тиснение/Дуб сонома 400х1020(h)х398</v>
          </cell>
          <cell r="D1286" t="str">
            <v>КОМОДЫ</v>
          </cell>
          <cell r="E1286" t="str">
            <v>СКГТ (ОЗОН)</v>
          </cell>
          <cell r="F1286" t="str">
            <v>Комод Лион 5 ящиков</v>
          </cell>
          <cell r="G1286" t="str">
            <v>Белое тиснение/Дуб сонома</v>
          </cell>
          <cell r="H1286" t="str">
            <v>2521897953448</v>
          </cell>
          <cell r="I1286" t="str">
            <v>Основной ассортимент</v>
          </cell>
        </row>
        <row r="1287">
          <cell r="A1287" t="str">
            <v>3537.20/02</v>
          </cell>
          <cell r="B1287" t="str">
            <v>Прихожая Астерия Цемент Светлый Вельвет 1200х2045х354 (всегда + арт. 3536.20/01)</v>
          </cell>
          <cell r="D1287" t="str">
            <v>ПРИХОЖАЯ</v>
          </cell>
          <cell r="E1287" t="str">
            <v>СКГТ (ОЗОН)</v>
          </cell>
          <cell r="F1287" t="str">
            <v>Прихожая Астерия</v>
          </cell>
          <cell r="G1287" t="str">
            <v>Цемент светлый вельвет</v>
          </cell>
          <cell r="H1287">
            <v>0</v>
          </cell>
          <cell r="I1287" t="str">
            <v>Основной ассортимент</v>
          </cell>
        </row>
        <row r="1288">
          <cell r="A1288" t="str">
            <v>3537.09/02</v>
          </cell>
          <cell r="B1288" t="str">
            <v>Прихожая Астерия Серый графит (всегда + арт 3536.09/01)</v>
          </cell>
          <cell r="D1288" t="str">
            <v>ПРИХОЖАЯ</v>
          </cell>
          <cell r="E1288">
            <v>0</v>
          </cell>
          <cell r="F1288" t="str">
            <v>Прихожая Астерия</v>
          </cell>
          <cell r="G1288" t="str">
            <v>Графит</v>
          </cell>
          <cell r="H1288">
            <v>0</v>
          </cell>
          <cell r="I1288" t="str">
            <v>Основной ассортимент</v>
          </cell>
        </row>
        <row r="1289">
          <cell r="A1289" t="str">
            <v>MK2330101</v>
          </cell>
          <cell r="B1289" t="str">
            <v>Стол рабочий Tokyo с надстройкой ЛДСП Дуб Вотан, Черн. металл</v>
          </cell>
          <cell r="D1289" t="str">
            <v>СТОЛЫ</v>
          </cell>
          <cell r="E1289" t="str">
            <v>СКГТ (ОЗОН)</v>
          </cell>
          <cell r="F1289" t="str">
            <v>Стол рабочий Tokyo с надстройкой</v>
          </cell>
          <cell r="G1289" t="str">
            <v>ЛДСП Дуб Вотан, Черн. металл.</v>
          </cell>
          <cell r="H1289" t="str">
            <v>2521897953499</v>
          </cell>
          <cell r="I1289" t="str">
            <v>Основной ассортимент</v>
          </cell>
        </row>
        <row r="1290">
          <cell r="A1290" t="str">
            <v>MK2342501</v>
          </cell>
          <cell r="B1290" t="str">
            <v>Стол рабочий Tokyo Lite с надстройкой ЛДСП Цемент темный молет, Черн. металл</v>
          </cell>
          <cell r="D1290" t="str">
            <v>СТОЛЫ</v>
          </cell>
          <cell r="E1290" t="str">
            <v>FBO</v>
          </cell>
          <cell r="F1290" t="str">
            <v>Стол рабочий Tokyo Lite с надстройкой</v>
          </cell>
          <cell r="G1290" t="str">
            <v>ЛДСП Цемент темный молет, Черн. металл.</v>
          </cell>
          <cell r="H1290" t="str">
            <v>2521897953498</v>
          </cell>
          <cell r="I1290" t="str">
            <v>Основной ассортимент</v>
          </cell>
        </row>
        <row r="1291">
          <cell r="A1291" t="str">
            <v>MK2340101</v>
          </cell>
          <cell r="B1291" t="str">
            <v>Стол рабочий Tokyo Lite с надстройкой ЛДСП Дуб Вотан, Черн. металл</v>
          </cell>
          <cell r="D1291" t="str">
            <v>СТОЛЫ</v>
          </cell>
          <cell r="E1291" t="str">
            <v>FBO</v>
          </cell>
          <cell r="F1291" t="str">
            <v>Стол рабочий Tokyo Lite с надстройкой</v>
          </cell>
          <cell r="G1291" t="str">
            <v>ЛДСП Дуб Вотан, Черн. металл.</v>
          </cell>
          <cell r="H1291" t="str">
            <v>2521897953497</v>
          </cell>
          <cell r="I1291" t="str">
            <v>Основной ассортимент</v>
          </cell>
        </row>
        <row r="1292">
          <cell r="A1292" t="str">
            <v>MK1030201</v>
          </cell>
          <cell r="B1292" t="str">
            <v>Тумба Frame с ящиком ЛДСП Белое тиснение, черн. Металл. 406х740х304</v>
          </cell>
          <cell r="D1292" t="str">
            <v>ТУМБЫ ПРИКРОВАТНЫЕ</v>
          </cell>
          <cell r="E1292" t="str">
            <v>FBO</v>
          </cell>
          <cell r="F1292" t="str">
            <v>Тумба Frame с ящиком, с полкой 406х470х304</v>
          </cell>
          <cell r="G1292" t="str">
            <v xml:space="preserve">ЛДСП Белое тиснение, Черн. металл. </v>
          </cell>
          <cell r="H1292" t="str">
            <v>2521897953486</v>
          </cell>
          <cell r="I1292" t="str">
            <v>Основной ассортимент</v>
          </cell>
        </row>
        <row r="1293">
          <cell r="A1293" t="str">
            <v>MK167010121</v>
          </cell>
          <cell r="B1293" t="str">
            <v>Система хранения Frame №2 ЛДСП Дуб Вотан, Черн. металл, Ткань Strong 04 902х1808(h)х408</v>
          </cell>
          <cell r="C1293">
            <v>0</v>
          </cell>
          <cell r="D1293" t="str">
            <v>ВЕШАЛКИ</v>
          </cell>
          <cell r="E1293" t="str">
            <v xml:space="preserve">СКГТ </v>
          </cell>
          <cell r="F1293" t="str">
            <v>Система хранения Frame №2</v>
          </cell>
          <cell r="G1293" t="str">
            <v>ЛДСП Дуб Вотан, Черн. металл.</v>
          </cell>
          <cell r="H1293">
            <v>0</v>
          </cell>
          <cell r="I1293" t="str">
            <v>Основной ассортимент</v>
          </cell>
        </row>
        <row r="1294">
          <cell r="A1294" t="str">
            <v>3713.06/01</v>
          </cell>
          <cell r="B1294" t="str">
            <v>Шкаф Норд 2х дверный с ящиками Крафт белый 800*2057*474</v>
          </cell>
          <cell r="D1294" t="str">
            <v>ШКАФЫ</v>
          </cell>
          <cell r="E1294" t="str">
            <v>СКГТ (ОЗОН)</v>
          </cell>
          <cell r="F1294" t="str">
            <v>Шкаф Норд 2х дверный с ящиками</v>
          </cell>
          <cell r="G1294" t="str">
            <v>Дуб крафт белый</v>
          </cell>
          <cell r="H1294" t="str">
            <v>4640219957595</v>
          </cell>
          <cell r="I1294" t="str">
            <v>Основной ассортимент</v>
          </cell>
        </row>
        <row r="1295">
          <cell r="A1295" t="str">
            <v>3713.01.25/01</v>
          </cell>
          <cell r="B1295" t="str">
            <v>Шкаф Норд 2х дверный с ящиками Дуб Вотан/Цемент темный молет 800*2057*474</v>
          </cell>
          <cell r="D1295" t="str">
            <v>ШКАФЫ</v>
          </cell>
          <cell r="E1295" t="str">
            <v>СКГТ (ОЗОН)</v>
          </cell>
          <cell r="F1295" t="str">
            <v>Шкаф Норд 2х дверный с ящиками</v>
          </cell>
          <cell r="G1295" t="str">
            <v>Дуб Вотан/Цемент темный молет</v>
          </cell>
          <cell r="H1295" t="str">
            <v>4640219957632</v>
          </cell>
          <cell r="I1295" t="str">
            <v>Основной ассортимент</v>
          </cell>
        </row>
        <row r="1296">
          <cell r="A1296">
            <v>6001</v>
          </cell>
          <cell r="B1296" t="str">
            <v>Модульная система "Денвер" шкаф двухстворчатый с ящиками Графит серый</v>
          </cell>
          <cell r="D1296" t="str">
            <v>ШКАФЫ</v>
          </cell>
          <cell r="E1296" t="str">
            <v>СКГТ (ОЗОН)</v>
          </cell>
          <cell r="F1296" t="str">
            <v>Модульная система "Денвер" шкаф двухстворчатый с ящиками</v>
          </cell>
          <cell r="G1296" t="str">
            <v>Графит</v>
          </cell>
          <cell r="H1296" t="str">
            <v>2521897953500</v>
          </cell>
          <cell r="I1296" t="str">
            <v>Основной ассортимент</v>
          </cell>
        </row>
        <row r="1297">
          <cell r="A1297" t="str">
            <v>3714.06/02</v>
          </cell>
          <cell r="B1297" t="str">
            <v>Шкаф Норд 2х дверный с ящиками Крафт белый 800*2057*474</v>
          </cell>
          <cell r="D1297" t="str">
            <v>ШКАФЫ</v>
          </cell>
          <cell r="E1297" t="str">
            <v>СКГТ (ОЗОН)</v>
          </cell>
          <cell r="F1297" t="str">
            <v>Шкаф Норд 2х дверный с ящиками</v>
          </cell>
          <cell r="G1297" t="str">
            <v>Дуб крафт белый</v>
          </cell>
          <cell r="H1297">
            <v>0</v>
          </cell>
          <cell r="I1297" t="str">
            <v>Основной ассортимент</v>
          </cell>
        </row>
        <row r="1298">
          <cell r="A1298" t="str">
            <v>3714.01.25/02</v>
          </cell>
          <cell r="B1298" t="str">
            <v>Шкаф Норд 2х дверный с ящиками Дуб Вотан/Цемент темный молет</v>
          </cell>
          <cell r="D1298" t="str">
            <v>ШКАФЫ</v>
          </cell>
          <cell r="E1298" t="str">
            <v>СКГТ (ОЗОН)</v>
          </cell>
          <cell r="F1298" t="str">
            <v>Шкаф Норд 2х дверный с ящиками</v>
          </cell>
          <cell r="G1298" t="str">
            <v>Дуб Вотан/Цемент темный молет</v>
          </cell>
          <cell r="H1298">
            <v>0</v>
          </cell>
          <cell r="I1298" t="str">
            <v>Основной ассортимент</v>
          </cell>
        </row>
        <row r="1299">
          <cell r="A1299" t="str">
            <v>3807.05/01</v>
          </cell>
          <cell r="B1299" t="str">
            <v>Шкаф 3 дверн. City Plus Дуб Крафт золотой (всегда + арт 3808.05/02)</v>
          </cell>
          <cell r="D1299" t="str">
            <v>ШКАФЫ</v>
          </cell>
          <cell r="E1299" t="str">
            <v>СКГТ (ОЗОН)</v>
          </cell>
          <cell r="F1299" t="str">
            <v>Шкаф 3 дверн. City Plus</v>
          </cell>
          <cell r="G1299" t="str">
            <v>Дуб Крафт золотой</v>
          </cell>
          <cell r="H1299" t="str">
            <v>2521897953507</v>
          </cell>
          <cell r="I1299" t="str">
            <v>Основной ассортимент</v>
          </cell>
        </row>
        <row r="1300">
          <cell r="A1300" t="str">
            <v>3808.05/02</v>
          </cell>
          <cell r="B1300" t="str">
            <v>Шкаф 3 дверн. City Plus Дуб Крафт золотой</v>
          </cell>
          <cell r="D1300" t="str">
            <v>ШКАФЫ</v>
          </cell>
          <cell r="E1300" t="str">
            <v>СКГТ (ОЗОН)</v>
          </cell>
          <cell r="F1300" t="str">
            <v>Шкаф 3 дверн. City Plus</v>
          </cell>
          <cell r="G1300" t="str">
            <v>Дуб Крафт золотой</v>
          </cell>
          <cell r="H1300">
            <v>0</v>
          </cell>
          <cell r="I1300" t="str">
            <v>Основной ассортимент</v>
          </cell>
        </row>
        <row r="1301">
          <cell r="A1301">
            <v>3835</v>
          </cell>
          <cell r="B1301" t="str">
            <v>Прихожая Астерия Белое гладкое 1200х2045х354 (всегда + арт. 3836)</v>
          </cell>
          <cell r="D1301" t="str">
            <v>ПРИХОЖАЯ</v>
          </cell>
          <cell r="E1301" t="str">
            <v>СКГТ (ОЗОН)</v>
          </cell>
          <cell r="F1301" t="str">
            <v>Прихожая Астерия</v>
          </cell>
          <cell r="G1301" t="str">
            <v>Белая гладкая</v>
          </cell>
          <cell r="H1301" t="str">
            <v>2521897953517</v>
          </cell>
          <cell r="I1301" t="str">
            <v>Основной ассортимент</v>
          </cell>
        </row>
        <row r="1302">
          <cell r="A1302">
            <v>3836</v>
          </cell>
          <cell r="B1302" t="str">
            <v>Прихожая Астерия Белое гладкое 1200х2045х354</v>
          </cell>
          <cell r="D1302" t="str">
            <v>ПРИХОЖАЯ</v>
          </cell>
          <cell r="E1302" t="str">
            <v>СКГТ (ОЗОН)</v>
          </cell>
          <cell r="F1302" t="str">
            <v>Прихожая Астерия</v>
          </cell>
          <cell r="G1302" t="str">
            <v>Белая гладкая</v>
          </cell>
          <cell r="H1302">
            <v>0</v>
          </cell>
          <cell r="I1302" t="str">
            <v>Основной ассортимент</v>
          </cell>
        </row>
        <row r="1303">
          <cell r="A1303" t="str">
            <v>3751.25/01</v>
          </cell>
          <cell r="B1303" t="str">
            <v>Комод City New универсальный Цемент темный молет 1402*1083*394</v>
          </cell>
          <cell r="D1303" t="str">
            <v>КОМОДЫ</v>
          </cell>
          <cell r="E1303" t="str">
            <v>СКГТ (ОЗОН)</v>
          </cell>
          <cell r="F1303" t="str">
            <v>Комод City New универсальный</v>
          </cell>
          <cell r="G1303" t="str">
            <v>Цемент темный молет</v>
          </cell>
          <cell r="H1303">
            <v>0</v>
          </cell>
          <cell r="I1303" t="str">
            <v>Основной ассортимент</v>
          </cell>
        </row>
        <row r="1304">
          <cell r="A1304" t="str">
            <v>MK000182501</v>
          </cell>
          <cell r="B1304" t="str">
            <v>Комод Frame 2 ящика с полками ЛДСП Цемент темный молет, Черн. металл. 754*774*282</v>
          </cell>
          <cell r="D1304" t="str">
            <v>КОМОДЫ</v>
          </cell>
          <cell r="E1304" t="str">
            <v>FBO</v>
          </cell>
          <cell r="F1304" t="str">
            <v>Комод Frame 2 ящика с полками ЛДСП</v>
          </cell>
          <cell r="G1304" t="str">
            <v>ЛДСП Цемент темный молет, Черн. металл.</v>
          </cell>
          <cell r="H1304" t="str">
            <v>2521897953493</v>
          </cell>
          <cell r="I1304" t="str">
            <v>Основной ассортимент</v>
          </cell>
        </row>
        <row r="1305">
          <cell r="A1305" t="str">
            <v>MK1100201</v>
          </cell>
          <cell r="B1305" t="str">
            <v>Стеллаж этажерка Tokyo ЛДСП Белое тиснение, Черн. металл.</v>
          </cell>
          <cell r="D1305" t="str">
            <v>СТЕЛЛАЖИ</v>
          </cell>
          <cell r="E1305" t="str">
            <v>FBO</v>
          </cell>
          <cell r="F1305" t="str">
            <v>Стеллаж этажерка Tokyo ЛДСП</v>
          </cell>
          <cell r="G1305" t="str">
            <v xml:space="preserve">ЛДСП Белое тиснение, Черн. металл. </v>
          </cell>
          <cell r="H1305" t="str">
            <v>2521897953523</v>
          </cell>
          <cell r="I1305" t="str">
            <v>Основной ассортимент</v>
          </cell>
        </row>
        <row r="1306">
          <cell r="A1306" t="str">
            <v>3807.20/01</v>
          </cell>
          <cell r="B1306" t="str">
            <v>Шкаф 3 дверн. City Plus Цемент светлый молет (всегда + арт 3808.20/02)</v>
          </cell>
          <cell r="D1306" t="str">
            <v>ШКАФЫ</v>
          </cell>
          <cell r="E1306" t="str">
            <v>СКГТ (ОЗОН)</v>
          </cell>
          <cell r="F1306" t="str">
            <v>Шкаф 3 дверн. City Plus</v>
          </cell>
          <cell r="G1306" t="str">
            <v>Цемент светлый молет</v>
          </cell>
          <cell r="H1306">
            <v>0</v>
          </cell>
          <cell r="I1306" t="str">
            <v>Основной ассортимент</v>
          </cell>
        </row>
        <row r="1307">
          <cell r="A1307">
            <v>3837</v>
          </cell>
          <cell r="B1307" t="str">
            <v>Шкаф комод City Белое гладкое 1200х1176(h)х502</v>
          </cell>
          <cell r="D1307" t="str">
            <v>КОМОДЫ</v>
          </cell>
          <cell r="E1307" t="str">
            <v>СКГТ (ОЗОН)</v>
          </cell>
          <cell r="F1307" t="str">
            <v>Шкаф комод City</v>
          </cell>
          <cell r="G1307" t="str">
            <v>Белая гладкая</v>
          </cell>
          <cell r="H1307">
            <v>0</v>
          </cell>
          <cell r="I1307" t="str">
            <v>Основной ассортимент</v>
          </cell>
        </row>
        <row r="1308">
          <cell r="A1308" t="str">
            <v>MK2410101</v>
          </cell>
          <cell r="B1308" t="str">
            <v>Стеллаж этажерка Tokyo Lite ЛДСП Дуб Вотан, Черн. металл. 580х1508(h)х320</v>
          </cell>
          <cell r="D1308" t="str">
            <v>СТЕЛЛАЖИ</v>
          </cell>
          <cell r="E1308" t="str">
            <v>FBO</v>
          </cell>
          <cell r="F1308" t="str">
            <v>Стеллаж этажерка Tokyo Lite</v>
          </cell>
          <cell r="G1308" t="str">
            <v>ЛДСП Дуб Вотан, Черн. металл.</v>
          </cell>
          <cell r="H1308" t="str">
            <v>2521897953492</v>
          </cell>
          <cell r="I1308" t="str">
            <v>Вакансия</v>
          </cell>
        </row>
        <row r="1309">
          <cell r="A1309" t="str">
            <v>MK2412501</v>
          </cell>
          <cell r="B1309" t="str">
            <v>Стеллаж этажерка Tokyo Lite ЛДСП Цемент темный молет, Черн.металл. 580х1508(h)х320</v>
          </cell>
          <cell r="D1309" t="str">
            <v>СТЕЛЛАЖИ</v>
          </cell>
          <cell r="E1309" t="str">
            <v>FBO</v>
          </cell>
          <cell r="F1309" t="str">
            <v>Стеллаж этажерка Tokyo Lite</v>
          </cell>
          <cell r="G1309" t="str">
            <v>ЛДСП Цемент темный молет, Черн. металл.</v>
          </cell>
          <cell r="H1309" t="str">
            <v>2521897953550</v>
          </cell>
          <cell r="I1309" t="str">
            <v>Вакансия</v>
          </cell>
        </row>
        <row r="1310">
          <cell r="A1310" t="str">
            <v>3807.06/01</v>
          </cell>
          <cell r="B1310" t="str">
            <v>Шкаф 3 дверн. City Plus Дуб Крафт белый (всегда + арт 3808.06/02)</v>
          </cell>
          <cell r="D1310" t="str">
            <v>ШКАФЫ</v>
          </cell>
          <cell r="E1310" t="str">
            <v>СКГТ (ОЗОН)</v>
          </cell>
          <cell r="F1310" t="str">
            <v>Шкаф 3 дверн. City Plus</v>
          </cell>
          <cell r="G1310" t="str">
            <v>Дуб Крафт белый</v>
          </cell>
          <cell r="H1310" t="str">
            <v>2521897953509</v>
          </cell>
          <cell r="I1310" t="str">
            <v>Основной ассортимент</v>
          </cell>
        </row>
        <row r="1311">
          <cell r="A1311" t="str">
            <v>3808.06/02</v>
          </cell>
          <cell r="B1311" t="str">
            <v>Шкаф 3 дверн. City Plus Дуб Крафт белый</v>
          </cell>
          <cell r="D1311" t="str">
            <v>ШКАФЫ</v>
          </cell>
          <cell r="E1311" t="str">
            <v>СКГТ (ОЗОН)</v>
          </cell>
          <cell r="F1311" t="str">
            <v>Шкаф 3 дверн. City Plus</v>
          </cell>
          <cell r="G1311" t="str">
            <v>Дуб Крафт белый</v>
          </cell>
          <cell r="H1311">
            <v>0</v>
          </cell>
          <cell r="I1311" t="str">
            <v>Основной ассортимент</v>
          </cell>
        </row>
        <row r="1312">
          <cell r="A1312" t="str">
            <v>4158.17.05/01</v>
          </cell>
          <cell r="B1312" t="str">
            <v>Шкаф Рокки 2х дверный с ящиками  Белая гладкая/Дуб крафт золотой</v>
          </cell>
          <cell r="D1312" t="str">
            <v>ШКАФЫ</v>
          </cell>
          <cell r="E1312" t="str">
            <v>СКГТ (ОЗОН)</v>
          </cell>
          <cell r="F1312" t="str">
            <v>Шкаф Рокки 2х дверный с ящиками</v>
          </cell>
          <cell r="G1312" t="str">
            <v>Белая гладкая/Дуб Крафт золотой</v>
          </cell>
          <cell r="H1312" t="str">
            <v>2521897953548</v>
          </cell>
          <cell r="I1312" t="str">
            <v>Основной ассортимент</v>
          </cell>
        </row>
        <row r="1313">
          <cell r="A1313" t="str">
            <v>4159.17.05/02</v>
          </cell>
          <cell r="B1313" t="str">
            <v>Шкаф Рокки 2х дверный с ящиками  Белая гладкая/Дуб крафт золотой</v>
          </cell>
          <cell r="D1313" t="str">
            <v>ШКАФЫ</v>
          </cell>
          <cell r="E1313" t="str">
            <v>СКГТ (ОЗОН)</v>
          </cell>
          <cell r="F1313" t="str">
            <v>Шкаф Рокки 2х дверный с ящиками</v>
          </cell>
          <cell r="G1313" t="str">
            <v>Белая гладкая/Дуб Крафт золотой</v>
          </cell>
          <cell r="H1313">
            <v>0</v>
          </cell>
          <cell r="I1313" t="str">
            <v>Основной ассортимент</v>
          </cell>
        </row>
        <row r="1314">
          <cell r="A1314">
            <v>3738</v>
          </cell>
          <cell r="B1314" t="str">
            <v>Шкаф 2-х дверный комбинированный City серый графит 802х1800х454</v>
          </cell>
          <cell r="D1314" t="str">
            <v>ШКАФЫ</v>
          </cell>
          <cell r="E1314">
            <v>0</v>
          </cell>
          <cell r="F1314" t="str">
            <v>Шкаф 2-х дверный комбинированный City</v>
          </cell>
          <cell r="G1314" t="str">
            <v>Графит</v>
          </cell>
          <cell r="H1314">
            <v>0</v>
          </cell>
          <cell r="I1314" t="str">
            <v>Основной ассортимент</v>
          </cell>
        </row>
        <row r="1315">
          <cell r="A1315" t="str">
            <v>3713.09/01</v>
          </cell>
          <cell r="B1315" t="str">
            <v>Шкаф Норд 2х дверный с ящиками Серый графит 800*2057*474 (всегда+арт. 3714.06/02)</v>
          </cell>
          <cell r="D1315" t="str">
            <v>ШКАФЫ</v>
          </cell>
          <cell r="E1315" t="str">
            <v>СКГТ (ОЗОН)</v>
          </cell>
          <cell r="F1315" t="str">
            <v>Шкаф Норд 2х дверный с ящиками</v>
          </cell>
          <cell r="G1315" t="str">
            <v>Графит</v>
          </cell>
          <cell r="H1315" t="str">
            <v>2521897953553</v>
          </cell>
          <cell r="I1315" t="str">
            <v>Основной ассортимент</v>
          </cell>
        </row>
        <row r="1316">
          <cell r="A1316" t="str">
            <v>3714.09/02</v>
          </cell>
          <cell r="B1316" t="str">
            <v>Шкаф Норд 2х дверный с ящиками Серый графит 800*2057*474</v>
          </cell>
          <cell r="D1316" t="str">
            <v>ШКАФЫ</v>
          </cell>
          <cell r="E1316" t="str">
            <v>СКГТ (ОЗОН)</v>
          </cell>
          <cell r="F1316" t="str">
            <v>Шкаф Норд 2х дверный с ящиками</v>
          </cell>
          <cell r="G1316" t="str">
            <v>Графит</v>
          </cell>
          <cell r="H1316">
            <v>0</v>
          </cell>
          <cell r="I1316" t="str">
            <v>Основной ассортимент</v>
          </cell>
        </row>
        <row r="1317">
          <cell r="A1317" t="str">
            <v>5502.17/01К1</v>
          </cell>
          <cell r="B1317" t="str">
            <v>Каркас Универсальный К.1 шкафа 2х дверного Белая гладкая 800х2032(h)х480</v>
          </cell>
          <cell r="D1317" t="str">
            <v>ШКАФЫ</v>
          </cell>
          <cell r="E1317" t="str">
            <v>СКГТ (ОЗОН)</v>
          </cell>
          <cell r="F1317" t="str">
            <v>Каркас Универсальный К.1 шкафа 2х дверного</v>
          </cell>
          <cell r="G1317" t="str">
            <v>Белая гладкая</v>
          </cell>
          <cell r="H1317">
            <v>0</v>
          </cell>
          <cell r="I1317" t="str">
            <v>Основной ассортимент</v>
          </cell>
        </row>
        <row r="1318">
          <cell r="A1318" t="str">
            <v>7701.Р.1</v>
          </cell>
          <cell r="B1318" t="str">
            <v>Ручка - кнопка К30 черная матовая 1 шт. (в компл. саморезы)</v>
          </cell>
          <cell r="D1318" t="str">
            <v>ФУРНИТУРА</v>
          </cell>
          <cell r="E1318">
            <v>0</v>
          </cell>
          <cell r="F1318" t="str">
            <v>Шкаф Сорренто 1 дверный</v>
          </cell>
          <cell r="G1318" t="str">
            <v>Черная матовая</v>
          </cell>
          <cell r="H1318">
            <v>0</v>
          </cell>
          <cell r="I1318" t="str">
            <v>Основной ассортимент</v>
          </cell>
        </row>
        <row r="1319">
          <cell r="A1319" t="str">
            <v>7702.Р.1</v>
          </cell>
          <cell r="B1319" t="str">
            <v>Ручка - кнопка К30 черная матовая 2 шт. (в компл. саморезы)</v>
          </cell>
          <cell r="D1319" t="str">
            <v>ФУРНИТУРА</v>
          </cell>
          <cell r="E1319">
            <v>0</v>
          </cell>
          <cell r="F1319" t="str">
            <v>Ручка - кнопка</v>
          </cell>
          <cell r="G1319" t="str">
            <v>Черная матовая</v>
          </cell>
          <cell r="H1319">
            <v>0</v>
          </cell>
          <cell r="I1319" t="str">
            <v>Основной ассортимент</v>
          </cell>
        </row>
        <row r="1320">
          <cell r="A1320" t="str">
            <v>8801.О.1</v>
          </cell>
          <cell r="B1320" t="str">
            <v>Опора под саморез h-25 6 шт. (в компл. саморезы)</v>
          </cell>
          <cell r="D1320" t="str">
            <v>ФУРНИТУРА</v>
          </cell>
          <cell r="E1320">
            <v>0</v>
          </cell>
          <cell r="F1320" t="str">
            <v>Шкаф Сорренто 1 дверный</v>
          </cell>
          <cell r="H1320">
            <v>0</v>
          </cell>
          <cell r="I1320" t="str">
            <v>Основной ассортимент</v>
          </cell>
        </row>
        <row r="1321">
          <cell r="A1321" t="str">
            <v>8802.О.1</v>
          </cell>
          <cell r="B1321" t="str">
            <v>Опора под саморез h-25 4 шт. (в компл. саморезы)</v>
          </cell>
          <cell r="D1321" t="str">
            <v>ФУРНИТУРА</v>
          </cell>
          <cell r="E1321">
            <v>0</v>
          </cell>
          <cell r="F1321" t="str">
            <v>Опора под саморез</v>
          </cell>
          <cell r="H1321">
            <v>0</v>
          </cell>
          <cell r="I1321" t="str">
            <v>Основной ассортимент</v>
          </cell>
        </row>
        <row r="1322">
          <cell r="A1322" t="str">
            <v>3750.05/01</v>
          </cell>
          <cell r="B1322" t="str">
            <v>Комод City New 6 ящиков Дуб Крафт золотой 1402х827(h)х394</v>
          </cell>
          <cell r="D1322" t="str">
            <v>КОМОДЫ</v>
          </cell>
          <cell r="E1322" t="str">
            <v>СКГТ (ОЗОН)</v>
          </cell>
          <cell r="F1322" t="str">
            <v>Комод City New 6 ящиков</v>
          </cell>
          <cell r="G1322" t="str">
            <v>Дуб Крафт золотой</v>
          </cell>
          <cell r="H1322" t="str">
            <v>2521897953562</v>
          </cell>
          <cell r="I1322" t="str">
            <v>Основной ассортимент</v>
          </cell>
        </row>
        <row r="1323">
          <cell r="A1323" t="str">
            <v>3807.09/01</v>
          </cell>
          <cell r="B1323" t="str">
            <v>Шкаф 3х дверн. комбинир. City Plus Серый Графит (всегда + арт 3808.09/02</v>
          </cell>
          <cell r="D1323" t="str">
            <v>ШКАФЫ</v>
          </cell>
          <cell r="E1323" t="str">
            <v>СКГТ (ОЗОН)</v>
          </cell>
          <cell r="F1323" t="str">
            <v>Шкаф 3 дверн. City Plus</v>
          </cell>
          <cell r="G1323" t="str">
            <v>Графит</v>
          </cell>
          <cell r="H1323" t="str">
            <v>2521897953560</v>
          </cell>
          <cell r="I1323" t="str">
            <v>Основной ассортимент</v>
          </cell>
        </row>
        <row r="1324">
          <cell r="A1324" t="str">
            <v>3808.09/02</v>
          </cell>
          <cell r="B1324" t="str">
            <v>Шкаф 3х дверн. комбинир. City Plus Серый Графит</v>
          </cell>
          <cell r="D1324" t="str">
            <v>ШКАФЫ</v>
          </cell>
          <cell r="E1324" t="str">
            <v>СКГТ (ОЗОН)</v>
          </cell>
          <cell r="F1324" t="str">
            <v>Шкаф 3 дверн. City Plus</v>
          </cell>
          <cell r="G1324" t="str">
            <v>Графит</v>
          </cell>
          <cell r="H1324">
            <v>0</v>
          </cell>
          <cell r="I1324" t="str">
            <v>Основной ассортимент</v>
          </cell>
        </row>
        <row r="1325">
          <cell r="A1325" t="str">
            <v>3761.09/01</v>
          </cell>
          <cell r="B1325" t="str">
            <v>Обувница Ultra 2 секции с ящиком Серый графит 520*946*274</v>
          </cell>
          <cell r="D1325" t="str">
            <v>ОБУВНИЦЫ</v>
          </cell>
          <cell r="E1325" t="str">
            <v>FBO</v>
          </cell>
          <cell r="F1325" t="str">
            <v>Обувница Ultra 2 секции с ящиком</v>
          </cell>
          <cell r="G1325" t="str">
            <v>Графит</v>
          </cell>
          <cell r="H1325" t="str">
            <v>2521897953559</v>
          </cell>
          <cell r="I1325" t="str">
            <v>Основной ассортимент</v>
          </cell>
        </row>
        <row r="1326">
          <cell r="A1326">
            <v>3889</v>
          </cell>
          <cell r="B1326" t="str">
            <v>Комод Neo Quattro с дверками Белая гладкая 1160*792*398</v>
          </cell>
          <cell r="D1326" t="str">
            <v>КОМОДЫ</v>
          </cell>
          <cell r="E1326" t="str">
            <v>СКГТ (ОЗОН)</v>
          </cell>
          <cell r="F1326" t="str">
            <v>Комод Neo Quattro с дверками</v>
          </cell>
          <cell r="G1326" t="str">
            <v>Белая гладкая</v>
          </cell>
          <cell r="H1326" t="str">
            <v>2521897953545</v>
          </cell>
          <cell r="I1326" t="str">
            <v>Основной ассортимент</v>
          </cell>
        </row>
        <row r="1327">
          <cell r="A1327" t="str">
            <v>3751.17/01</v>
          </cell>
          <cell r="B1327" t="str">
            <v>Комод City New универсальный Белая гладкая 1402*1083*394</v>
          </cell>
          <cell r="D1327" t="str">
            <v>КОМОДЫ</v>
          </cell>
          <cell r="E1327" t="str">
            <v>СКГТ (ОЗОН)</v>
          </cell>
          <cell r="F1327" t="str">
            <v>Комод City New универсальный</v>
          </cell>
          <cell r="G1327" t="str">
            <v>Белая гладкая</v>
          </cell>
          <cell r="H1327" t="str">
            <v>2521897953570</v>
          </cell>
          <cell r="I1327" t="str">
            <v>Основной ассортимент</v>
          </cell>
        </row>
        <row r="1328">
          <cell r="A1328" t="str">
            <v>3761.06/01</v>
          </cell>
          <cell r="B1328" t="str">
            <v>Обувница Ultra 2 секции с ящиком Дуб крафт белый 520*946*274</v>
          </cell>
          <cell r="D1328" t="str">
            <v>ОБУВНИЦЫ</v>
          </cell>
          <cell r="E1328" t="str">
            <v>FBO</v>
          </cell>
          <cell r="F1328" t="str">
            <v>Обувница Ultra 2 секции с ящиком</v>
          </cell>
          <cell r="G1328" t="str">
            <v>Дуб крафт белый</v>
          </cell>
          <cell r="H1328" t="str">
            <v>2521897953575</v>
          </cell>
          <cell r="I1328" t="str">
            <v>Основной ассортимент</v>
          </cell>
        </row>
        <row r="1329">
          <cell r="A1329" t="str">
            <v>3893.09/01</v>
          </cell>
          <cell r="B1329" t="str">
            <v>Система хранения Компакт 2 секции Серый графит 390*800*240</v>
          </cell>
          <cell r="D1329" t="str">
            <v>ШКАФЫ</v>
          </cell>
          <cell r="E1329" t="str">
            <v>FBO</v>
          </cell>
          <cell r="F1329" t="str">
            <v>Система хранения Компакт 2 секции</v>
          </cell>
          <cell r="G1329" t="str">
            <v>Графит</v>
          </cell>
          <cell r="H1329" t="str">
            <v>2521897953571</v>
          </cell>
          <cell r="I1329" t="str">
            <v>Основной ассортимент</v>
          </cell>
        </row>
        <row r="1330">
          <cell r="A1330" t="str">
            <v>3808.20/02</v>
          </cell>
          <cell r="B1330" t="str">
            <v>Шкаф 3 дверн. City Plus Цемент светлый молет (всегда + арт 3808.20/02)</v>
          </cell>
          <cell r="D1330" t="str">
            <v>ШКАФЫ</v>
          </cell>
          <cell r="E1330" t="str">
            <v>СКГТ (ОЗОН)</v>
          </cell>
          <cell r="F1330" t="str">
            <v>Шкаф 3 дверн. City Plus</v>
          </cell>
          <cell r="G1330" t="str">
            <v>Цемент светлый молет</v>
          </cell>
          <cell r="H1330">
            <v>0</v>
          </cell>
          <cell r="I1330" t="str">
            <v>Основной ассортимент</v>
          </cell>
        </row>
        <row r="1331">
          <cell r="A1331" t="str">
            <v>6601.17/01</v>
          </cell>
          <cell r="B1331" t="str">
            <v>Фасад Сорренто ФС Белая гладкая</v>
          </cell>
          <cell r="D1331" t="str">
            <v>ШКАФЫ</v>
          </cell>
          <cell r="E1331" t="str">
            <v>СКГТ (ОЗОН)</v>
          </cell>
          <cell r="F1331" t="str">
            <v>Шкаф Сорренто 1 дверный</v>
          </cell>
          <cell r="G1331" t="str">
            <v>Белая гладкая</v>
          </cell>
          <cell r="H1331">
            <v>0</v>
          </cell>
          <cell r="I1331" t="str">
            <v>Основной ассортимент</v>
          </cell>
        </row>
        <row r="1332">
          <cell r="A1332" t="str">
            <v>5501.17/01К1</v>
          </cell>
          <cell r="B1332" t="str">
            <v>Каркас Универсальный К.1 шкафа 1 дверного Белая гладкая 400х2032(h)х480</v>
          </cell>
          <cell r="D1332" t="str">
            <v>ШКАФЫ</v>
          </cell>
          <cell r="E1332" t="str">
            <v>СКГТ (ОЗОН)</v>
          </cell>
          <cell r="F1332" t="str">
            <v>Шкаф Сорренто 1 дверный</v>
          </cell>
          <cell r="G1332" t="str">
            <v>Белая гладкая</v>
          </cell>
          <cell r="H1332">
            <v>0</v>
          </cell>
          <cell r="I1332" t="str">
            <v>Основной ассортимент</v>
          </cell>
        </row>
        <row r="1333">
          <cell r="A1333" t="str">
            <v>3807.17/01</v>
          </cell>
          <cell r="B1333" t="str">
            <v>Шкаф 3 дверн. комбинир. City Plus Белая гладкая (всегда + арт 3808.17/02)</v>
          </cell>
          <cell r="D1333" t="str">
            <v>ШКАФЫ</v>
          </cell>
          <cell r="E1333" t="str">
            <v>СКГТ (ОЗОН)</v>
          </cell>
          <cell r="F1333" t="str">
            <v>Шкаф 3 дверн. City Plus</v>
          </cell>
          <cell r="G1333" t="str">
            <v>Белая гладкая</v>
          </cell>
          <cell r="H1333" t="str">
            <v>2521897953586</v>
          </cell>
          <cell r="I1333" t="str">
            <v>Основной ассортимент</v>
          </cell>
        </row>
        <row r="1334">
          <cell r="A1334" t="str">
            <v>3808.17/02</v>
          </cell>
          <cell r="B1334" t="str">
            <v>Шкаф 3 дверн. комбинир. City Plus Белая гладкая 1050*1996*474</v>
          </cell>
          <cell r="D1334" t="str">
            <v>ШКАФЫ</v>
          </cell>
          <cell r="E1334" t="str">
            <v>СКГТ (ОЗОН)</v>
          </cell>
          <cell r="F1334" t="str">
            <v>Шкаф 3 дверн. City Plus</v>
          </cell>
          <cell r="G1334" t="str">
            <v>Белая гладкая</v>
          </cell>
          <cell r="H1334">
            <v>0</v>
          </cell>
          <cell r="I1334" t="str">
            <v>Основной ассортимент</v>
          </cell>
        </row>
        <row r="1335">
          <cell r="A1335" t="str">
            <v>135520.12/01</v>
          </cell>
          <cell r="B1335" t="str">
            <v>Стол письменный УЛЬТРА (1,058х0,75х0,45) Черный</v>
          </cell>
          <cell r="D1335" t="str">
            <v>СТОЛЫ</v>
          </cell>
          <cell r="E1335" t="str">
            <v>FBS</v>
          </cell>
          <cell r="F1335" t="str">
            <v>Стол письменный Ультра 4 ящика 1056*750*450</v>
          </cell>
          <cell r="G1335" t="str">
            <v>Черный</v>
          </cell>
          <cell r="H1335">
            <v>0</v>
          </cell>
          <cell r="I1335" t="str">
            <v>Основной ассортимент</v>
          </cell>
        </row>
        <row r="1336">
          <cell r="A1336" t="str">
            <v>5551.17/01С</v>
          </cell>
          <cell r="B1336" t="str">
            <v>Шкаф Сорренто 1 дверный Белая гладкая 400х2057(h)х480</v>
          </cell>
          <cell r="D1336" t="str">
            <v>ШКАФЫ</v>
          </cell>
          <cell r="E1336" t="str">
            <v>СКГТ (ОЗОН)</v>
          </cell>
          <cell r="F1336" t="str">
            <v>Шкаф Сорренто 1 дверный</v>
          </cell>
          <cell r="G1336" t="str">
            <v>Белая гладкая</v>
          </cell>
          <cell r="H1336" t="str">
            <v>2521897953588</v>
          </cell>
          <cell r="I1336" t="str">
            <v>Основной ассортимент</v>
          </cell>
        </row>
        <row r="1337">
          <cell r="A1337" t="str">
            <v>3895.03/01</v>
          </cell>
          <cell r="B1337" t="str">
            <v>Система хранения Компакт 3 секции Дуб сонома 390х1190(h)х240</v>
          </cell>
          <cell r="D1337" t="str">
            <v>ШКАФЫ</v>
          </cell>
          <cell r="E1337" t="str">
            <v>FBO</v>
          </cell>
          <cell r="F1337" t="str">
            <v>Система хранения Компакт 3 секции</v>
          </cell>
          <cell r="G1337" t="str">
            <v>Дуб сонома</v>
          </cell>
          <cell r="H1337" t="str">
            <v>2521897953591</v>
          </cell>
          <cell r="I1337" t="str">
            <v>Основной ассортимент</v>
          </cell>
        </row>
        <row r="1338">
          <cell r="A1338" t="str">
            <v>3895.09/01</v>
          </cell>
          <cell r="B1338" t="str">
            <v>Система хранения Компакт 3 секции Серый Графит 390х1190(h)х240</v>
          </cell>
          <cell r="D1338" t="str">
            <v>ШКАФЫ</v>
          </cell>
          <cell r="E1338" t="str">
            <v>FBO</v>
          </cell>
          <cell r="F1338" t="str">
            <v>Система хранения Компакт 3 секции</v>
          </cell>
          <cell r="G1338" t="str">
            <v>Графит</v>
          </cell>
          <cell r="H1338" t="str">
            <v>2521897953592</v>
          </cell>
          <cell r="I1338" t="str">
            <v>Основной ассортимент</v>
          </cell>
        </row>
        <row r="1339">
          <cell r="A1339" t="str">
            <v>MK1370201</v>
          </cell>
          <cell r="B1339" t="str">
            <v>Вешалка Frame ЛДСП Белое тиснение, Черн. металл. 802х1750(h)х278</v>
          </cell>
          <cell r="D1339" t="str">
            <v>ВЕШАЛКИ</v>
          </cell>
          <cell r="E1339" t="str">
            <v>FBS</v>
          </cell>
          <cell r="F1339" t="str">
            <v>Вешалка Frame</v>
          </cell>
          <cell r="G1339" t="str">
            <v xml:space="preserve">ЛДСП Белое тиснение, Черн. металл. </v>
          </cell>
          <cell r="H1339" t="str">
            <v>2521897952733</v>
          </cell>
          <cell r="I1339" t="str">
            <v>Основной ассортимент</v>
          </cell>
        </row>
        <row r="1340">
          <cell r="A1340" t="str">
            <v>4506.17/01</v>
          </cell>
          <cell r="B1340" t="str">
            <v>Комод Сорренто 4 ящика Белая гладкая 800*853*480</v>
          </cell>
          <cell r="D1340" t="str">
            <v>КОМОДЫ</v>
          </cell>
          <cell r="E1340" t="str">
            <v>СКГТ (ОЗОН)</v>
          </cell>
          <cell r="F1340" t="str">
            <v>Комод Сорренто 4 ящика</v>
          </cell>
          <cell r="G1340" t="str">
            <v>Белая гладкая</v>
          </cell>
          <cell r="H1340" t="str">
            <v>2521897953578</v>
          </cell>
          <cell r="I1340" t="str">
            <v>Основной ассортимент</v>
          </cell>
        </row>
        <row r="1341">
          <cell r="A1341" t="str">
            <v>MK1250601</v>
          </cell>
          <cell r="B1341" t="str">
            <v>Стеллаж Tokyo Plus ЛДСП Дуб Крафт белый, Черн. металл. 900х1758(h)х290</v>
          </cell>
          <cell r="D1341" t="str">
            <v>СТЕЛЛАЖИ</v>
          </cell>
          <cell r="E1341" t="str">
            <v>FBS</v>
          </cell>
          <cell r="F1341" t="str">
            <v>Стеллаж Tokyo Plus</v>
          </cell>
          <cell r="G1341" t="str">
            <v>ЛДСП Дуб Крафт белый, Черн. металл.</v>
          </cell>
          <cell r="H1341" t="str">
            <v>4640219957380</v>
          </cell>
          <cell r="I1341" t="str">
            <v>Основной ассортимент</v>
          </cell>
        </row>
        <row r="1342">
          <cell r="A1342" t="str">
            <v>MK2220101</v>
          </cell>
          <cell r="B1342" t="str">
            <v>Стеллаж Fiji 2-х дверный ЛДСП Дуб Вотан, Черн. металл</v>
          </cell>
          <cell r="D1342" t="str">
            <v>СТЕЛЛАЖИ</v>
          </cell>
          <cell r="E1342" t="str">
            <v>FBO</v>
          </cell>
          <cell r="F1342" t="str">
            <v>Стеллаж Fiji 2-х дверный</v>
          </cell>
          <cell r="G1342" t="str">
            <v>ЛДСП Дуб Вотан, Черн. металл.</v>
          </cell>
          <cell r="H1342" t="str">
            <v>4660041008333</v>
          </cell>
          <cell r="I1342" t="str">
            <v>Основной ассортимент</v>
          </cell>
        </row>
        <row r="1343">
          <cell r="A1343" t="str">
            <v>3536.01/01</v>
          </cell>
          <cell r="B1343" t="str">
            <v>Прихожая Астерия Дуб Вотан 1200х2045х356</v>
          </cell>
          <cell r="D1343" t="str">
            <v>ПРИХОЖАЯ</v>
          </cell>
          <cell r="E1343" t="str">
            <v>СКГТ (ОЗОН)</v>
          </cell>
          <cell r="F1343" t="str">
            <v>Прихожая Астерия</v>
          </cell>
          <cell r="G1343" t="str">
            <v>Дуб Вотан</v>
          </cell>
          <cell r="H1343" t="str">
            <v>2521897953601</v>
          </cell>
          <cell r="I1343" t="str">
            <v>Основной ассортимент</v>
          </cell>
        </row>
        <row r="1344">
          <cell r="A1344" t="str">
            <v>3537.01/02</v>
          </cell>
          <cell r="B1344" t="str">
            <v>Прихожая Астерия Дуб Вотан 1200х2045х356</v>
          </cell>
          <cell r="D1344" t="str">
            <v>ПРИХОЖАЯ</v>
          </cell>
          <cell r="E1344" t="str">
            <v>СКГТ (ОЗОН)</v>
          </cell>
          <cell r="F1344" t="str">
            <v>Прихожая Астерия</v>
          </cell>
          <cell r="G1344" t="str">
            <v>Дуб Вотан</v>
          </cell>
          <cell r="H1344">
            <v>0</v>
          </cell>
          <cell r="I1344" t="str">
            <v>Основной ассортимент</v>
          </cell>
        </row>
        <row r="1345">
          <cell r="A1345" t="str">
            <v>3968.17/01</v>
          </cell>
          <cell r="B1345" t="str">
            <v>Стойка барная Сити Белая гладкая 1100х1064(h)х440</v>
          </cell>
          <cell r="D1345" t="str">
            <v>СТОЛЫ ОБЕДЕННЫЕ</v>
          </cell>
          <cell r="E1345" t="str">
            <v>FBO</v>
          </cell>
          <cell r="F1345" t="str">
            <v>Стойка барная Сити</v>
          </cell>
          <cell r="G1345" t="str">
            <v>Белая гладкая</v>
          </cell>
          <cell r="H1345" t="str">
            <v>4620263153358</v>
          </cell>
          <cell r="I1345" t="str">
            <v>Основной ассортимент</v>
          </cell>
        </row>
        <row r="1346">
          <cell r="A1346" t="str">
            <v>3968.05Ч/01</v>
          </cell>
          <cell r="B1346" t="str">
            <v>Стойка барная Сити Дуб Крафт золотой 1100х1064(h)х440</v>
          </cell>
          <cell r="D1346" t="str">
            <v>СТОЛЫ ОБЕДЕННЫЕ</v>
          </cell>
          <cell r="E1346" t="str">
            <v>FBO</v>
          </cell>
          <cell r="F1346" t="str">
            <v>Стойка барная Сити</v>
          </cell>
          <cell r="G1346" t="str">
            <v>Дуб Крафт золотой</v>
          </cell>
          <cell r="H1346" t="str">
            <v>4620263153396</v>
          </cell>
          <cell r="I1346" t="str">
            <v>Основной ассортимент</v>
          </cell>
        </row>
        <row r="1347">
          <cell r="A1347" t="str">
            <v>3608.05/01</v>
          </cell>
          <cell r="B1347" t="str">
            <v>Стол обеденный Nicole раскладной ЛДСП Дуб Крафт золотой</v>
          </cell>
          <cell r="D1347" t="str">
            <v>СТОЛЫ ОБЕДЕННЫЕ</v>
          </cell>
          <cell r="E1347" t="str">
            <v>FBO</v>
          </cell>
          <cell r="F1347" t="str">
            <v>Стол обеденный Nicole раскладной</v>
          </cell>
          <cell r="G1347" t="str">
            <v>Дуб Крафт золотой</v>
          </cell>
          <cell r="H1347" t="str">
            <v>4620263153754</v>
          </cell>
          <cell r="I1347" t="str">
            <v>Основной ассортимент</v>
          </cell>
        </row>
        <row r="1348">
          <cell r="A1348" t="str">
            <v>3769.20/01</v>
          </cell>
          <cell r="B1348" t="str">
            <v>Шкаф комод для обуви Мальта 2х дверный Цемент светлый молет 500х780(h)х304</v>
          </cell>
          <cell r="D1348" t="str">
            <v>ОБУВНИЦЫ</v>
          </cell>
          <cell r="E1348" t="str">
            <v>FBO</v>
          </cell>
          <cell r="F1348" t="str">
            <v>Шкаф комод для обуви Мальта 2х дверный</v>
          </cell>
          <cell r="G1348" t="str">
            <v>Цемент светлый молет</v>
          </cell>
          <cell r="H1348" t="str">
            <v>4640219958325</v>
          </cell>
          <cell r="I1348" t="str">
            <v>Основной ассортимент</v>
          </cell>
        </row>
        <row r="1349">
          <cell r="A1349" t="str">
            <v>3608.12/01</v>
          </cell>
          <cell r="B1349" t="str">
            <v>Стол обеденный Nicole раскладной ЛДСП Черный</v>
          </cell>
          <cell r="D1349" t="str">
            <v>СТОЛЫ ОБЕДЕННЫЕ</v>
          </cell>
          <cell r="E1349" t="str">
            <v>FBO</v>
          </cell>
          <cell r="F1349" t="str">
            <v>Стол обеденный Nicole раскладной</v>
          </cell>
          <cell r="G1349" t="str">
            <v>Черный</v>
          </cell>
          <cell r="H1349" t="str">
            <v>4620263153785</v>
          </cell>
          <cell r="I1349" t="str">
            <v>Основной ассортимент</v>
          </cell>
        </row>
        <row r="1350">
          <cell r="A1350" t="str">
            <v>3608.05.12/01</v>
          </cell>
          <cell r="B1350" t="str">
            <v>Стол обеденный Nicole раскладной ЛДСП Дуб Крафт золотой/черный</v>
          </cell>
          <cell r="D1350" t="str">
            <v>СТОЛЫ ОБЕДЕННЫЕ</v>
          </cell>
          <cell r="E1350" t="str">
            <v>FBO</v>
          </cell>
          <cell r="F1350" t="str">
            <v>Стол обеденный Nicole раскладной</v>
          </cell>
          <cell r="G1350" t="str">
            <v>Дуб Крафт золотой/черный</v>
          </cell>
          <cell r="H1350" t="str">
            <v>4620263153761</v>
          </cell>
          <cell r="I1350" t="str">
            <v>Основной ассортимент</v>
          </cell>
        </row>
        <row r="1351">
          <cell r="A1351" t="str">
            <v>5502.09/01К1</v>
          </cell>
          <cell r="B1351" t="str">
            <v>Каркас Универсальный К.1 шкафа 2х дверного Серый графит 800х2032(h)х480</v>
          </cell>
          <cell r="D1351" t="str">
            <v>ШКАФЫ</v>
          </cell>
          <cell r="E1351" t="str">
            <v>СКГТ (ОЗОН)</v>
          </cell>
          <cell r="F1351" t="str">
            <v>Каркас Универсальный К.1 шкафа 2х дверного</v>
          </cell>
          <cell r="G1351" t="str">
            <v>Графит</v>
          </cell>
          <cell r="H1351">
            <v>0</v>
          </cell>
          <cell r="I1351" t="str">
            <v>Основной ассортимент</v>
          </cell>
        </row>
        <row r="1352">
          <cell r="A1352" t="str">
            <v>3536.05.09/01</v>
          </cell>
          <cell r="B1352" t="str">
            <v>Прихожая Астерия Дуб крафт золотой/Серый графит 1200х2045х356 (всегда + арт. 3537.05.09/02)</v>
          </cell>
          <cell r="D1352" t="str">
            <v>ПРИХОЖАЯ</v>
          </cell>
          <cell r="E1352" t="str">
            <v>СКГТ (ОЗОН)</v>
          </cell>
          <cell r="F1352" t="str">
            <v>Прихожая Астерия</v>
          </cell>
          <cell r="G1352" t="str">
            <v>Дуб крафт золотой/графит</v>
          </cell>
          <cell r="H1352" t="str">
            <v>2521897953487</v>
          </cell>
          <cell r="I1352" t="str">
            <v>Основной ассортимент</v>
          </cell>
        </row>
        <row r="1353">
          <cell r="A1353" t="str">
            <v>3537.05.09/02</v>
          </cell>
          <cell r="B1353" t="str">
            <v>Прихожая Астерия Дуб крафт золотой/Серый графит 1200х2045х356</v>
          </cell>
          <cell r="D1353" t="str">
            <v>ПРИХОЖАЯ</v>
          </cell>
          <cell r="E1353" t="str">
            <v>СКГТ (ОЗОН)</v>
          </cell>
          <cell r="F1353" t="str">
            <v>Прихожая Астерия</v>
          </cell>
          <cell r="G1353" t="str">
            <v>Дуб крафт золотой/графит</v>
          </cell>
          <cell r="H1353">
            <v>0</v>
          </cell>
          <cell r="I1353" t="str">
            <v>Основной ассортимент</v>
          </cell>
        </row>
        <row r="1354">
          <cell r="A1354" t="str">
            <v>6611.05Ф/01</v>
          </cell>
          <cell r="B1354" t="str">
            <v>Фасад Сентьеро ФСт Дуб Крафт Золотой/Фотопечать 2шт. 396х1992(h)х16</v>
          </cell>
          <cell r="D1354" t="str">
            <v>ШКАФЫ</v>
          </cell>
          <cell r="E1354" t="str">
            <v>СКГТ (ОЗОН)</v>
          </cell>
          <cell r="F1354" t="str">
            <v>Фасад Сентьеро ФСт</v>
          </cell>
          <cell r="G1354" t="str">
            <v>Дуб Крафт Золотой/Фотопечать</v>
          </cell>
          <cell r="H1354">
            <v>0</v>
          </cell>
          <cell r="I1354" t="str">
            <v>Основной ассортимент</v>
          </cell>
        </row>
        <row r="1355">
          <cell r="A1355" t="str">
            <v>3608.06/01</v>
          </cell>
          <cell r="B1355" t="str">
            <v>Стол обеденный Nicole раскладной ЛДСП Дуб Крафт белый</v>
          </cell>
          <cell r="D1355" t="str">
            <v>СТОЛЫ ОБЕДЕННЫЕ</v>
          </cell>
          <cell r="E1355" t="str">
            <v>FBO</v>
          </cell>
          <cell r="F1355" t="str">
            <v>Стол обеденный Nicole раскладной</v>
          </cell>
          <cell r="G1355" t="str">
            <v>Дуб Крафт белый</v>
          </cell>
          <cell r="H1355" t="str">
            <v>4620263153778</v>
          </cell>
          <cell r="I1355" t="str">
            <v>Основной ассортимент</v>
          </cell>
        </row>
        <row r="1356">
          <cell r="A1356" t="str">
            <v>3608.17/01</v>
          </cell>
          <cell r="B1356" t="str">
            <v>Стол обеденный Nicole раскладной ЛДСП Белая гладкая</v>
          </cell>
          <cell r="D1356" t="str">
            <v>СТОЛЫ ОБЕДЕННЫЕ</v>
          </cell>
          <cell r="E1356" t="str">
            <v>FBO</v>
          </cell>
          <cell r="F1356" t="str">
            <v>Стол обеденный Nicole раскладной</v>
          </cell>
          <cell r="G1356" t="str">
            <v>Белая гладкая</v>
          </cell>
          <cell r="H1356" t="str">
            <v>4620263153730</v>
          </cell>
          <cell r="I1356" t="str">
            <v>Основной ассортимент</v>
          </cell>
        </row>
        <row r="1357">
          <cell r="A1357">
            <v>3608</v>
          </cell>
          <cell r="B1357" t="str">
            <v>Стол обеденный Nicole раскладной ЛДСП Дуб Вотан/Белое тиснение</v>
          </cell>
          <cell r="D1357" t="str">
            <v>СТОЛЫ ОБЕДЕННЫЕ</v>
          </cell>
          <cell r="E1357" t="str">
            <v>FBO</v>
          </cell>
          <cell r="F1357" t="str">
            <v>Стол обеденный Nicole раскладной</v>
          </cell>
          <cell r="G1357" t="str">
            <v>Дуб Вотан/Белое тиснение</v>
          </cell>
          <cell r="H1357" t="str">
            <v>4660041008937</v>
          </cell>
          <cell r="I1357" t="str">
            <v>Основной ассортимент</v>
          </cell>
        </row>
        <row r="1358">
          <cell r="A1358" t="str">
            <v>6604.17/01</v>
          </cell>
          <cell r="B1358" t="str">
            <v>Фасад Сорренто ФС Белая гладкая (2 шт)</v>
          </cell>
          <cell r="D1358" t="str">
            <v>ШКАФЫ</v>
          </cell>
          <cell r="E1358" t="str">
            <v>СКГТ (ОЗОН)</v>
          </cell>
          <cell r="F1358" t="str">
            <v>Фасад Сорренто ФС (2шт)</v>
          </cell>
          <cell r="G1358" t="str">
            <v>Белая гладкая</v>
          </cell>
          <cell r="H1358">
            <v>0</v>
          </cell>
          <cell r="I1358" t="str">
            <v>Основной ассортимент</v>
          </cell>
        </row>
        <row r="1359">
          <cell r="A1359" t="str">
            <v>3947.17/01</v>
          </cell>
          <cell r="B1359" t="str">
            <v>Комод стол Брюгге Белая гладкая 1208*788*448/1154</v>
          </cell>
          <cell r="D1359" t="str">
            <v>КОМОДЫ</v>
          </cell>
          <cell r="E1359" t="str">
            <v>СКГТ (ОЗОН)</v>
          </cell>
          <cell r="F1359" t="str">
            <v>Комод стол Брюгге</v>
          </cell>
          <cell r="G1359" t="str">
            <v>Белая гладкая</v>
          </cell>
          <cell r="H1359" t="str">
            <v>4620263152887</v>
          </cell>
          <cell r="I1359" t="str">
            <v>Основной ассортимент</v>
          </cell>
        </row>
        <row r="1360">
          <cell r="A1360" t="str">
            <v>MK1120201</v>
          </cell>
          <cell r="B1360" t="str">
            <v>Стол письменный Frame New с ящ., с полкой ЛДСП Белое тиснение. черн.металл 800х760(h)х510</v>
          </cell>
          <cell r="D1360" t="str">
            <v>СТОЛЫ</v>
          </cell>
          <cell r="E1360" t="str">
            <v>FBS</v>
          </cell>
          <cell r="F1360" t="str">
            <v>Стол письменный Frame New с ящ., с полкой  800х760(h)х510</v>
          </cell>
          <cell r="G1360" t="str">
            <v xml:space="preserve">ЛДСП Белое тиснение, Черн. металл. </v>
          </cell>
          <cell r="H1360" t="str">
            <v>2521897953598</v>
          </cell>
          <cell r="I1360" t="str">
            <v>Основной ассортимент</v>
          </cell>
        </row>
        <row r="1361">
          <cell r="A1361" t="str">
            <v>3968.25Ч/01</v>
          </cell>
          <cell r="B1361" t="str">
            <v>Стойка барная Сити Цемент темный молет 1100х1064(h)х440</v>
          </cell>
          <cell r="D1361" t="str">
            <v>СТОЛЫ ОБЕДЕННЫЕ</v>
          </cell>
          <cell r="E1361" t="str">
            <v>FBO</v>
          </cell>
          <cell r="F1361" t="str">
            <v>Стойка барная Сити</v>
          </cell>
          <cell r="G1361" t="str">
            <v>Цемент темный молет</v>
          </cell>
          <cell r="H1361" t="str">
            <v>4620263153402</v>
          </cell>
          <cell r="I1361" t="str">
            <v>Основной ассортимент</v>
          </cell>
        </row>
        <row r="1362">
          <cell r="A1362" t="str">
            <v>13003.17/01</v>
          </cell>
          <cell r="B1362" t="str">
            <v>Антресоль Монте 2х дверная Белая гладкая 800х350(h)х470</v>
          </cell>
          <cell r="D1362" t="str">
            <v>ШКАФЫ</v>
          </cell>
          <cell r="E1362" t="str">
            <v>FBO</v>
          </cell>
          <cell r="F1362" t="str">
            <v>Антресоль Монте 2х дверная</v>
          </cell>
          <cell r="G1362" t="str">
            <v>Белая гладкая</v>
          </cell>
          <cell r="H1362" t="str">
            <v>4620263154492</v>
          </cell>
          <cell r="I1362" t="str">
            <v>Основной ассортимент</v>
          </cell>
        </row>
        <row r="1363">
          <cell r="A1363" t="str">
            <v>13004.17/01</v>
          </cell>
          <cell r="B1363" t="str">
            <v>Антресоль Монте 3х дверная Белая гладкая 1200х350(h)х470</v>
          </cell>
          <cell r="D1363" t="str">
            <v>ШКАФЫ</v>
          </cell>
          <cell r="E1363" t="str">
            <v>СКГТ (ОЗОН)</v>
          </cell>
          <cell r="F1363" t="str">
            <v>Антресоль Монте 3х дверная</v>
          </cell>
          <cell r="G1363" t="str">
            <v>Белая гладкая</v>
          </cell>
          <cell r="H1363" t="str">
            <v>4620263154508</v>
          </cell>
          <cell r="I1363" t="str">
            <v>Основной ассортимент</v>
          </cell>
        </row>
        <row r="1364">
          <cell r="A1364" t="str">
            <v>MK1252501</v>
          </cell>
          <cell r="B1364" t="str">
            <v>Стеллаж Tokyo Plus ЛДСП Цемент темный молет, Черн. металл. 900х1758(h)х290</v>
          </cell>
          <cell r="D1364" t="str">
            <v>СТЕЛЛАЖИ</v>
          </cell>
          <cell r="E1364" t="str">
            <v>FBS</v>
          </cell>
          <cell r="F1364" t="str">
            <v>Стеллаж Tokyo Plus</v>
          </cell>
          <cell r="G1364" t="str">
            <v>ЛДСП Цемент темный молет, Черн. металл.</v>
          </cell>
          <cell r="H1364" t="str">
            <v>4640219957397</v>
          </cell>
          <cell r="I1364" t="str">
            <v>Основной ассортимент</v>
          </cell>
        </row>
        <row r="1365">
          <cell r="A1365" t="str">
            <v>10002.17/01К3</v>
          </cell>
          <cell r="B1365" t="str">
            <v>Каркас Универсальный К.3 шкафа 2х дверного Белая гладкая 800х2032(h)х454</v>
          </cell>
          <cell r="D1365" t="str">
            <v>ШКАФЫ</v>
          </cell>
          <cell r="E1365" t="str">
            <v>СКГТ (ОЗОН)</v>
          </cell>
          <cell r="F1365" t="str">
            <v>Каркас Универсальный К.3 шкафа 2х дверного</v>
          </cell>
          <cell r="G1365" t="str">
            <v>Белая гладкая</v>
          </cell>
          <cell r="H1365">
            <v>0</v>
          </cell>
          <cell r="I1365" t="str">
            <v>Основной ассортимент</v>
          </cell>
        </row>
        <row r="1366">
          <cell r="A1366" t="str">
            <v>10003.17/01К3</v>
          </cell>
          <cell r="B1366" t="str">
            <v>Каркас Универсальный К.3 шкафа 3х дверного Белая гладкая 1200х2032(h)х454</v>
          </cell>
          <cell r="D1366" t="str">
            <v>ШКАФЫ</v>
          </cell>
          <cell r="E1366" t="str">
            <v>СКГТ (ОЗОН)</v>
          </cell>
          <cell r="F1366" t="str">
            <v>Каркас Универсальный К.3 шкафа 3х дверного</v>
          </cell>
          <cell r="G1366" t="str">
            <v>Белая гладкая</v>
          </cell>
          <cell r="H1366">
            <v>0</v>
          </cell>
          <cell r="I1366" t="str">
            <v>Основной ассортимент</v>
          </cell>
        </row>
        <row r="1367">
          <cell r="A1367" t="str">
            <v>11001.17/01</v>
          </cell>
          <cell r="B1367" t="str">
            <v>Фасад Монте ФМ Белая гладкая 1шт. 396х2030(h)х16</v>
          </cell>
          <cell r="D1367" t="str">
            <v>ШКАФЫ</v>
          </cell>
          <cell r="E1367" t="str">
            <v>СКГТ (ОЗОН)</v>
          </cell>
          <cell r="F1367" t="str">
            <v>Фасад Монте</v>
          </cell>
          <cell r="G1367" t="str">
            <v>Белая гладкая</v>
          </cell>
          <cell r="H1367">
            <v>0</v>
          </cell>
          <cell r="I1367" t="str">
            <v>Основной ассортимент</v>
          </cell>
        </row>
        <row r="1368">
          <cell r="A1368">
            <v>9496</v>
          </cell>
          <cell r="B1368" t="str">
            <v>Столик консольный Валенсия Бетон СТМ011 900*750*420</v>
          </cell>
          <cell r="D1368" t="str">
            <v>СТОЛЫ</v>
          </cell>
          <cell r="E1368" t="str">
            <v>FBS</v>
          </cell>
          <cell r="F1368" t="str">
            <v>Столик консольный Валенсия</v>
          </cell>
          <cell r="G1368" t="str">
            <v>Бетон</v>
          </cell>
          <cell r="H1368" t="str">
            <v>2521897953176</v>
          </cell>
          <cell r="I1368" t="str">
            <v>Основной ассортимент</v>
          </cell>
        </row>
        <row r="1369">
          <cell r="A1369">
            <v>7775</v>
          </cell>
          <cell r="B1369" t="str">
            <v>Стол компьютерный рабочий Orion Графит 110х75х60</v>
          </cell>
          <cell r="D1369" t="str">
            <v>СТОЛЫ</v>
          </cell>
          <cell r="E1369" t="str">
            <v>FBS</v>
          </cell>
          <cell r="F1369" t="str">
            <v>Стол компьютерный рабочий Orion</v>
          </cell>
          <cell r="G1369" t="str">
            <v>Графит</v>
          </cell>
          <cell r="H1369" t="str">
            <v>2521897953600</v>
          </cell>
          <cell r="I1369" t="str">
            <v>Основной ассортимент</v>
          </cell>
        </row>
        <row r="1370">
          <cell r="A1370" t="str">
            <v>3968.04/01</v>
          </cell>
          <cell r="B1370" t="str">
            <v>Стойка барная Сити Крафт Серый 1100х1064(h)х440</v>
          </cell>
          <cell r="D1370" t="str">
            <v>СТОЛЫ ОБЕДЕННЫЕ</v>
          </cell>
          <cell r="E1370" t="str">
            <v>FBO</v>
          </cell>
          <cell r="F1370" t="str">
            <v>Стойка барная Сити</v>
          </cell>
          <cell r="G1370" t="str">
            <v>Дуб крафт серый</v>
          </cell>
          <cell r="H1370" t="str">
            <v>4620263153365</v>
          </cell>
          <cell r="I1370" t="str">
            <v>Основной ассортимент</v>
          </cell>
        </row>
        <row r="1371">
          <cell r="A1371" t="str">
            <v>11002.17/01</v>
          </cell>
          <cell r="B1371" t="str">
            <v>Фасад Монте ФМ Белая гладкая 2шт. 396х2030(h)х16</v>
          </cell>
          <cell r="D1371" t="str">
            <v>ШКАФЫ</v>
          </cell>
          <cell r="E1371" t="str">
            <v>СКГТ (ОЗОН)</v>
          </cell>
          <cell r="F1371" t="str">
            <v>Фасад Монте ФМ</v>
          </cell>
          <cell r="G1371" t="str">
            <v>Белая гладкая</v>
          </cell>
          <cell r="H1371">
            <v>0</v>
          </cell>
          <cell r="I1371" t="str">
            <v>Основной ассортимент</v>
          </cell>
        </row>
        <row r="1372">
          <cell r="A1372" t="str">
            <v>MK1070101</v>
          </cell>
          <cell r="B1372" t="str">
            <v>Стол рабочий Frame с ящиком ЛДСП Дуб Вотан, Черн. металл. 780х760(h)х450</v>
          </cell>
          <cell r="D1372" t="str">
            <v>СТОЛЫ</v>
          </cell>
          <cell r="E1372" t="str">
            <v>FBO</v>
          </cell>
          <cell r="F1372" t="str">
            <v>Стол рабочий Frame с ящиком</v>
          </cell>
          <cell r="G1372" t="str">
            <v>ЛДСП Дуб Вотан, Черн. металл.</v>
          </cell>
          <cell r="H1372" t="str">
            <v>4640219950206</v>
          </cell>
          <cell r="I1372" t="str">
            <v>Основной ассортимент</v>
          </cell>
        </row>
        <row r="1373">
          <cell r="A1373">
            <v>26205</v>
          </cell>
          <cell r="B1373" t="str">
            <v>Стол письменный компьютерный с полками Гамма Дуб Крафт золотой 179*53*75,5</v>
          </cell>
          <cell r="D1373" t="str">
            <v>СТОЛЫ</v>
          </cell>
          <cell r="E1373" t="str">
            <v>FBO</v>
          </cell>
          <cell r="F1373" t="str">
            <v>Стол письменный компьютерный с полками Гамма</v>
          </cell>
          <cell r="G1373" t="str">
            <v>Дуб Крафт золотой</v>
          </cell>
          <cell r="H1373" t="str">
            <v>2521897953603</v>
          </cell>
          <cell r="I1373" t="str">
            <v>Основной ассортимент</v>
          </cell>
        </row>
        <row r="1374">
          <cell r="A1374">
            <v>26206</v>
          </cell>
          <cell r="B1374" t="str">
            <v>Стол письменный компьютерный с полками Гамма Дуб Крафт белый 179*53*75,5</v>
          </cell>
          <cell r="D1374" t="str">
            <v>СТОЛЫ</v>
          </cell>
          <cell r="E1374" t="str">
            <v>FBO</v>
          </cell>
          <cell r="F1374" t="str">
            <v>Стол письменный компьютерный с полками Гамма</v>
          </cell>
          <cell r="G1374" t="str">
            <v>Дуб Крафт белый</v>
          </cell>
          <cell r="H1374" t="str">
            <v>2521897953604</v>
          </cell>
          <cell r="I1374" t="str">
            <v>Основной ассортимент</v>
          </cell>
        </row>
        <row r="1375">
          <cell r="A1375" t="str">
            <v>10001.17/01К3</v>
          </cell>
          <cell r="B1375" t="str">
            <v>Каркас Универсальный К.3 шкафа 1 дверного Белая гладкая 400х2032(h)х454</v>
          </cell>
          <cell r="D1375" t="str">
            <v>ШКАФЫ</v>
          </cell>
          <cell r="E1375" t="str">
            <v>СКГТ (ОЗОН)</v>
          </cell>
          <cell r="F1375" t="str">
            <v>Каркас Универсальный К.3 шкафа 1 дверного</v>
          </cell>
          <cell r="G1375" t="str">
            <v>Белая гладкая</v>
          </cell>
          <cell r="H1375">
            <v>0</v>
          </cell>
          <cell r="I1375" t="str">
            <v>Основной ассортимент</v>
          </cell>
        </row>
        <row r="1376">
          <cell r="A1376" t="str">
            <v>12001.Р.3</v>
          </cell>
          <cell r="B1376" t="str">
            <v>Ручка СА-6 L1000 (960) Черная металл. 1шт.</v>
          </cell>
          <cell r="D1376" t="str">
            <v>ФУРНИТУРА</v>
          </cell>
          <cell r="E1376" t="str">
            <v>СКГТ (ОЗОН)</v>
          </cell>
          <cell r="F1376" t="str">
            <v>Ручка СА-6 L1000 (960)</v>
          </cell>
          <cell r="G1376" t="str">
            <v>Черная металл.</v>
          </cell>
          <cell r="H1376">
            <v>0</v>
          </cell>
          <cell r="I1376" t="str">
            <v>Основной ассортимент</v>
          </cell>
        </row>
        <row r="1377">
          <cell r="A1377" t="str">
            <v>13002.17/01</v>
          </cell>
          <cell r="B1377" t="str">
            <v>Тумба Монте 2 ящика Белая гладкая 400х457(h)х392</v>
          </cell>
          <cell r="D1377" t="str">
            <v>ТУМБЫ ПРИКРОВАТНЫЕ</v>
          </cell>
          <cell r="E1377" t="str">
            <v>FBO</v>
          </cell>
          <cell r="F1377" t="str">
            <v>Тумба Монте 2 ящика</v>
          </cell>
          <cell r="G1377" t="str">
            <v>Белая гладкая</v>
          </cell>
          <cell r="H1377" t="str">
            <v>4620263153808</v>
          </cell>
          <cell r="I1377" t="str">
            <v>Основной ассортимент</v>
          </cell>
        </row>
        <row r="1378">
          <cell r="A1378" t="str">
            <v>MK1032001</v>
          </cell>
          <cell r="B1378" t="str">
            <v>Тумба Frame с ящиком, с полкой ЛДСП Цемент светл. вельвет, Черн. металл. 406х470(h)х304</v>
          </cell>
          <cell r="D1378" t="str">
            <v>ТУМБЫ ПРИКРОВАТНЫЕ</v>
          </cell>
          <cell r="E1378" t="str">
            <v>FBO</v>
          </cell>
          <cell r="F1378" t="str">
            <v>Тумба Frame с ящиком, с полкой</v>
          </cell>
          <cell r="G1378" t="str">
            <v>ЛДСП Цемент светл. вельвет, Черн. металл.</v>
          </cell>
          <cell r="H1378" t="str">
            <v>4640219951227</v>
          </cell>
          <cell r="I1378" t="str">
            <v>Основной ассортимент</v>
          </cell>
        </row>
        <row r="1379">
          <cell r="A1379" t="str">
            <v>MK1830101</v>
          </cell>
          <cell r="B1379" t="str">
            <v>Шкаф комод Frame 4х дверный ЛДСП Дуб Вотан, Черн. металл. 700х910(h)х300</v>
          </cell>
          <cell r="D1379" t="str">
            <v>КОМОДЫ</v>
          </cell>
          <cell r="E1379" t="str">
            <v>FBO</v>
          </cell>
          <cell r="F1379" t="str">
            <v xml:space="preserve"> Шкаф комод Frame 4х дверный</v>
          </cell>
          <cell r="G1379" t="str">
            <v>ЛДСП Дуб Вотан, Черн. металл.</v>
          </cell>
          <cell r="H1379" t="str">
            <v>4660041007831</v>
          </cell>
          <cell r="I1379" t="str">
            <v>Основной ассортимент</v>
          </cell>
        </row>
        <row r="1380">
          <cell r="A1380" t="str">
            <v>MK1852001</v>
          </cell>
          <cell r="B1380" t="str">
            <v>Шкаф комод Frame 2х дверный с ящиками ЛДСП Цемент светл. вельвет, Черн. металл. 700х910(h)х300</v>
          </cell>
          <cell r="D1380" t="str">
            <v>КОМОДЫ</v>
          </cell>
          <cell r="E1380" t="str">
            <v>FBO</v>
          </cell>
          <cell r="F1380" t="str">
            <v>Шкаф комод Frame 2х дверный с ящиками</v>
          </cell>
          <cell r="G1380" t="str">
            <v>ЛДСП Цемент светл. вельвет, Черн. металл.</v>
          </cell>
          <cell r="H1380" t="str">
            <v>4640219951272</v>
          </cell>
          <cell r="I1380" t="str">
            <v>Основной ассортимент</v>
          </cell>
        </row>
        <row r="1381">
          <cell r="A1381" t="str">
            <v>13001.17/01</v>
          </cell>
          <cell r="B1381" t="str">
            <v>Комод Монте 4 ящика Белая гладкая 800х853(h)х480</v>
          </cell>
          <cell r="D1381" t="str">
            <v>КОМОДЫ</v>
          </cell>
          <cell r="E1381" t="str">
            <v>СКГТ (ОЗОН)</v>
          </cell>
          <cell r="F1381" t="str">
            <v>Комод Монте 4 ящика</v>
          </cell>
          <cell r="G1381" t="str">
            <v>Белая гладкая</v>
          </cell>
          <cell r="H1381" t="str">
            <v>4620263153792</v>
          </cell>
          <cell r="I1381" t="str">
            <v>Основной ассортимент</v>
          </cell>
        </row>
        <row r="1382">
          <cell r="A1382" t="str">
            <v>5851.17/01.М</v>
          </cell>
          <cell r="B1382" t="str">
            <v>Шкаф Монте 1 дверный Белая гладкая 400х2032(h)х454</v>
          </cell>
          <cell r="D1382" t="str">
            <v>ШКАФЫ</v>
          </cell>
          <cell r="E1382" t="str">
            <v>СКГТ (ОЗОН)</v>
          </cell>
          <cell r="F1382" t="str">
            <v>Шкаф Монте 1 дверный</v>
          </cell>
          <cell r="G1382" t="str">
            <v>Белая гладкая</v>
          </cell>
          <cell r="H1382" t="str">
            <v>4620263154720</v>
          </cell>
          <cell r="I1382" t="str">
            <v>Основной ассортимент</v>
          </cell>
        </row>
        <row r="1383">
          <cell r="A1383" t="str">
            <v>5853.17/01.М</v>
          </cell>
          <cell r="B1383" t="str">
            <v>Шкаф Монте 3х дверный Белая гладкая 1200х2032(h)х454</v>
          </cell>
          <cell r="D1383" t="str">
            <v>ШКАФЫ</v>
          </cell>
          <cell r="E1383" t="str">
            <v>СКГТ (ОЗОН)</v>
          </cell>
          <cell r="F1383" t="str">
            <v>Шкаф Монте 3х дверный</v>
          </cell>
          <cell r="G1383" t="str">
            <v>Белая гладкая</v>
          </cell>
          <cell r="H1383" t="str">
            <v>4620263154782</v>
          </cell>
          <cell r="I1383" t="str">
            <v>Основной ассортимент</v>
          </cell>
        </row>
        <row r="1384">
          <cell r="A1384" t="str">
            <v>05852.17/01.М</v>
          </cell>
          <cell r="B1384" t="str">
            <v>Шкаф Монте 2х дверный Белая гладкая 800х2032(h)х454</v>
          </cell>
          <cell r="D1384" t="str">
            <v>ШКАФЫ</v>
          </cell>
          <cell r="E1384" t="str">
            <v>СКГТ (ОЗОН)</v>
          </cell>
          <cell r="F1384" t="str">
            <v>Шкаф Монте 2х дверный</v>
          </cell>
          <cell r="G1384" t="str">
            <v>Белая гладкая</v>
          </cell>
          <cell r="H1384" t="str">
            <v>4620263154768</v>
          </cell>
          <cell r="I1384" t="str">
            <v>Основной ассортимент</v>
          </cell>
        </row>
        <row r="1385">
          <cell r="A1385">
            <v>3685</v>
          </cell>
          <cell r="B1385" t="str">
            <v>Комод, тумба под ТВ Бостон Белое тиснение 750х740(h)х334</v>
          </cell>
          <cell r="D1385" t="str">
            <v>ТУМБЫ под ТВ</v>
          </cell>
          <cell r="E1385" t="str">
            <v>FBO</v>
          </cell>
          <cell r="F1385" t="str">
            <v xml:space="preserve"> тумба под ТВ Бостон</v>
          </cell>
          <cell r="G1385" t="str">
            <v>Белое тиснение</v>
          </cell>
          <cell r="H1385">
            <v>0</v>
          </cell>
          <cell r="I1385" t="str">
            <v>Основной ассортимент</v>
          </cell>
        </row>
        <row r="1386">
          <cell r="A1386" t="str">
            <v>3871.17/01</v>
          </cell>
          <cell r="B1386" t="str">
            <v>Обувница Сити с вырезами 4 секции подвесная Белая гладкая 962х802(h)х170</v>
          </cell>
          <cell r="D1386" t="str">
            <v>ОБУВНИЦЫ</v>
          </cell>
          <cell r="E1386" t="str">
            <v>FBO</v>
          </cell>
          <cell r="F1386" t="str">
            <v>Обувница Сити с вырезами 4 секции подвесная</v>
          </cell>
          <cell r="G1386" t="str">
            <v>Белая гладкая</v>
          </cell>
          <cell r="H1386" t="str">
            <v>4640219955836</v>
          </cell>
          <cell r="I1386" t="str">
            <v>Основной ассортимент</v>
          </cell>
        </row>
        <row r="1387">
          <cell r="A1387" t="str">
            <v>3925.20/01</v>
          </cell>
          <cell r="B1387" t="str">
            <v>Шкаф пенал Компакт 2х дверный с полками Цемент светлый  278*1835*260</v>
          </cell>
          <cell r="D1387" t="str">
            <v>ШКАФЫ</v>
          </cell>
          <cell r="E1387" t="str">
            <v>FBO</v>
          </cell>
          <cell r="F1387" t="str">
            <v>Шкаф пенал Компакт 2х дверный с полками</v>
          </cell>
          <cell r="G1387" t="str">
            <v>Цемент светлый вельвет</v>
          </cell>
          <cell r="H1387" t="str">
            <v>2521897953580</v>
          </cell>
          <cell r="I1387" t="str">
            <v>Основной ассортимент</v>
          </cell>
        </row>
        <row r="1388">
          <cell r="A1388" t="str">
            <v>MK1400201</v>
          </cell>
          <cell r="B1388" t="str">
            <v>Стеллаж этажерка Tokyo с дверк. ЛДСП Белое тиснение, Черн. металл. 710х1750(h)х386</v>
          </cell>
          <cell r="D1388" t="str">
            <v>СТЕЛЛАЖИ</v>
          </cell>
          <cell r="E1388" t="str">
            <v>FBS</v>
          </cell>
          <cell r="F1388" t="str">
            <v>Стеллаж этажерка Tokyo с дверк.</v>
          </cell>
          <cell r="G1388" t="str">
            <v>ЛДСП Белое тиснение, Черн. металл.</v>
          </cell>
          <cell r="H1388" t="str">
            <v>4660041006704</v>
          </cell>
          <cell r="I1388" t="str">
            <v>Основной ассортимент</v>
          </cell>
        </row>
        <row r="1389">
          <cell r="A1389" t="str">
            <v>MK1852501</v>
          </cell>
          <cell r="B1389" t="str">
            <v>Шкаф комод Frame 2х дверный с ящиками ЛДСП Цемент темный молет, Черн. металл. 700х910(h)х300</v>
          </cell>
          <cell r="D1389" t="str">
            <v>КОМОДЫ</v>
          </cell>
          <cell r="E1389" t="str">
            <v>FBO</v>
          </cell>
          <cell r="F1389" t="str">
            <v>Шкаф комод Frame 2х дверный с ящиками</v>
          </cell>
          <cell r="G1389" t="str">
            <v xml:space="preserve">ЛДСП Цемент темный молет, Черн. металл. </v>
          </cell>
          <cell r="H1389">
            <v>0</v>
          </cell>
          <cell r="I1389" t="str">
            <v>Основной ассортимент</v>
          </cell>
        </row>
        <row r="1390">
          <cell r="A1390" t="str">
            <v>3536.06/01</v>
          </cell>
          <cell r="B1390" t="str">
            <v>Прихожая Астерия Дуб Крафт Белый 1200х2045(h)х356</v>
          </cell>
          <cell r="D1390" t="str">
            <v>ПРИХОЖАЯ</v>
          </cell>
          <cell r="E1390" t="str">
            <v>СКГТ (ОЗОН)</v>
          </cell>
          <cell r="F1390" t="str">
            <v>Прихожая Астерия</v>
          </cell>
          <cell r="G1390" t="str">
            <v>Дуб Крафт Белый</v>
          </cell>
          <cell r="H1390" t="str">
            <v>2521897953605</v>
          </cell>
          <cell r="I1390" t="str">
            <v>Основной ассортимент</v>
          </cell>
        </row>
        <row r="1391">
          <cell r="A1391" t="str">
            <v>3537.06/02</v>
          </cell>
          <cell r="B1391" t="str">
            <v>Прихожая Астерия Дуб Крафт Белый</v>
          </cell>
          <cell r="D1391" t="str">
            <v>ПРИХОЖАЯ</v>
          </cell>
          <cell r="E1391" t="str">
            <v>СКГТ (ОЗОН)</v>
          </cell>
          <cell r="F1391" t="str">
            <v>Прихожая Астерия</v>
          </cell>
          <cell r="G1391" t="str">
            <v>Дуб Крафт Белый</v>
          </cell>
          <cell r="H1391">
            <v>0</v>
          </cell>
          <cell r="I1391" t="str">
            <v>Основной ассортимент</v>
          </cell>
        </row>
        <row r="1392">
          <cell r="A1392" t="str">
            <v>5552.17/01С</v>
          </cell>
          <cell r="B1392" t="str">
            <v>Шкаф Сорренто 2х дверный Белая гладкая 800х2057(h)х480</v>
          </cell>
          <cell r="D1392" t="str">
            <v>ШКАФЫ</v>
          </cell>
          <cell r="E1392" t="str">
            <v>СКГТ (ОЗОН)</v>
          </cell>
          <cell r="F1392" t="str">
            <v>Шкаф Сорренто 2х дверный</v>
          </cell>
          <cell r="G1392" t="str">
            <v>Белая гладкая</v>
          </cell>
          <cell r="H1392" t="str">
            <v>2521897953589</v>
          </cell>
          <cell r="I1392" t="str">
            <v>Основной ассортимент</v>
          </cell>
        </row>
        <row r="1393">
          <cell r="A1393" t="str">
            <v>5952.09.05Ф/01</v>
          </cell>
          <cell r="B1393" t="str">
            <v>Шкаф Сентьеро 2х дверный Серый Графит/Дуб Крафт Золотой/Фотопечать 800х2057(h)х480</v>
          </cell>
          <cell r="D1393" t="str">
            <v>ШКАФЫ</v>
          </cell>
          <cell r="E1393" t="str">
            <v>СКГТ (ОЗОН)</v>
          </cell>
          <cell r="F1393" t="str">
            <v>Шкаф Сентьеро 2х дверный</v>
          </cell>
          <cell r="G1393" t="str">
            <v>Графит/Дуб Крафт Золотой/Фотопечать</v>
          </cell>
          <cell r="H1393" t="str">
            <v>4620263154157</v>
          </cell>
          <cell r="I1393" t="str">
            <v>Основной ассортимент</v>
          </cell>
        </row>
        <row r="1394">
          <cell r="A1394">
            <v>3577</v>
          </cell>
          <cell r="B1394" t="str">
            <v>Стеллаж Quattro 8 секций Дуб крафт белый</v>
          </cell>
          <cell r="D1394" t="str">
            <v>СТЕЛЛАЖИ</v>
          </cell>
          <cell r="E1394" t="str">
            <v>FBO</v>
          </cell>
          <cell r="F1394" t="str">
            <v>Стеллаж Quattro 8 секций</v>
          </cell>
          <cell r="G1394" t="str">
            <v>Дуб крафт белый</v>
          </cell>
          <cell r="H1394">
            <v>0</v>
          </cell>
          <cell r="I1394" t="str">
            <v>Основной ассортимент</v>
          </cell>
        </row>
        <row r="1395">
          <cell r="A1395" t="str">
            <v>MK2170101</v>
          </cell>
          <cell r="B1395" t="str">
            <v>Вешалка угловая Frame ЛДСП Дуб Вотан, Черн. металл.490*1808*490</v>
          </cell>
          <cell r="D1395" t="str">
            <v>ВЕШАЛКИ</v>
          </cell>
          <cell r="E1395" t="str">
            <v>FBO</v>
          </cell>
          <cell r="F1395" t="str">
            <v>Вешалка угловая Frame</v>
          </cell>
          <cell r="G1395" t="str">
            <v>ЛДСП Дуб Вотан, Черн. металл.</v>
          </cell>
          <cell r="H1395" t="str">
            <v>4660041008296</v>
          </cell>
          <cell r="I1395" t="str">
            <v>Основной ассортимент</v>
          </cell>
        </row>
        <row r="1396">
          <cell r="A1396" t="str">
            <v>MK2470101</v>
          </cell>
          <cell r="B1396" t="str">
            <v>Вешалка Frame Lite Дуб Вотан 780х1750х278</v>
          </cell>
          <cell r="D1396" t="str">
            <v>ВЕШАЛКИ</v>
          </cell>
          <cell r="E1396" t="str">
            <v>FBO</v>
          </cell>
          <cell r="F1396" t="str">
            <v>Вешалка Frame Lite</v>
          </cell>
          <cell r="G1396" t="str">
            <v>Дуб Вотан</v>
          </cell>
          <cell r="H1396" t="str">
            <v>4660041009354</v>
          </cell>
          <cell r="I1396" t="str">
            <v>Основной ассортимент</v>
          </cell>
        </row>
        <row r="1397">
          <cell r="A1397" t="str">
            <v>3925.05/01</v>
          </cell>
          <cell r="B1397" t="str">
            <v>Шкаф пенал Компакт 2х дверный с полками Дуб крафт золотой 278х1835(h)х260</v>
          </cell>
          <cell r="D1397" t="str">
            <v>ШКАФЫ</v>
          </cell>
          <cell r="E1397" t="str">
            <v>FBO</v>
          </cell>
          <cell r="F1397" t="str">
            <v>Шкаф пенал Компакт 2х дверный с полками</v>
          </cell>
          <cell r="G1397" t="str">
            <v>Дуб крафт золотой</v>
          </cell>
          <cell r="H1397" t="str">
            <v>2521897953574</v>
          </cell>
          <cell r="I1397" t="str">
            <v>Основной ассортимент</v>
          </cell>
        </row>
        <row r="1398">
          <cell r="A1398" t="str">
            <v>3925.06/01</v>
          </cell>
          <cell r="B1398" t="str">
            <v>Шкаф пенал Компакт 2х дверный с полками Дуб Крафт белый 278х1835(h)х260</v>
          </cell>
          <cell r="D1398" t="str">
            <v>ШКАФЫ</v>
          </cell>
          <cell r="E1398" t="str">
            <v>FBO</v>
          </cell>
          <cell r="F1398" t="str">
            <v>Шкаф пенал Компакт 2х дверный с полками</v>
          </cell>
          <cell r="G1398" t="str">
            <v>Дуб Крафт белый</v>
          </cell>
          <cell r="H1398" t="str">
            <v>2521897953573</v>
          </cell>
          <cell r="I1398" t="str">
            <v>Основной ассортимент</v>
          </cell>
        </row>
        <row r="1399">
          <cell r="A1399" t="str">
            <v>3925.09/01</v>
          </cell>
          <cell r="B1399" t="str">
            <v>Шкаф пенал Компакт 2х дверный с полками Серый Графит 278х1835(h)х260</v>
          </cell>
          <cell r="D1399" t="str">
            <v>ШКАФЫ</v>
          </cell>
          <cell r="E1399" t="str">
            <v>FBO</v>
          </cell>
          <cell r="F1399" t="str">
            <v>Шкаф пенал Компакт 2х дверный с полками</v>
          </cell>
          <cell r="G1399" t="str">
            <v>Графит</v>
          </cell>
          <cell r="H1399" t="str">
            <v>2521897953579</v>
          </cell>
          <cell r="I1399" t="str">
            <v>Основной ассортимент</v>
          </cell>
        </row>
        <row r="1400">
          <cell r="A1400" t="str">
            <v>MK1850101</v>
          </cell>
          <cell r="B1400" t="str">
            <v>Шкаф комод Frame 2х дверный с ящиками ЛДСП Дуб Вотан, Черн.металл</v>
          </cell>
          <cell r="D1400" t="str">
            <v>КОМОДЫ</v>
          </cell>
          <cell r="E1400" t="str">
            <v>FBO</v>
          </cell>
          <cell r="F1400" t="str">
            <v>Шкаф комод Frame 2х дверный с ящиками</v>
          </cell>
          <cell r="G1400" t="str">
            <v>ЛДСП Дуб Вотан, Черн. металл.</v>
          </cell>
          <cell r="H1400" t="str">
            <v>4660041007848</v>
          </cell>
          <cell r="I1400" t="str">
            <v>Основной ассортимент</v>
          </cell>
        </row>
        <row r="1401">
          <cell r="A1401" t="str">
            <v>3536.01/01к</v>
          </cell>
          <cell r="B1401" t="str">
            <v>Прихожая Астерия Дуб Вотан 1200х2045х356</v>
          </cell>
          <cell r="D1401" t="str">
            <v>ПРИХОЖАЯ</v>
          </cell>
          <cell r="E1401" t="str">
            <v>СКГТ (ОЗОН)</v>
          </cell>
          <cell r="F1401" t="str">
            <v>Прихожая Астерия</v>
          </cell>
          <cell r="G1401" t="str">
            <v>Дуб Вотан</v>
          </cell>
          <cell r="H1401" t="str">
            <v>4640219955461</v>
          </cell>
          <cell r="I1401" t="str">
            <v>Основной ассортимент</v>
          </cell>
        </row>
        <row r="1402">
          <cell r="A1402" t="str">
            <v>3536.05.09/01к</v>
          </cell>
          <cell r="B1402" t="str">
            <v>Прихожая Астерия Дуб крафт золотой/Серый графит 1200х2045х356 (всегда + арт. 3537.05.09/02)</v>
          </cell>
          <cell r="D1402" t="str">
            <v>ПРИХОЖАЯ</v>
          </cell>
          <cell r="E1402" t="str">
            <v>СКГТ (ОЗОН)</v>
          </cell>
          <cell r="F1402" t="str">
            <v>Прихожая Астерия</v>
          </cell>
          <cell r="G1402" t="str">
            <v>Дуб крафт золотой/графит</v>
          </cell>
          <cell r="H1402" t="str">
            <v>4640219955508</v>
          </cell>
          <cell r="I1402" t="str">
            <v>Основной ассортимент</v>
          </cell>
        </row>
        <row r="1403">
          <cell r="A1403" t="str">
            <v>3536.09/01к</v>
          </cell>
          <cell r="B1403" t="str">
            <v>Прихожая Астерия Серый графит  (всегда + арт 3537.09/02)</v>
          </cell>
          <cell r="D1403" t="str">
            <v>ПРИХОЖАЯ</v>
          </cell>
          <cell r="E1403" t="str">
            <v>СКГТ (ОЗОН)</v>
          </cell>
          <cell r="F1403" t="str">
            <v>Прихожая Астерия</v>
          </cell>
          <cell r="G1403" t="str">
            <v>Графит</v>
          </cell>
          <cell r="H1403" t="str">
            <v>4640219955362</v>
          </cell>
          <cell r="I1403" t="str">
            <v>Основной ассортимент</v>
          </cell>
        </row>
        <row r="1404">
          <cell r="A1404" t="str">
            <v>3536.20/01к</v>
          </cell>
          <cell r="B1404" t="str">
            <v>Прихожая Астерия Цемент Светлый Вельвет 1200х2045х354</v>
          </cell>
          <cell r="D1404" t="str">
            <v>ПРИХОЖАЯ</v>
          </cell>
          <cell r="E1404" t="str">
            <v>СКГТ (ОЗОН)</v>
          </cell>
          <cell r="F1404" t="str">
            <v>Прихожая Астерия</v>
          </cell>
          <cell r="G1404" t="str">
            <v>Цемент светлый вельвет</v>
          </cell>
          <cell r="H1404" t="str">
            <v>4640219955447</v>
          </cell>
          <cell r="I1404" t="str">
            <v>Основной ассортимент</v>
          </cell>
        </row>
        <row r="1405">
          <cell r="A1405" t="str">
            <v>3713.06/01к</v>
          </cell>
          <cell r="B1405" t="str">
            <v>Шкаф Норд 2х дверный с ящиками Крафт белый 800*2057*474</v>
          </cell>
          <cell r="D1405" t="str">
            <v>ШКАФЫ</v>
          </cell>
          <cell r="E1405" t="str">
            <v>СКГТ (ОЗОН)</v>
          </cell>
          <cell r="F1405" t="str">
            <v>Шкаф Норд 2х дверный с ящиками</v>
          </cell>
          <cell r="G1405" t="str">
            <v>Дуб крафт белый</v>
          </cell>
          <cell r="H1405" t="str">
            <v>4640219957595</v>
          </cell>
          <cell r="I1405" t="str">
            <v>Основной ассортимент</v>
          </cell>
        </row>
        <row r="1406">
          <cell r="A1406" t="str">
            <v>3713.09/01к</v>
          </cell>
          <cell r="B1406" t="str">
            <v>Шкаф Норд 2х дверный с ящиками Серый графит 800*2057*474 (всегда+арт. 3714.06/02)</v>
          </cell>
          <cell r="D1406" t="str">
            <v>ШКАФЫ</v>
          </cell>
          <cell r="E1406" t="str">
            <v>СКГТ (ОЗОН)</v>
          </cell>
          <cell r="F1406" t="str">
            <v>Шкаф Норд 2х дверный с ящиками</v>
          </cell>
          <cell r="G1406" t="str">
            <v>Графит</v>
          </cell>
          <cell r="H1406" t="str">
            <v>46602041006065</v>
          </cell>
          <cell r="I1406" t="str">
            <v>Основной ассортимент</v>
          </cell>
        </row>
        <row r="1407">
          <cell r="A1407" t="str">
            <v>3713к</v>
          </cell>
          <cell r="B1407" t="str">
            <v>Шкаф Норд 2х дверный с ящиками Белое тиснение 800*2057*474</v>
          </cell>
          <cell r="D1407" t="str">
            <v>ШКАФЫ</v>
          </cell>
          <cell r="E1407" t="str">
            <v>СКГТ (ОЗОН)</v>
          </cell>
          <cell r="F1407" t="str">
            <v>Шкаф Норд 2х дверный с ящиками</v>
          </cell>
          <cell r="G1407" t="str">
            <v>Белое тиснение</v>
          </cell>
          <cell r="H1407" t="str">
            <v>4640219951395</v>
          </cell>
          <cell r="I1407" t="str">
            <v>Основной ассортимент</v>
          </cell>
        </row>
        <row r="1408">
          <cell r="A1408" t="str">
            <v>3715к</v>
          </cell>
          <cell r="B1408" t="str">
            <v>Шкаф Норд 2х дверный Белое тиснение 800*2057*474</v>
          </cell>
          <cell r="D1408" t="str">
            <v>ШКАФЫ</v>
          </cell>
          <cell r="E1408" t="str">
            <v>СКГТ (ОЗОН)</v>
          </cell>
          <cell r="F1408" t="str">
            <v>Шкаф Норд 2х дверный</v>
          </cell>
          <cell r="G1408" t="str">
            <v>Белое тиснение</v>
          </cell>
          <cell r="H1408" t="str">
            <v>4640219951425</v>
          </cell>
          <cell r="I1408" t="str">
            <v>Основной ассортимент</v>
          </cell>
        </row>
        <row r="1409">
          <cell r="A1409" t="str">
            <v>3717к</v>
          </cell>
          <cell r="B1409" t="str">
            <v>Шкаф Норд 4х дверный с ящиками Белое тиснение 1600*2057*474</v>
          </cell>
          <cell r="D1409" t="str">
            <v>ШКАФЫ</v>
          </cell>
          <cell r="E1409" t="str">
            <v>СКГТ (ОЗОН)</v>
          </cell>
          <cell r="F1409" t="str">
            <v>Шкаф Норд 4х дверный с ящиками</v>
          </cell>
          <cell r="G1409" t="str">
            <v>Белое тиснение</v>
          </cell>
          <cell r="H1409" t="str">
            <v>4640219951449</v>
          </cell>
          <cell r="I1409" t="str">
            <v>Основной ассортимент</v>
          </cell>
        </row>
        <row r="1410">
          <cell r="A1410" t="str">
            <v>3807.05/01к</v>
          </cell>
          <cell r="B1410" t="str">
            <v>Шкаф 3 дверн. City Plus Дуб Крафт золотой (всегда + арт 3808.05/02)</v>
          </cell>
          <cell r="D1410" t="str">
            <v>ШКАФЫ</v>
          </cell>
          <cell r="E1410" t="str">
            <v>СКГТ (ОЗОН)</v>
          </cell>
          <cell r="F1410" t="str">
            <v>Шкаф 3 дверн. City Plus</v>
          </cell>
          <cell r="G1410" t="str">
            <v xml:space="preserve">Дуб Крафт золотой </v>
          </cell>
          <cell r="H1410" t="str">
            <v>4640219958974</v>
          </cell>
          <cell r="I1410" t="str">
            <v>Основной ассортимент</v>
          </cell>
        </row>
        <row r="1411">
          <cell r="A1411" t="str">
            <v>3807.06/01к</v>
          </cell>
          <cell r="B1411" t="str">
            <v>Шкаф 3 дверн. City Plus Дуб Крафт белый (всегда + арт 3808.06/02)</v>
          </cell>
          <cell r="D1411" t="str">
            <v>ШКАФЫ</v>
          </cell>
          <cell r="E1411" t="str">
            <v>СКГТ (ОЗОН)</v>
          </cell>
          <cell r="F1411" t="str">
            <v>Шкаф 3 дверн. City Plus</v>
          </cell>
          <cell r="G1411" t="str">
            <v>Дуб Крафт белый</v>
          </cell>
          <cell r="H1411" t="str">
            <v>4640219959018</v>
          </cell>
          <cell r="I1411" t="str">
            <v>Основной ассортимент</v>
          </cell>
        </row>
        <row r="1412">
          <cell r="A1412" t="str">
            <v>3807.09/01к</v>
          </cell>
          <cell r="B1412" t="str">
            <v>Шкаф 3х дверн. комбинир. City Plus Серый Графит (всегда + арт 3808.09/02</v>
          </cell>
          <cell r="D1412" t="str">
            <v>ШКАФЫ</v>
          </cell>
          <cell r="E1412" t="str">
            <v>СКГТ (ОЗОН)</v>
          </cell>
          <cell r="F1412" t="str">
            <v>Шкаф 3 дверн. City Plus</v>
          </cell>
          <cell r="G1412" t="str">
            <v>Графит</v>
          </cell>
          <cell r="H1412" t="str">
            <v>4640219958950</v>
          </cell>
          <cell r="I1412" t="str">
            <v>Основной ассортимент</v>
          </cell>
        </row>
        <row r="1413">
          <cell r="A1413" t="str">
            <v>3807.17/01к</v>
          </cell>
          <cell r="B1413" t="str">
            <v>Шкаф 3 дверн. комбинир. City Plus Белая гладкая (всегда + арт 3808.17/02)</v>
          </cell>
          <cell r="D1413" t="str">
            <v>ШКАФЫ</v>
          </cell>
          <cell r="E1413" t="str">
            <v>СКГТ (ОЗОН)</v>
          </cell>
          <cell r="F1413" t="str">
            <v>Шкаф 3 дверн. City Plus</v>
          </cell>
          <cell r="G1413" t="str">
            <v>Белая гладкая</v>
          </cell>
          <cell r="H1413" t="str">
            <v>4640219958912</v>
          </cell>
          <cell r="I1413" t="str">
            <v>Основной ассортимент</v>
          </cell>
        </row>
        <row r="1414">
          <cell r="A1414" t="str">
            <v>3835к</v>
          </cell>
          <cell r="B1414" t="str">
            <v>Прихожая Астерия Белое гладкое 1200х2045х354 (всегда + арт. 3836)</v>
          </cell>
          <cell r="D1414" t="str">
            <v>ПРИХОЖАЯ</v>
          </cell>
          <cell r="E1414" t="str">
            <v>СКГТ (ОЗОН)</v>
          </cell>
          <cell r="F1414" t="str">
            <v>Прихожая Астерия</v>
          </cell>
          <cell r="G1414" t="str">
            <v>Белая гладкая</v>
          </cell>
          <cell r="H1414" t="str">
            <v>4640219950435</v>
          </cell>
          <cell r="I1414" t="str">
            <v>Основной ассортимент</v>
          </cell>
        </row>
        <row r="1415">
          <cell r="A1415" t="str">
            <v>3942.01.09/01к</v>
          </cell>
          <cell r="B1415" t="str">
            <v>Шкаф Мальта 2х дверный с ящиками Дуб Вотан/Серый графит 924х2020(h)х504</v>
          </cell>
          <cell r="D1415" t="str">
            <v>ШКАФЫ</v>
          </cell>
          <cell r="E1415" t="str">
            <v>СКГТ (ОЗОН)</v>
          </cell>
          <cell r="F1415" t="str">
            <v>Шкаф Мальта 2х дверный с ящиками</v>
          </cell>
          <cell r="G1415" t="str">
            <v>Дуб Вотан/графит</v>
          </cell>
          <cell r="H1415" t="str">
            <v>4620263150432</v>
          </cell>
          <cell r="I1415" t="str">
            <v>Основной ассортимент</v>
          </cell>
        </row>
        <row r="1416">
          <cell r="A1416" t="str">
            <v>3871.01.09/01</v>
          </cell>
          <cell r="B1416" t="str">
            <v>Обувница Сити с вырезами 4 секции подвесная Дуб Вотан/Серый Графит 962х802(h)х170</v>
          </cell>
          <cell r="D1416" t="str">
            <v>ОБУВНИЦЫ</v>
          </cell>
          <cell r="E1416" t="str">
            <v>FBO</v>
          </cell>
          <cell r="F1416" t="str">
            <v>Обувница Сити с вырезами 4 секции подвесная</v>
          </cell>
          <cell r="G1416" t="str">
            <v>Дуб Вотан/графит</v>
          </cell>
          <cell r="H1416" t="str">
            <v>2521897953596</v>
          </cell>
          <cell r="I1416" t="str">
            <v>Основной ассортимент</v>
          </cell>
        </row>
        <row r="1417">
          <cell r="A1417" t="str">
            <v>3871.17.08/01</v>
          </cell>
          <cell r="B1417" t="str">
            <v>Обувница Сити с вырезами 4 секции подвесная Белая гладкая/Ателье светлое 962х802(h)х170</v>
          </cell>
          <cell r="D1417" t="str">
            <v>ОБУВНИЦЫ</v>
          </cell>
          <cell r="E1417" t="str">
            <v>FBO</v>
          </cell>
          <cell r="F1417" t="str">
            <v>Обувница Сити с вырезами 4 секции подвесная</v>
          </cell>
          <cell r="G1417" t="str">
            <v>Белая гладкая/Ателье светлое</v>
          </cell>
          <cell r="H1417" t="str">
            <v>4640219955904</v>
          </cell>
          <cell r="I1417" t="str">
            <v>Основной ассортимент</v>
          </cell>
        </row>
        <row r="1418">
          <cell r="A1418" t="str">
            <v>3871.05/01</v>
          </cell>
          <cell r="B1418" t="str">
            <v>Обувница Сити с вырезами 4 секции подвесная Дуб Крафт золотой 962х802(h)х170</v>
          </cell>
          <cell r="D1418" t="str">
            <v>ОБУВНИЦЫ</v>
          </cell>
          <cell r="E1418" t="str">
            <v>FBO</v>
          </cell>
          <cell r="F1418" t="str">
            <v>Обувница Сити с вырезами 4 секции подвесная</v>
          </cell>
          <cell r="G1418" t="str">
            <v>Дуб Крафт золотой</v>
          </cell>
          <cell r="H1418" t="str">
            <v>2521897953584</v>
          </cell>
          <cell r="I1418" t="str">
            <v>Основной ассортимент</v>
          </cell>
        </row>
        <row r="1419">
          <cell r="A1419" t="str">
            <v>3536.06/01к</v>
          </cell>
          <cell r="B1419" t="str">
            <v>Прихожая Астерия Дуб Крафт Белый 1200х2045(h)х356</v>
          </cell>
          <cell r="D1419" t="str">
            <v>ПРИХОЖАЯ</v>
          </cell>
          <cell r="E1419" t="str">
            <v>СКГТ (ОЗОН)</v>
          </cell>
          <cell r="F1419" t="str">
            <v>Прихожая Астерия</v>
          </cell>
          <cell r="G1419" t="str">
            <v>Дуб Крафт белый</v>
          </cell>
          <cell r="H1419" t="str">
            <v>2521897953605</v>
          </cell>
          <cell r="I1419" t="str">
            <v>Основной ассортимент</v>
          </cell>
        </row>
        <row r="1420">
          <cell r="A1420">
            <v>4080</v>
          </cell>
          <cell r="B1420" t="str">
            <v>Стеллаж Quatrro 4 секции Крафт белый 362х1396х280</v>
          </cell>
          <cell r="D1420" t="str">
            <v>СТЕЛЛАЖИ</v>
          </cell>
          <cell r="E1420" t="str">
            <v>FBO</v>
          </cell>
          <cell r="F1420" t="str">
            <v>Стеллаж Quatrro 4 секции</v>
          </cell>
          <cell r="G1420" t="str">
            <v>Дуб крафт белый</v>
          </cell>
          <cell r="H1420">
            <v>0</v>
          </cell>
          <cell r="I1420" t="str">
            <v>Основной ассортимент</v>
          </cell>
        </row>
        <row r="1421">
          <cell r="A1421">
            <v>3761</v>
          </cell>
          <cell r="B1421" t="str">
            <v>Обувница Ultra 2 секции с ящиком Белое тиснение 520*946*274</v>
          </cell>
          <cell r="D1421" t="str">
            <v>ОБУВНИЦЫ</v>
          </cell>
          <cell r="E1421" t="str">
            <v>FBO</v>
          </cell>
          <cell r="F1421" t="str">
            <v>Обувница Ultra 2 секции с ящиком</v>
          </cell>
          <cell r="G1421" t="str">
            <v>Белое тиснение</v>
          </cell>
          <cell r="H1421" t="str">
            <v>2521897953582</v>
          </cell>
          <cell r="I1421" t="str">
            <v>Основной ассортимент</v>
          </cell>
        </row>
        <row r="1422">
          <cell r="A1422" t="str">
            <v>MK1310201</v>
          </cell>
          <cell r="B1422" t="str">
            <v>Комод тумба Frame ЛДСП Белое тиснение, Черн. металл. 1140х604(h)х403</v>
          </cell>
          <cell r="D1422" t="str">
            <v>ТУМБЫ под ТВ</v>
          </cell>
          <cell r="E1422" t="str">
            <v>FBS</v>
          </cell>
          <cell r="F1422" t="str">
            <v xml:space="preserve">Комод тумба Frame </v>
          </cell>
          <cell r="G1422" t="str">
            <v>ЛДСП Белое тиснение, Черн. металл.</v>
          </cell>
          <cell r="H1422" t="str">
            <v>2521897952671</v>
          </cell>
          <cell r="I1422" t="str">
            <v>Основной ассортимент</v>
          </cell>
        </row>
        <row r="1423">
          <cell r="A1423" t="str">
            <v>ПШ.271.55</v>
          </cell>
          <cell r="B1423" t="str">
            <v>Органайзер для хранения, Малиновый, 25х25х25, Zett, 1 шт.</v>
          </cell>
          <cell r="D1423" t="str">
            <v>ОРГАНАЙЗЕР</v>
          </cell>
          <cell r="E1423" t="str">
            <v>FBO</v>
          </cell>
          <cell r="F1423" t="str">
            <v>Органайзер для хранения</v>
          </cell>
          <cell r="G1423" t="str">
            <v>Малиновый</v>
          </cell>
          <cell r="H1423" t="str">
            <v>4640219951975</v>
          </cell>
          <cell r="I1423" t="str">
            <v>Основной ассортимент</v>
          </cell>
        </row>
        <row r="1424">
          <cell r="A1424" t="str">
            <v>ПШ.280.62</v>
          </cell>
          <cell r="B1424" t="str">
            <v>Органайзер для хранения, Бордовый, 55х27х21, Hardy</v>
          </cell>
          <cell r="D1424" t="str">
            <v>ОРГАНАЙЗЕР</v>
          </cell>
          <cell r="E1424" t="str">
            <v>FBO</v>
          </cell>
          <cell r="F1424" t="str">
            <v>Органайзер для хранения</v>
          </cell>
          <cell r="G1424" t="str">
            <v>Бордовый</v>
          </cell>
          <cell r="H1424" t="str">
            <v>4640219952095</v>
          </cell>
          <cell r="I1424" t="str">
            <v>Основной ассортимент</v>
          </cell>
        </row>
        <row r="1425">
          <cell r="A1425" t="str">
            <v>ПШ.281.53</v>
          </cell>
          <cell r="B1425" t="str">
            <v>Органайзер для хранения, Бежевый, 28х28х28, Quattro</v>
          </cell>
          <cell r="D1425" t="str">
            <v>ОРГАНАЙЗЕР</v>
          </cell>
          <cell r="E1425" t="str">
            <v>FBO</v>
          </cell>
          <cell r="F1425" t="str">
            <v>Органайзер для хранения</v>
          </cell>
          <cell r="G1425" t="str">
            <v>Бежевый</v>
          </cell>
          <cell r="H1425" t="str">
            <v>4660041009699</v>
          </cell>
          <cell r="I1425" t="str">
            <v>Основной ассортимент</v>
          </cell>
        </row>
        <row r="1426">
          <cell r="A1426" t="str">
            <v>ПШ.354.51</v>
          </cell>
          <cell r="B1426" t="str">
            <v>Органайзер для хранения, Чёрный, 25х25х25, Zett, 2 шт.</v>
          </cell>
          <cell r="D1426" t="str">
            <v>ОРГАНАЙЗЕР</v>
          </cell>
          <cell r="E1426" t="str">
            <v>FBO</v>
          </cell>
          <cell r="F1426" t="str">
            <v>Органайзер для хранения</v>
          </cell>
          <cell r="G1426" t="str">
            <v>Черный</v>
          </cell>
          <cell r="H1426" t="str">
            <v>4620263150272</v>
          </cell>
          <cell r="I1426" t="str">
            <v>Основной ассортимент</v>
          </cell>
        </row>
        <row r="1427">
          <cell r="A1427">
            <v>3769</v>
          </cell>
          <cell r="B1427" t="str">
            <v>Шкаф комод для обуви Мальта 2х дверный Белое тиснение  500х780(h)х304</v>
          </cell>
          <cell r="D1427" t="str">
            <v>ОБУВНИЦЫ</v>
          </cell>
          <cell r="E1427" t="str">
            <v>FBO</v>
          </cell>
          <cell r="F1427" t="str">
            <v>Шкаф комод для обуви Мальта 2х дверный</v>
          </cell>
          <cell r="G1427" t="str">
            <v>Белое тиснение</v>
          </cell>
          <cell r="H1427" t="str">
            <v>4640219958271</v>
          </cell>
          <cell r="I1427" t="str">
            <v>Основной ассортимент</v>
          </cell>
        </row>
        <row r="1428">
          <cell r="A1428" t="str">
            <v>3769.06/01</v>
          </cell>
          <cell r="B1428" t="str">
            <v>Шкаф комод для обуви Мальта 2х дверный Дуб Крафт Белый 500х780(h)х304</v>
          </cell>
          <cell r="D1428" t="str">
            <v>ОБУВНИЦЫ</v>
          </cell>
          <cell r="E1428" t="str">
            <v>FBO</v>
          </cell>
          <cell r="F1428" t="str">
            <v>Шкаф комод для обуви Мальта 2х дверный</v>
          </cell>
          <cell r="G1428" t="str">
            <v>Дуб Крафт Белый</v>
          </cell>
          <cell r="H1428" t="str">
            <v>4640219958318</v>
          </cell>
          <cell r="I1428" t="str">
            <v>Основной ассортимент</v>
          </cell>
        </row>
        <row r="1429">
          <cell r="A1429" t="str">
            <v>3769.05/01</v>
          </cell>
          <cell r="B1429" t="str">
            <v>Шкаф комод для обуви Мальта 2х дверный Дуб Крафт золотой 500х780(h)х304</v>
          </cell>
          <cell r="D1429" t="str">
            <v>ОБУВНИЦЫ</v>
          </cell>
          <cell r="E1429" t="str">
            <v>FBO</v>
          </cell>
          <cell r="F1429" t="str">
            <v>Шкаф комод для обуви Мальта 2х дверный</v>
          </cell>
          <cell r="G1429" t="str">
            <v>Дуб Крафт золотой</v>
          </cell>
          <cell r="H1429">
            <v>0</v>
          </cell>
          <cell r="I1429" t="str">
            <v>Основной ассортимент</v>
          </cell>
        </row>
        <row r="1430">
          <cell r="A1430" t="str">
            <v>3926.17/01</v>
          </cell>
          <cell r="B1430" t="str">
            <v>Стол обеденный Компакт Белая гладкая 900х730(h)х530</v>
          </cell>
          <cell r="D1430" t="str">
            <v>СТОЛЫ ОБЕДЕННЫЕ</v>
          </cell>
          <cell r="E1430" t="str">
            <v>FBO</v>
          </cell>
          <cell r="F1430" t="str">
            <v>Стол обеденный Компакт</v>
          </cell>
          <cell r="G1430" t="str">
            <v>Белая гладкая</v>
          </cell>
          <cell r="H1430" t="str">
            <v>4620263155253</v>
          </cell>
          <cell r="I1430" t="str">
            <v>Основной ассортимент</v>
          </cell>
        </row>
        <row r="1431">
          <cell r="A1431" t="str">
            <v>3871.06/01</v>
          </cell>
          <cell r="B1431" t="str">
            <v>Обувница Сити с вырезами 4 секции подвесная Дуб крафт белый 962х802(h)х170</v>
          </cell>
          <cell r="D1431" t="str">
            <v>ОБУВНИЦЫ</v>
          </cell>
          <cell r="E1431" t="str">
            <v>FBO</v>
          </cell>
          <cell r="F1431" t="str">
            <v>Обувница Сити с вырезами 4 секции подвесная</v>
          </cell>
          <cell r="G1431" t="str">
            <v>Дуб крафт белый</v>
          </cell>
          <cell r="H1431" t="str">
            <v>4640219955867</v>
          </cell>
          <cell r="I1431" t="str">
            <v>Основной ассортимент</v>
          </cell>
        </row>
        <row r="1432">
          <cell r="A1432" t="str">
            <v>2696.09/01</v>
          </cell>
          <cell r="B1432" t="str">
            <v>Тумба под ТВ Лофт универсальная Серый графит 1000х332х264</v>
          </cell>
          <cell r="D1432" t="str">
            <v>ТУМБЫ под ТВ</v>
          </cell>
          <cell r="E1432" t="str">
            <v>FBS</v>
          </cell>
          <cell r="F1432" t="str">
            <v>Тумба под ТВ Лофт универсальная</v>
          </cell>
          <cell r="G1432" t="str">
            <v>Графит</v>
          </cell>
          <cell r="H1432">
            <v>0</v>
          </cell>
          <cell r="I1432" t="str">
            <v>Основной ассортимент</v>
          </cell>
        </row>
        <row r="1433">
          <cell r="A1433">
            <v>26011</v>
          </cell>
          <cell r="B1433" t="str">
            <v>Стеллаж Zett Ультра Графит 730х1757х250</v>
          </cell>
          <cell r="D1433" t="str">
            <v>СТЕЛЛАЖИ</v>
          </cell>
          <cell r="E1433" t="str">
            <v>FBO</v>
          </cell>
          <cell r="F1433" t="str">
            <v>Стеллаж Zett Ультра</v>
          </cell>
          <cell r="G1433" t="str">
            <v>Графит</v>
          </cell>
          <cell r="H1433" t="str">
            <v>2521897953216</v>
          </cell>
          <cell r="I1433" t="str">
            <v>Основной ассортимент</v>
          </cell>
        </row>
        <row r="1434">
          <cell r="A1434" t="str">
            <v>19005.17/01</v>
          </cell>
          <cell r="B1434" t="str">
            <v>Тумба под ТВ Шале Белая гладкая 1800х355(h)х254</v>
          </cell>
          <cell r="D1434" t="str">
            <v>ТУМБЫ под ТВ</v>
          </cell>
          <cell r="E1434" t="str">
            <v>FBO</v>
          </cell>
          <cell r="F1434" t="str">
            <v>Тумба под ТВ Шале</v>
          </cell>
          <cell r="G1434" t="str">
            <v>Белая гладкая</v>
          </cell>
          <cell r="H1434" t="str">
            <v>4620263155260</v>
          </cell>
          <cell r="I1434" t="str">
            <v>Основной ассортимент</v>
          </cell>
        </row>
        <row r="1435">
          <cell r="A1435" t="str">
            <v>3713.01.25/01к</v>
          </cell>
          <cell r="B1435" t="str">
            <v>Шкаф Норд 2х дверный с ящиками Дуб Вотан/Цемент темный молет 800*2057*474</v>
          </cell>
          <cell r="D1435" t="str">
            <v>ШКАФЫ</v>
          </cell>
          <cell r="E1435" t="str">
            <v>СКГТ (ОЗОН)</v>
          </cell>
          <cell r="F1435" t="str">
            <v>Шкаф Норд 2х дверный с ящиками</v>
          </cell>
          <cell r="G1435" t="str">
            <v>Дуб Вотан/Цемент темный молет</v>
          </cell>
          <cell r="H1435" t="str">
            <v>4640219957632</v>
          </cell>
          <cell r="I1435" t="str">
            <v>Основной ассортимент</v>
          </cell>
        </row>
        <row r="1436">
          <cell r="A1436" t="str">
            <v>19000.17/01</v>
          </cell>
          <cell r="B1436" t="str">
            <v>Парящая кровать Шале База сп/м 1600х2000 Белая гладкая</v>
          </cell>
          <cell r="D1436" t="str">
            <v>КРОВАТИ</v>
          </cell>
          <cell r="E1436">
            <v>0</v>
          </cell>
          <cell r="F1436" t="str">
            <v>Парящая кровать Шале (комплектующие)</v>
          </cell>
          <cell r="G1436" t="str">
            <v>Белая гладкая</v>
          </cell>
          <cell r="H1436">
            <v>0</v>
          </cell>
          <cell r="I1436" t="str">
            <v>Основной ассортимент</v>
          </cell>
        </row>
        <row r="1437">
          <cell r="A1437" t="str">
            <v>19001.17/02</v>
          </cell>
          <cell r="B1437" t="str">
            <v>Парящая кровать Шале сп/м 1600х2000 Белая гладкая</v>
          </cell>
          <cell r="D1437" t="str">
            <v>КРОВАТИ</v>
          </cell>
          <cell r="E1437">
            <v>0</v>
          </cell>
          <cell r="F1437" t="str">
            <v>Парящая кровать Шале (комплектующие)</v>
          </cell>
          <cell r="G1437" t="str">
            <v>Белая гладкая</v>
          </cell>
          <cell r="H1437">
            <v>0</v>
          </cell>
          <cell r="I1437" t="str">
            <v>Основной ассортимент</v>
          </cell>
        </row>
        <row r="1438">
          <cell r="A1438" t="str">
            <v>19002.00/03</v>
          </cell>
          <cell r="B1438" t="str">
            <v>Каркас, настил, опоры/Парящая кровать Шале сп/м 1600х2000 МДФ 12 мм Необлицованный</v>
          </cell>
          <cell r="D1438" t="str">
            <v>КРОВАТИ</v>
          </cell>
          <cell r="E1438">
            <v>0</v>
          </cell>
          <cell r="F1438" t="str">
            <v>Парящая кровать Шале (комплектующие)</v>
          </cell>
          <cell r="G1438" t="str">
            <v>Белая гладкая</v>
          </cell>
          <cell r="H1438">
            <v>0</v>
          </cell>
          <cell r="I1438" t="str">
            <v>Основной ассортимент</v>
          </cell>
        </row>
        <row r="1439">
          <cell r="A1439" t="str">
            <v>19004.17/01</v>
          </cell>
          <cell r="B1439" t="str">
            <v>Изголовье/Парящая кровать Шале Макс сп/м 1600х2000 Белая гладкая</v>
          </cell>
          <cell r="D1439" t="str">
            <v>КРОВАТИ</v>
          </cell>
          <cell r="E1439">
            <v>0</v>
          </cell>
          <cell r="F1439" t="str">
            <v>Парящая кровать Шале (комплектующие)</v>
          </cell>
          <cell r="G1439" t="str">
            <v>Белая гладкая</v>
          </cell>
          <cell r="H1439">
            <v>0</v>
          </cell>
          <cell r="I1439" t="str">
            <v>Основной ассортимент</v>
          </cell>
        </row>
        <row r="1440">
          <cell r="A1440" t="str">
            <v>3.19000.17</v>
          </cell>
          <cell r="B1440" t="str">
            <v>Парящая кровать Шале База сп/м 1600х2000 Белая гладкая/МДФ 12 мм Необлицованный 1642х366(h)х2040</v>
          </cell>
          <cell r="D1440" t="str">
            <v>КРОВАТИ</v>
          </cell>
          <cell r="E1440" t="str">
            <v>СКГТ (ОЗОН)</v>
          </cell>
          <cell r="F1440" t="str">
            <v>Парящая кровать Шале База</v>
          </cell>
          <cell r="G1440" t="str">
            <v>Белая гладкая</v>
          </cell>
          <cell r="H1440" t="str">
            <v>4620263155017</v>
          </cell>
          <cell r="I1440" t="str">
            <v>Основной ассортимент</v>
          </cell>
        </row>
        <row r="1441">
          <cell r="A1441" t="str">
            <v>3.19004.17</v>
          </cell>
          <cell r="B1441" t="str">
            <v>Парящая кровать Шале Макс сп/м 1600х2000 Белая гладкая/МДФ 12 мм Необлицованный 1742х754(h)х2040</v>
          </cell>
          <cell r="D1441" t="str">
            <v>КРОВАТИ</v>
          </cell>
          <cell r="E1441" t="str">
            <v>СКГТ (ОЗОН)</v>
          </cell>
          <cell r="F1441" t="str">
            <v>Парящая кровать Шале Макс</v>
          </cell>
          <cell r="G1441" t="str">
            <v>Белая гладкая</v>
          </cell>
          <cell r="H1441" t="str">
            <v>4620263155031</v>
          </cell>
          <cell r="I1441" t="str">
            <v>Основной ассортимент</v>
          </cell>
        </row>
        <row r="1442">
          <cell r="A1442" t="str">
            <v>3.19003.17</v>
          </cell>
          <cell r="B1442" t="str">
            <v>Парящая кровать Шале Стандарт сп/м 1600х2000 Белая гладкая/МДФ 12 мм Необлицованный 1642х754(h)х2040</v>
          </cell>
          <cell r="D1442" t="str">
            <v>КРОВАТИ</v>
          </cell>
          <cell r="E1442" t="str">
            <v>СКГТ (ОЗОН)</v>
          </cell>
          <cell r="F1442" t="str">
            <v>Парящая кровать Шале Стандарт</v>
          </cell>
          <cell r="G1442" t="str">
            <v>Белая гладкая</v>
          </cell>
          <cell r="H1442" t="str">
            <v>4620263155024</v>
          </cell>
          <cell r="I1442" t="str">
            <v>Основной ассортимент</v>
          </cell>
        </row>
        <row r="1443">
          <cell r="A1443" t="str">
            <v>MK1740101</v>
          </cell>
          <cell r="B1443" t="str">
            <v>Стеллаж Bronx  ЛДСП Дуб Вотан, Черн. металл.</v>
          </cell>
          <cell r="D1443" t="str">
            <v>СТЕЛЛАЖИ</v>
          </cell>
          <cell r="E1443" t="str">
            <v>FBO</v>
          </cell>
          <cell r="F1443" t="str">
            <v>Стеллаж Bronx</v>
          </cell>
          <cell r="G1443" t="str">
            <v>ЛДСП Дуб Вотан, Черн. металл.</v>
          </cell>
          <cell r="H1443">
            <v>0</v>
          </cell>
          <cell r="I1443" t="str">
            <v>Основной ассортимент</v>
          </cell>
        </row>
        <row r="1444">
          <cell r="A1444" t="str">
            <v>MK1910101</v>
          </cell>
          <cell r="B1444" t="str">
            <v>Стеллаж Fiji 4х дверный ЛДСП Дуб Вотан. Черн. металл. 750х1200х300</v>
          </cell>
          <cell r="D1444" t="str">
            <v>СТЕЛЛАЖИ</v>
          </cell>
          <cell r="E1444" t="str">
            <v>СКГТ (ОЗОН)</v>
          </cell>
          <cell r="F1444" t="str">
            <v>Стеллаж Fiji 4х дверный</v>
          </cell>
          <cell r="G1444" t="str">
            <v>ЛДСП Дуб Вотан, Черн. металл.</v>
          </cell>
          <cell r="H1444" t="str">
            <v>2521897952900</v>
          </cell>
          <cell r="I1444" t="str">
            <v>Основной ассортимент</v>
          </cell>
        </row>
        <row r="1445">
          <cell r="A1445" t="str">
            <v>MK1470201</v>
          </cell>
          <cell r="B1445" t="str">
            <v>Стеллаж Trust ЛДСП Белое тиснение, Черн. металл.  770х1750(h)х300</v>
          </cell>
          <cell r="D1445" t="str">
            <v>СТЕЛЛАЖИ</v>
          </cell>
          <cell r="E1445" t="str">
            <v>FBO</v>
          </cell>
          <cell r="F1445" t="str">
            <v xml:space="preserve">Стеллаж Trust </v>
          </cell>
          <cell r="G1445" t="str">
            <v xml:space="preserve">ЛДСП Белое тиснение, Черн. металл. </v>
          </cell>
          <cell r="H1445" t="str">
            <v>2521897952760</v>
          </cell>
          <cell r="I1445" t="str">
            <v>Основной ассортимент</v>
          </cell>
        </row>
        <row r="1446">
          <cell r="A1446" t="str">
            <v>MK2180101</v>
          </cell>
          <cell r="B1446" t="str">
            <v>Вешалка в прихожую Frame с зеркалом ЛДСП Дуб Вотан, Черн.металл. 820х1813(h)х350</v>
          </cell>
          <cell r="D1446" t="str">
            <v>ВЕШАЛКИ</v>
          </cell>
          <cell r="E1446" t="str">
            <v>СКГТ (ОЗОН)</v>
          </cell>
          <cell r="F1446" t="str">
            <v>Вешалка в прихожую Frame с зеркалом</v>
          </cell>
          <cell r="G1446" t="str">
            <v>ЛДСП Дуб Вотан, Черн. металл.</v>
          </cell>
          <cell r="H1446" t="str">
            <v>4660041009156</v>
          </cell>
          <cell r="I1446" t="str">
            <v>Основной ассортимент</v>
          </cell>
        </row>
        <row r="1447">
          <cell r="A1447" t="str">
            <v>MK2010101</v>
          </cell>
          <cell r="B1447" t="str">
            <v>Стол рабочий маникюрный Blues Loft / Дуб Вотан/ Металл. 980х900(h)х450</v>
          </cell>
          <cell r="D1447" t="str">
            <v>СТОЛЫ МАНИКЮРНЫЕ</v>
          </cell>
          <cell r="E1447" t="str">
            <v>FBO</v>
          </cell>
          <cell r="F1447" t="str">
            <v>Стол рабочий маникюрный Blues Loft</v>
          </cell>
          <cell r="G1447" t="str">
            <v>ЛДСП Дуб Вотан, Черн. металл.</v>
          </cell>
          <cell r="H1447" t="str">
            <v>4660041008609</v>
          </cell>
          <cell r="I1447" t="str">
            <v>Основной ассортимент</v>
          </cell>
        </row>
        <row r="1448">
          <cell r="A1448" t="str">
            <v>MK2012001</v>
          </cell>
          <cell r="B1448" t="str">
            <v>Стол рабочий маникюрный Blues Loft Цемент светл.вельвет,черн.металл 980х900(h)х450</v>
          </cell>
          <cell r="D1448" t="str">
            <v>СТОЛЫ МАНИКЮРНЫЕ</v>
          </cell>
          <cell r="E1448" t="str">
            <v>FBO</v>
          </cell>
          <cell r="F1448" t="str">
            <v>Стол рабочий маникюрный Blues Loft</v>
          </cell>
          <cell r="G1448" t="str">
            <v>Цемент светл.вельвет,черн.металл</v>
          </cell>
          <cell r="H1448" t="str">
            <v>4640219951296</v>
          </cell>
          <cell r="I1448" t="str">
            <v>Основной ассортимент</v>
          </cell>
        </row>
        <row r="1449">
          <cell r="A1449" t="str">
            <v>MK1680101</v>
          </cell>
          <cell r="B1449" t="str">
            <v>Стол рабочий Tokyo складной ЛДСП Дуб вотан, Черн. металл.</v>
          </cell>
          <cell r="D1449" t="str">
            <v>СТОЛЫ</v>
          </cell>
          <cell r="E1449" t="str">
            <v>FBO</v>
          </cell>
          <cell r="F1449" t="str">
            <v>Стол рабочий Tokyo складной</v>
          </cell>
          <cell r="G1449" t="str">
            <v>ЛДСП Дуб Вотан, Черн. металл.</v>
          </cell>
          <cell r="H1449" t="str">
            <v>2521897952841</v>
          </cell>
          <cell r="I1449" t="str">
            <v>Основной ассортимент</v>
          </cell>
        </row>
        <row r="1450">
          <cell r="A1450" t="str">
            <v>MK2250101</v>
          </cell>
          <cell r="B1450" t="str">
            <v>Стол рабочий Frame с системой хранения ЛДСП Дуб Вотан, Черн.Метал</v>
          </cell>
          <cell r="D1450" t="str">
            <v>СТОЛЫ</v>
          </cell>
          <cell r="E1450" t="str">
            <v>СКГТ (ОЗОН)</v>
          </cell>
          <cell r="F1450" t="str">
            <v>Стол рабочий Frame с системой хранения</v>
          </cell>
          <cell r="G1450" t="str">
            <v>ЛДСП Дуб Вотан, Черн. металл.</v>
          </cell>
          <cell r="H1450" t="str">
            <v>4660041008722</v>
          </cell>
          <cell r="I1450" t="str">
            <v>Основной ассортимент</v>
          </cell>
        </row>
        <row r="1451">
          <cell r="A1451" t="str">
            <v>MK1690101</v>
          </cell>
          <cell r="B1451" t="str">
            <v>Система хранения Tokyo №1 ЛДСП Дуб Вотан, Черн.металл</v>
          </cell>
          <cell r="D1451" t="str">
            <v>ВЕШАЛКИ</v>
          </cell>
          <cell r="E1451" t="str">
            <v>FBO</v>
          </cell>
          <cell r="F1451" t="str">
            <v>Система хранения Tokyo №1</v>
          </cell>
          <cell r="G1451" t="str">
            <v>ЛДСП Дуб Вотан, Черн. металл.</v>
          </cell>
          <cell r="H1451" t="str">
            <v>4660041008302</v>
          </cell>
          <cell r="I1451" t="str">
            <v>Основной ассортимент</v>
          </cell>
        </row>
        <row r="1452">
          <cell r="A1452" t="str">
            <v>MK1900101</v>
          </cell>
          <cell r="B1452" t="str">
            <v>Стеллаж горка Fiji ЛДСП Дуб Вотан. Черн. металл.</v>
          </cell>
          <cell r="D1452" t="str">
            <v>СТЕЛЛАЖИ</v>
          </cell>
          <cell r="E1452" t="str">
            <v>FBO</v>
          </cell>
          <cell r="F1452" t="str">
            <v>Стеллаж горка Fiji</v>
          </cell>
          <cell r="G1452" t="str">
            <v>ЛДСП Дуб Вотан, Черн. металл.</v>
          </cell>
          <cell r="H1452" t="str">
            <v>4660041008067</v>
          </cell>
          <cell r="I1452" t="str">
            <v>Основной ассортимент</v>
          </cell>
        </row>
        <row r="1453">
          <cell r="A1453" t="str">
            <v>MK1590201</v>
          </cell>
          <cell r="B1453" t="str">
            <v>Стол стеллаж Tokyo ЛДСП Белое тиснение, Черн. металл.</v>
          </cell>
          <cell r="D1453" t="str">
            <v>СТОЛЫ</v>
          </cell>
          <cell r="E1453" t="str">
            <v>FBS</v>
          </cell>
          <cell r="F1453" t="str">
            <v>Стол стеллаж Tokyo</v>
          </cell>
          <cell r="G1453" t="str">
            <v xml:space="preserve">ЛДСП Белое тиснение, Черн. металл. </v>
          </cell>
          <cell r="H1453" t="str">
            <v>4660041007220</v>
          </cell>
          <cell r="I1453" t="str">
            <v>Основной ассортимент</v>
          </cell>
        </row>
        <row r="1454">
          <cell r="A1454" t="str">
            <v>MK2290101</v>
          </cell>
          <cell r="B1454" t="str">
            <v>Тумба под ТВ LOFT 2х ярусная ЛДСП Дуб Вотан/Антрацит, Черн. металл. 1386х584(h)[376</v>
          </cell>
          <cell r="D1454" t="str">
            <v>ТУМБЫ под ТВ</v>
          </cell>
          <cell r="E1454" t="str">
            <v>FBO</v>
          </cell>
          <cell r="F1454" t="str">
            <v>Тумба под ТВ LOFT 2х ярусная</v>
          </cell>
          <cell r="G1454" t="str">
            <v xml:space="preserve">ЛДСП Дуб Вотан/Антрацит, Черн. металл. </v>
          </cell>
          <cell r="H1454" t="str">
            <v>4660041008661</v>
          </cell>
          <cell r="I1454" t="str">
            <v>Основной ассортимент</v>
          </cell>
        </row>
        <row r="1455">
          <cell r="A1455" t="str">
            <v>4302.07.05.24/01</v>
          </cell>
          <cell r="B1455" t="str">
            <v>Обувница Кёльме 3 секции Антрацит/Дуб Крафт золотой/Глиняный серый 600х1210(h)х244</v>
          </cell>
          <cell r="D1455" t="str">
            <v>ОБУВНИЦЫ</v>
          </cell>
          <cell r="E1455" t="str">
            <v>FBO</v>
          </cell>
          <cell r="F1455" t="str">
            <v>Обувница Кёльме 3 секции</v>
          </cell>
          <cell r="G1455" t="str">
            <v>Антрацит/Дуб Крафт золотой/Глиняный серый</v>
          </cell>
          <cell r="H1455" t="str">
            <v>4620263153877</v>
          </cell>
          <cell r="I1455" t="str">
            <v>Основной ассортимент</v>
          </cell>
        </row>
        <row r="1456">
          <cell r="A1456" t="str">
            <v>5052.17Ч/01</v>
          </cell>
          <cell r="B1456" t="str">
            <v>Тумба под ТВ Ультра с полкой и ящиками Белая гладкая 1000х445(h)х398</v>
          </cell>
          <cell r="D1456" t="str">
            <v>ТУМБЫ под ТВ</v>
          </cell>
          <cell r="E1456" t="str">
            <v>СКГТ</v>
          </cell>
          <cell r="F1456" t="str">
            <v>Тумба под ТВ Ультра с полкой и ящиками</v>
          </cell>
          <cell r="G1456" t="str">
            <v>Белая гладкая</v>
          </cell>
          <cell r="H1456" t="str">
            <v>4620263151989</v>
          </cell>
          <cell r="I1456" t="str">
            <v>Основной ассортимент</v>
          </cell>
        </row>
        <row r="1457">
          <cell r="A1457" t="str">
            <v>5005.05/01</v>
          </cell>
          <cell r="B1457" t="str">
            <v>Стол письменный Кантон Дуб Крафт Золотой 1100х750(h)х500</v>
          </cell>
          <cell r="D1457" t="str">
            <v>СТОЛЫ</v>
          </cell>
          <cell r="E1457" t="str">
            <v>FBO</v>
          </cell>
          <cell r="F1457" t="str">
            <v>Стол письменный Кантон</v>
          </cell>
          <cell r="G1457" t="str">
            <v>Дуб Крафт Золотой</v>
          </cell>
          <cell r="H1457" t="str">
            <v>4620263153846</v>
          </cell>
          <cell r="I1457" t="str">
            <v>Основной ассортимент</v>
          </cell>
        </row>
        <row r="1458">
          <cell r="A1458" t="str">
            <v>5050.17Ч/01</v>
          </cell>
          <cell r="B1458" t="str">
            <v>Тумба прикроватная Ультра с ящиком Белая гладкая 400х445(h)х398</v>
          </cell>
          <cell r="D1458" t="str">
            <v>ТУМБЫ ПРИКРОВАТНЫЕ</v>
          </cell>
          <cell r="E1458" t="str">
            <v>FBO</v>
          </cell>
          <cell r="F1458" t="str">
            <v>Тумба прикроватная Ультра с ящиком</v>
          </cell>
          <cell r="G1458" t="str">
            <v>Белая гладкая</v>
          </cell>
          <cell r="H1458" t="str">
            <v>4620263151965</v>
          </cell>
          <cell r="I1458" t="str">
            <v>Основной ассортимент</v>
          </cell>
        </row>
        <row r="1459">
          <cell r="A1459">
            <v>3875</v>
          </cell>
          <cell r="B1459" t="str">
            <v>Столик туалетный Ultra с зеркалом Белое гладкое 702х784(h)х401</v>
          </cell>
          <cell r="D1459" t="str">
            <v>СТОЛЫ</v>
          </cell>
          <cell r="E1459" t="str">
            <v>FBO</v>
          </cell>
          <cell r="F1459" t="str">
            <v xml:space="preserve">Столик туалетный Ultra с зеркалом </v>
          </cell>
          <cell r="G1459" t="str">
            <v>Белая гладкая</v>
          </cell>
          <cell r="H1459" t="str">
            <v>4640219951142</v>
          </cell>
          <cell r="I1459" t="str">
            <v>Основной ассортимент</v>
          </cell>
        </row>
        <row r="1460">
          <cell r="A1460" t="str">
            <v>MK1940101</v>
          </cell>
          <cell r="B1460" t="str">
            <v>Тумба ТВ Frame 1-о дверный ЛДСП Дуб Вотан. Черн. металл.</v>
          </cell>
          <cell r="D1460" t="str">
            <v>ТУМБЫ под ТВ</v>
          </cell>
          <cell r="E1460" t="str">
            <v>FBO</v>
          </cell>
          <cell r="F1460" t="str">
            <v>Тумба ТВ Frame 1-о дверный</v>
          </cell>
          <cell r="G1460" t="str">
            <v>ЛДСП Дуб Вотан, Черн. металл.</v>
          </cell>
          <cell r="H1460" t="str">
            <v>4660041008081</v>
          </cell>
          <cell r="I1460" t="str">
            <v>Основной ассортимент</v>
          </cell>
        </row>
        <row r="1461">
          <cell r="A1461" t="str">
            <v>4303.07.05.24/01</v>
          </cell>
          <cell r="B1461" t="str">
            <v>Стеллаж Кёльме Антрацит/Дуб Крафт золотой/Глиняный серый 700х1530(h)х254</v>
          </cell>
          <cell r="D1461" t="str">
            <v>СТЕЛЛАЖИ</v>
          </cell>
          <cell r="E1461" t="str">
            <v>FBO</v>
          </cell>
          <cell r="F1461" t="str">
            <v>Стеллаж Кёльме</v>
          </cell>
          <cell r="G1461" t="str">
            <v xml:space="preserve">Антрацит/Дуб Крафт золотой/Глиняный серый </v>
          </cell>
          <cell r="H1461" t="str">
            <v>4620263154027</v>
          </cell>
          <cell r="I1461" t="str">
            <v>Основной ассортимент</v>
          </cell>
        </row>
        <row r="1462">
          <cell r="A1462" t="str">
            <v>4301.07.05.24/01</v>
          </cell>
          <cell r="B1462" t="str">
            <v>Стол Кёльме 3 ящика Антрацит/Дуб Крафт золотой/Глиняный серый 1127х812(h)х454</v>
          </cell>
          <cell r="D1462" t="str">
            <v>СТОЛЫ</v>
          </cell>
          <cell r="E1462" t="str">
            <v>FBO</v>
          </cell>
          <cell r="F1462" t="str">
            <v>Стол Кёльме 3 ящика</v>
          </cell>
          <cell r="G1462" t="str">
            <v xml:space="preserve">Антрацит/Дуб Крафт золотой/Глиняный серый </v>
          </cell>
          <cell r="H1462" t="str">
            <v>4620263153860</v>
          </cell>
          <cell r="I1462" t="str">
            <v>Основной ассортимент</v>
          </cell>
        </row>
        <row r="1463">
          <cell r="A1463" t="str">
            <v>4300.07.05.24/01</v>
          </cell>
          <cell r="B1463" t="str">
            <v>Комод Кёльме 3 ящика Антрацит/Дуб Крафт золотой/Глиняный серый 700х812(h)х334</v>
          </cell>
          <cell r="D1463" t="str">
            <v>КОМОДЫ</v>
          </cell>
          <cell r="E1463" t="str">
            <v>FBO</v>
          </cell>
          <cell r="F1463" t="str">
            <v>Комод Кёльме 3 ящика</v>
          </cell>
          <cell r="G1463" t="str">
            <v xml:space="preserve">Антрацит/Дуб Крафт золотой/Глиняный серый </v>
          </cell>
          <cell r="H1463" t="str">
            <v>4620263153853</v>
          </cell>
          <cell r="I1463" t="str">
            <v>Основной ассортимент</v>
          </cell>
        </row>
        <row r="1464">
          <cell r="A1464" t="str">
            <v>5054.17Ч/01</v>
          </cell>
          <cell r="B1464" t="str">
            <v>Стол Ультра 1100 с двумя ящиками Белая гладкая 1100х754(h)х550</v>
          </cell>
          <cell r="D1464" t="str">
            <v>СТОЛЫ</v>
          </cell>
          <cell r="E1464" t="str">
            <v>СКГТ (ОЗОН)</v>
          </cell>
          <cell r="F1464" t="str">
            <v>Стол Ультра 1100 с двумя ящиками</v>
          </cell>
          <cell r="G1464" t="str">
            <v>Белая гладкая</v>
          </cell>
          <cell r="H1464" t="str">
            <v>4620263152009</v>
          </cell>
          <cell r="I1464" t="str">
            <v>Основной ассортимент</v>
          </cell>
        </row>
        <row r="1465">
          <cell r="A1465" t="str">
            <v>4168.17.05/01</v>
          </cell>
          <cell r="B1465" t="str">
            <v>Комплект прихожей Рокки Белая гладкая/Дуб Крафт Золотой 1000х1900(h)х398</v>
          </cell>
          <cell r="D1465" t="str">
            <v>ПРИХОЖАЯ</v>
          </cell>
          <cell r="E1465" t="str">
            <v>СКГТ (ОЗОН)</v>
          </cell>
          <cell r="F1465" t="str">
            <v>Комплект прихожей Рокки</v>
          </cell>
          <cell r="G1465" t="str">
            <v>Белая гладкая/Дуб Крафт золотой</v>
          </cell>
          <cell r="H1465" t="str">
            <v>4620263154133</v>
          </cell>
          <cell r="I1465" t="str">
            <v>Основной ассортимент</v>
          </cell>
        </row>
        <row r="1466">
          <cell r="A1466" t="str">
            <v>3973.17/01</v>
          </cell>
          <cell r="B1466" t="str">
            <v>Комод трансформер Бельтэ Белая гладкая/Кожзам Белый 714х930(h)х448</v>
          </cell>
          <cell r="D1466" t="str">
            <v>КОМОДЫ</v>
          </cell>
          <cell r="E1466" t="str">
            <v>СКГТ (ОЗОН)</v>
          </cell>
          <cell r="F1466" t="str">
            <v>Комод трансформер Бельтэ</v>
          </cell>
          <cell r="G1466" t="str">
            <v>Белая гладкая/Кожзам Белый</v>
          </cell>
          <cell r="H1466" t="str">
            <v>4620263154089</v>
          </cell>
          <cell r="I1466" t="str">
            <v>Основной ассортимент</v>
          </cell>
        </row>
        <row r="1467">
          <cell r="A1467" t="str">
            <v>5068.17Ч/01</v>
          </cell>
          <cell r="B1467" t="str">
            <v>Тумба Ультра 2 ящика с нишей Белая гладкая 400х591(h)х398</v>
          </cell>
          <cell r="D1467" t="str">
            <v>ТУМБЫ ПРИКРОВАТНЫЕ</v>
          </cell>
          <cell r="E1467" t="str">
            <v>FBO</v>
          </cell>
          <cell r="F1467" t="str">
            <v>Тумба Ультра 2 ящика с нишей</v>
          </cell>
          <cell r="G1467" t="str">
            <v>Белая гладкая</v>
          </cell>
          <cell r="H1467" t="str">
            <v>4620263154270</v>
          </cell>
          <cell r="I1467" t="str">
            <v>Основной ассортимент</v>
          </cell>
        </row>
        <row r="1468">
          <cell r="A1468" t="str">
            <v>5071.17Ч/01</v>
          </cell>
          <cell r="B1468" t="str">
            <v>Тумба ТВ Ультра комбинированная Белая гладкая 1200х445(h)х398</v>
          </cell>
          <cell r="D1468" t="str">
            <v>ТУМБЫ под ТВ</v>
          </cell>
          <cell r="E1468" t="str">
            <v>СКГТ (ОЗОН)</v>
          </cell>
          <cell r="F1468" t="str">
            <v>Тумба ТВ Ультра комбинированная</v>
          </cell>
          <cell r="G1468" t="str">
            <v>Белая гладкая</v>
          </cell>
          <cell r="H1468" t="str">
            <v>4620263154188</v>
          </cell>
          <cell r="I1468" t="str">
            <v>Основной ассортимент</v>
          </cell>
        </row>
        <row r="1469">
          <cell r="A1469" t="str">
            <v>5069.17Ч/01</v>
          </cell>
          <cell r="B1469" t="str">
            <v>Тумба Ультра подвесная с ящиком Белая гладкая 500х208(h)х334</v>
          </cell>
          <cell r="D1469" t="str">
            <v>ТУМБЫ ПРИКРОВАТНЫЕ</v>
          </cell>
          <cell r="E1469" t="str">
            <v>FBO</v>
          </cell>
          <cell r="F1469" t="str">
            <v>Тумба Ультра подвесная с ящиком</v>
          </cell>
          <cell r="G1469" t="str">
            <v>Белая гладкая</v>
          </cell>
          <cell r="H1469" t="str">
            <v>4620263154294</v>
          </cell>
          <cell r="I1469" t="str">
            <v>Основной ассортимент</v>
          </cell>
        </row>
        <row r="1470">
          <cell r="A1470" t="str">
            <v>5552.09.31/01</v>
          </cell>
          <cell r="B1470" t="str">
            <v>Шкаф Танто 2х дверный Серый Графит/Тегола 800х2057(h)х480</v>
          </cell>
          <cell r="D1470" t="str">
            <v>ШКАФЫ</v>
          </cell>
          <cell r="E1470" t="str">
            <v>СКГТ (ОЗОН)</v>
          </cell>
          <cell r="F1470" t="str">
            <v>Шкаф Танто 2х дверный</v>
          </cell>
          <cell r="G1470" t="str">
            <v>Графит/Тегола</v>
          </cell>
          <cell r="H1470" t="str">
            <v>4620263155390</v>
          </cell>
          <cell r="I1470" t="str">
            <v>Основной ассортимент</v>
          </cell>
        </row>
        <row r="1471">
          <cell r="A1471" t="str">
            <v>13001.09/01</v>
          </cell>
          <cell r="B1471" t="str">
            <v>Комод Монте 4 ящика Серый Графит 800х853(h)х480</v>
          </cell>
          <cell r="D1471" t="str">
            <v>КОМОДЫ</v>
          </cell>
          <cell r="E1471" t="str">
            <v>СКГТ (ОЗОН)</v>
          </cell>
          <cell r="F1471" t="str">
            <v>Комод Монте 4 ящика</v>
          </cell>
          <cell r="G1471" t="str">
            <v>Графит</v>
          </cell>
          <cell r="H1471" t="str">
            <v>4620263154683</v>
          </cell>
          <cell r="I1471" t="str">
            <v>Основной ассортимент</v>
          </cell>
        </row>
        <row r="1472">
          <cell r="A1472" t="str">
            <v>3971.17.01/01</v>
          </cell>
          <cell r="B1472" t="str">
            <v>Стол-трансформер Непал Лайт Белая гладкая/Дуб Вотан 920х470(h)х450</v>
          </cell>
          <cell r="D1472" t="str">
            <v>СТОЛИКИ ЖУРНАЛЬНЫЕ</v>
          </cell>
          <cell r="E1472" t="str">
            <v>FBO</v>
          </cell>
          <cell r="F1472" t="str">
            <v>Стол-трансформер Непал Лайт</v>
          </cell>
          <cell r="G1472" t="str">
            <v>Белая гладкая/Дуб Вотан</v>
          </cell>
          <cell r="H1472" t="str">
            <v>4620263153693</v>
          </cell>
          <cell r="I1472" t="str">
            <v>Основной ассортимент</v>
          </cell>
        </row>
        <row r="1473">
          <cell r="A1473" t="str">
            <v>5553.09.31/01</v>
          </cell>
          <cell r="B1473" t="str">
            <v>Шкаф Танто 3х дверный Серый Графит/Тегола 1200х2057(h)х474</v>
          </cell>
          <cell r="D1473" t="str">
            <v>ШКАФЫ</v>
          </cell>
          <cell r="E1473" t="str">
            <v>СКГТ (ОЗОН)</v>
          </cell>
          <cell r="F1473" t="str">
            <v>Шкаф Танто 3х дверный</v>
          </cell>
          <cell r="G1473" t="str">
            <v>Белая гладкая/Дуб Вотан</v>
          </cell>
          <cell r="H1473" t="str">
            <v>4620263155406</v>
          </cell>
          <cell r="I1473" t="str">
            <v>Основной ассортимент</v>
          </cell>
        </row>
        <row r="1474">
          <cell r="A1474" t="str">
            <v>9901.09.31/01</v>
          </cell>
          <cell r="B1474" t="str">
            <v>Комод Танто 4 ящика Серый Графит/Тегола 800х853(h)х480</v>
          </cell>
          <cell r="D1474" t="str">
            <v>КОМОДЫ</v>
          </cell>
          <cell r="E1474" t="str">
            <v>СКГТ (ОЗОН)</v>
          </cell>
          <cell r="F1474" t="str">
            <v>Комод Танто 4 ящика</v>
          </cell>
          <cell r="G1474" t="str">
            <v>Графит/Тегола</v>
          </cell>
          <cell r="H1474" t="str">
            <v>4620263155192</v>
          </cell>
          <cell r="I1474" t="str">
            <v>Основной ассортимент</v>
          </cell>
        </row>
        <row r="1475">
          <cell r="A1475" t="str">
            <v>13003.09/01</v>
          </cell>
          <cell r="B1475" t="str">
            <v>Антресоль Монте 2х дверная Серый Графит 800х350(h)х470</v>
          </cell>
          <cell r="D1475" t="str">
            <v>ШКАФЫ</v>
          </cell>
          <cell r="E1475" t="str">
            <v>FBO</v>
          </cell>
          <cell r="F1475" t="str">
            <v>Антресоль Монте 2х дверная</v>
          </cell>
          <cell r="G1475" t="str">
            <v>Графит</v>
          </cell>
          <cell r="H1475" t="str">
            <v>4620263154744</v>
          </cell>
          <cell r="I1475" t="str">
            <v>Основной ассортимент</v>
          </cell>
        </row>
        <row r="1476">
          <cell r="A1476" t="str">
            <v>13004.09/01</v>
          </cell>
          <cell r="B1476" t="str">
            <v>Антресоль Монте 3х дверная Серый Графит 1200х350(h)х470</v>
          </cell>
          <cell r="D1476" t="str">
            <v>ШКАФЫ</v>
          </cell>
          <cell r="E1476" t="str">
            <v>СКГТ (ОЗОН)</v>
          </cell>
          <cell r="F1476" t="str">
            <v>Антресоль Монте 3х дверная</v>
          </cell>
          <cell r="G1476" t="str">
            <v>Графит</v>
          </cell>
          <cell r="H1476" t="str">
            <v>4620263154751</v>
          </cell>
          <cell r="I1476" t="str">
            <v>Основной ассортимент</v>
          </cell>
        </row>
        <row r="1477">
          <cell r="A1477" t="str">
            <v>13002.09/01</v>
          </cell>
          <cell r="B1477" t="str">
            <v>Тумба Монте 2 ящика Серый Графит 400х457(h)х392</v>
          </cell>
          <cell r="D1477" t="str">
            <v>ТУМБЫ ПРИКРОВАТНЫЕ</v>
          </cell>
          <cell r="E1477" t="str">
            <v>FBO</v>
          </cell>
          <cell r="F1477" t="str">
            <v>Тумба Монте 2 ящика</v>
          </cell>
          <cell r="G1477" t="str">
            <v>Графит</v>
          </cell>
          <cell r="H1477" t="str">
            <v>4620263154690</v>
          </cell>
          <cell r="I1477" t="str">
            <v>Основной ассортимент</v>
          </cell>
        </row>
        <row r="1478">
          <cell r="A1478" t="str">
            <v>9902.09.31/01</v>
          </cell>
          <cell r="B1478" t="str">
            <v>Тумба Танто 2 ящика Серый Графит/Тегола 400х457(h)х392</v>
          </cell>
          <cell r="D1478" t="str">
            <v>ТУМБЫ ПРИКРОВАТНЫЕ</v>
          </cell>
          <cell r="E1478" t="str">
            <v>FBO</v>
          </cell>
          <cell r="F1478" t="str">
            <v>Тумба Танто 2 ящика</v>
          </cell>
          <cell r="G1478" t="str">
            <v>Графит/Тегола</v>
          </cell>
          <cell r="H1478" t="str">
            <v>4620263155222</v>
          </cell>
          <cell r="I1478" t="str">
            <v>Основной ассортимент</v>
          </cell>
        </row>
        <row r="1479">
          <cell r="A1479" t="str">
            <v>5201.17Ч/01</v>
          </cell>
          <cell r="B1479" t="str">
            <v>Комод Инсбрук 4 ящика с ручками Белая гладкая 800х969(h)х398</v>
          </cell>
          <cell r="D1479" t="str">
            <v>КОМОДЫ</v>
          </cell>
          <cell r="E1479" t="str">
            <v>СКГТ (ОЗОН)</v>
          </cell>
          <cell r="F1479" t="str">
            <v>Комод Инсбрук 4 ящика с ручками</v>
          </cell>
          <cell r="G1479" t="str">
            <v>Белая гладкая</v>
          </cell>
          <cell r="H1479" t="str">
            <v>4620263155055</v>
          </cell>
          <cell r="I1479" t="str">
            <v>Основной ассортимент</v>
          </cell>
        </row>
        <row r="1480">
          <cell r="A1480" t="str">
            <v>5202.17Ч/01</v>
          </cell>
          <cell r="B1480" t="str">
            <v>Комод Инсбрук комбинированный 3 ящика с дверками Белая гладкая 1200х777(h)х398</v>
          </cell>
          <cell r="D1480" t="str">
            <v>КОМОДЫ</v>
          </cell>
          <cell r="E1480" t="str">
            <v>СКГТ (ОЗОН)</v>
          </cell>
          <cell r="F1480" t="str">
            <v>Комод Инсбрук комбинированный 3 ящика с дверками</v>
          </cell>
          <cell r="G1480" t="str">
            <v>Белая гладкая</v>
          </cell>
          <cell r="H1480" t="str">
            <v>4620263155062</v>
          </cell>
          <cell r="I1480" t="str">
            <v>Основной ассортимент</v>
          </cell>
        </row>
        <row r="1481">
          <cell r="A1481" t="str">
            <v>5200.17Ч/01</v>
          </cell>
          <cell r="B1481" t="str">
            <v>Тумба прикроватная Инсбрук с ящиком Белая гладкая 400х585(h)х398</v>
          </cell>
          <cell r="D1481" t="str">
            <v>ТУМБЫ ПРИКРОВАТНЫЕ</v>
          </cell>
          <cell r="E1481" t="str">
            <v>FBO</v>
          </cell>
          <cell r="F1481" t="str">
            <v>Тумба прикроватная Инсбрук с ящиком</v>
          </cell>
          <cell r="G1481" t="str">
            <v>Белая гладкая</v>
          </cell>
          <cell r="H1481" t="str">
            <v>4620263154928</v>
          </cell>
          <cell r="I1481" t="str">
            <v>Основной ассортимент</v>
          </cell>
        </row>
        <row r="1482">
          <cell r="A1482" t="str">
            <v>4009.02.03/01</v>
          </cell>
          <cell r="B1482" t="str">
            <v>Тумба под ТВ Лион 2 ящика универсальная Белое тиснение/Дуб сонома 1464х292(h)х292</v>
          </cell>
          <cell r="D1482" t="str">
            <v>ТУМБЫ под ТВ</v>
          </cell>
          <cell r="E1482" t="str">
            <v>FBO</v>
          </cell>
          <cell r="F1482" t="str">
            <v>Тумба под ТВ Лион 2 ящика универсальная</v>
          </cell>
          <cell r="G1482" t="str">
            <v>Белое тиснение/Дуб сонома</v>
          </cell>
          <cell r="H1482" t="str">
            <v>4620263153327</v>
          </cell>
          <cell r="I1482" t="str">
            <v>Основной ассортимент</v>
          </cell>
        </row>
        <row r="1483">
          <cell r="A1483" t="str">
            <v>5203.17Ч/01</v>
          </cell>
          <cell r="B1483" t="str">
            <v>Тумба ТВ Инсбрук комбинированная Белая гладкая 1200х585(h)х398</v>
          </cell>
          <cell r="D1483" t="str">
            <v>ТУМБЫ под ТВ</v>
          </cell>
          <cell r="E1483" t="str">
            <v>СКГТ (ОЗОН)</v>
          </cell>
          <cell r="F1483" t="str">
            <v>Тумба ТВ Инсбрук комбинированная</v>
          </cell>
          <cell r="G1483" t="str">
            <v>Белая гладкая</v>
          </cell>
          <cell r="H1483" t="str">
            <v>4620263155123</v>
          </cell>
          <cell r="I1483" t="str">
            <v>Основной ассортимент</v>
          </cell>
        </row>
        <row r="1484">
          <cell r="A1484" t="str">
            <v>16601.17Ч/01И</v>
          </cell>
          <cell r="B1484" t="str">
            <v>Шкаф Инсбрук 1-о дверный Белая гладкая 400х1997(h)х460</v>
          </cell>
          <cell r="D1484" t="str">
            <v>ШКАФЫ</v>
          </cell>
          <cell r="E1484" t="str">
            <v>СКГТ (ОЗОН)</v>
          </cell>
          <cell r="F1484" t="str">
            <v>Шкаф Инсбрук 1-о дверный</v>
          </cell>
          <cell r="G1484" t="str">
            <v>Белая гладкая</v>
          </cell>
          <cell r="H1484" t="str">
            <v>4620263155420</v>
          </cell>
          <cell r="I1484" t="str">
            <v>Основной ассортимент</v>
          </cell>
        </row>
        <row r="1485">
          <cell r="A1485" t="str">
            <v>5851.09/01М</v>
          </cell>
          <cell r="B1485" t="str">
            <v>Шкаф Монте 1 дверный Серый Графит 400х2057(h)х470</v>
          </cell>
          <cell r="D1485" t="str">
            <v>ШКАФЫ</v>
          </cell>
          <cell r="E1485" t="str">
            <v>СКГТ (ОЗОН)</v>
          </cell>
          <cell r="F1485" t="str">
            <v>Шкаф Монте 1 дверный</v>
          </cell>
          <cell r="G1485" t="str">
            <v>Графит</v>
          </cell>
          <cell r="H1485" t="str">
            <v>4620263155314</v>
          </cell>
          <cell r="I1485" t="str">
            <v>Основной ассортимент</v>
          </cell>
        </row>
        <row r="1486">
          <cell r="A1486" t="str">
            <v>5853.09/01М</v>
          </cell>
          <cell r="B1486" t="str">
            <v>Шкаф Монте 3х дверный Серый Графит 1200х2057(h)х470</v>
          </cell>
          <cell r="D1486" t="str">
            <v>ШКАФЫ</v>
          </cell>
          <cell r="E1486" t="str">
            <v>СКГТ (ОЗОН)</v>
          </cell>
          <cell r="F1486" t="str">
            <v>Шкаф Монте 3х дверный</v>
          </cell>
          <cell r="G1486" t="str">
            <v>Графит</v>
          </cell>
          <cell r="H1486" t="str">
            <v>4620263155413</v>
          </cell>
          <cell r="I1486" t="str">
            <v>Основной ассортимент</v>
          </cell>
        </row>
        <row r="1487">
          <cell r="A1487" t="str">
            <v>5852.09/01М</v>
          </cell>
          <cell r="B1487" t="str">
            <v>Шкаф Монте 2х дверный Серый Графит 800х2057(h)х470</v>
          </cell>
          <cell r="D1487" t="str">
            <v>ШКАФЫ</v>
          </cell>
          <cell r="E1487" t="str">
            <v>СКГТ (ОЗОН)</v>
          </cell>
          <cell r="F1487" t="str">
            <v>Шкаф Монте 2х дверный Серый</v>
          </cell>
          <cell r="G1487" t="str">
            <v>Графит</v>
          </cell>
          <cell r="H1487" t="str">
            <v>4620263155383</v>
          </cell>
          <cell r="I1487" t="str">
            <v>Основной ассортимент</v>
          </cell>
        </row>
        <row r="1488">
          <cell r="A1488" t="str">
            <v>16604.17Ч/01И</v>
          </cell>
          <cell r="B1488" t="str">
            <v>Шкаф Инсбрук 3х дверный с полками Белая гладкая 1200х1997(h)х460</v>
          </cell>
          <cell r="D1488" t="str">
            <v>ШКАФЫ</v>
          </cell>
          <cell r="E1488" t="str">
            <v>СКГТ (ОЗОН)</v>
          </cell>
          <cell r="F1488" t="str">
            <v>Шкаф Инсбрук 3х дверный с полками</v>
          </cell>
          <cell r="G1488" t="str">
            <v>Белая гладкая</v>
          </cell>
          <cell r="H1488" t="str">
            <v>4620263155451</v>
          </cell>
          <cell r="I1488" t="str">
            <v>Основной ассортимент</v>
          </cell>
        </row>
        <row r="1489">
          <cell r="A1489" t="str">
            <v>16605.17Ч/01И</v>
          </cell>
          <cell r="B1489" t="str">
            <v>Шкаф Инсбрук 3х дверный с ящиками Белая гладкая 1200х1997(h)х460</v>
          </cell>
          <cell r="D1489" t="str">
            <v>ШКАФЫ</v>
          </cell>
          <cell r="E1489" t="str">
            <v>СКГТ (ОЗОН)</v>
          </cell>
          <cell r="F1489" t="str">
            <v>Шкаф Инсбрук 3х дверный с ящиками</v>
          </cell>
          <cell r="G1489" t="str">
            <v>Белая гладкая</v>
          </cell>
          <cell r="H1489" t="str">
            <v>4620263155468</v>
          </cell>
          <cell r="I1489" t="str">
            <v>Основной ассортимент</v>
          </cell>
        </row>
        <row r="1490">
          <cell r="A1490" t="str">
            <v>16602.17Ч/01И</v>
          </cell>
          <cell r="B1490" t="str">
            <v>Шкаф Инсбрук 2х дверный с полками Белая гладкая 800х1997(h)х460</v>
          </cell>
          <cell r="D1490" t="str">
            <v>ШКАФЫ</v>
          </cell>
          <cell r="E1490" t="str">
            <v>СКГТ (ОЗОН)</v>
          </cell>
          <cell r="F1490" t="str">
            <v>Шкаф Инсбрук 2х дверный с полками</v>
          </cell>
          <cell r="G1490" t="str">
            <v>Белая гладкая</v>
          </cell>
          <cell r="H1490" t="str">
            <v>4620263155437</v>
          </cell>
          <cell r="I1490" t="str">
            <v>Основной ассортимент</v>
          </cell>
        </row>
        <row r="1491">
          <cell r="A1491" t="str">
            <v>16603.17Ч/01И</v>
          </cell>
          <cell r="B1491" t="str">
            <v>Шкаф Инсбрук 2х дверный с ящиками Белая гладкая 800х1997(h)х460</v>
          </cell>
          <cell r="D1491" t="str">
            <v>ШКАФЫ</v>
          </cell>
          <cell r="E1491" t="str">
            <v>СКГТ (ОЗОН)</v>
          </cell>
          <cell r="F1491" t="str">
            <v>Шкаф Инсбрук 2х дверный с ящиками</v>
          </cell>
          <cell r="G1491" t="str">
            <v>Белая гладкая</v>
          </cell>
          <cell r="H1491" t="str">
            <v>4620263155444</v>
          </cell>
          <cell r="I1491" t="str">
            <v>Основной ассортимент</v>
          </cell>
        </row>
        <row r="1492">
          <cell r="A1492" t="str">
            <v>MK2650601</v>
          </cell>
          <cell r="B1492" t="str">
            <v>Столик придиванный Fiji ЛДСП Дуб Крафт Белый, Черн. Металл 470х640(h)х300</v>
          </cell>
          <cell r="D1492" t="str">
            <v>СТОЛИКИ ЖУРНАЛЬНЫЕ</v>
          </cell>
          <cell r="E1492" t="str">
            <v>FBO</v>
          </cell>
          <cell r="F1492" t="str">
            <v>Столик придиванный Fiji</v>
          </cell>
          <cell r="G1492" t="str">
            <v>ЛДСП Дуб Крафт белый, Черн. металл.</v>
          </cell>
          <cell r="H1492" t="str">
            <v>4620263150715</v>
          </cell>
          <cell r="I1492" t="str">
            <v>Основной ассортимент</v>
          </cell>
        </row>
        <row r="1493">
          <cell r="A1493" t="str">
            <v>5063.17Ч/01</v>
          </cell>
          <cell r="B1493" t="str">
            <v>Шкаф Ультра 2х дверный Белая гладкая 800х1857(h)х460</v>
          </cell>
          <cell r="D1493" t="str">
            <v>ШКАФЫ</v>
          </cell>
          <cell r="E1493" t="str">
            <v>СКГТ (ОЗОН)</v>
          </cell>
          <cell r="F1493" t="str">
            <v>Шкаф Ультра 2х дверный</v>
          </cell>
          <cell r="G1493" t="str">
            <v>Белая гладкая</v>
          </cell>
          <cell r="H1493" t="str">
            <v>4620263151736</v>
          </cell>
          <cell r="I1493" t="str">
            <v>Основной ассортимент</v>
          </cell>
        </row>
        <row r="1494">
          <cell r="A1494" t="str">
            <v>2496.20/01</v>
          </cell>
          <cell r="B1494" t="str">
            <v>Стол компьютерный с 2 ящиками Ультра Цемент светлый вельвет 900х750(h)х450</v>
          </cell>
          <cell r="D1494" t="str">
            <v>СТОЛЫ</v>
          </cell>
          <cell r="E1494" t="str">
            <v>FBS</v>
          </cell>
          <cell r="F1494" t="str">
            <v>Стол компьютерный с 2 ящиками  900х750х450</v>
          </cell>
          <cell r="G1494" t="str">
            <v>Цемент светлый вельвет</v>
          </cell>
          <cell r="H1494" t="str">
            <v>4640219952798</v>
          </cell>
          <cell r="I1494" t="str">
            <v>Основной ассортимент</v>
          </cell>
        </row>
        <row r="1495">
          <cell r="A1495" t="str">
            <v>MK1910601</v>
          </cell>
          <cell r="B1495" t="str">
            <v>Стеллаж Fiji 4х дверный ЛДСП Дуб Крафт Белый, Черн. металл.750х1200(h)х300</v>
          </cell>
          <cell r="D1495" t="str">
            <v>СТЕЛЛАЖИ</v>
          </cell>
          <cell r="E1495" t="str">
            <v>СКГТ (ОЗОН)</v>
          </cell>
          <cell r="F1495" t="str">
            <v>Стеллаж Fiji 4х дверный</v>
          </cell>
          <cell r="G1495" t="str">
            <v>ЛДСП Дуб Крафт белый, Черн. металл.</v>
          </cell>
          <cell r="H1495" t="str">
            <v>4640219956635</v>
          </cell>
          <cell r="I1495" t="str">
            <v>Основной ассортимент</v>
          </cell>
        </row>
        <row r="1496">
          <cell r="A1496" t="str">
            <v>3713.09/01кк</v>
          </cell>
          <cell r="B1496" t="str">
            <v>Шкаф Норд 2х дверный с ящиками Серый графит 800*2057*474 (всегда+арт. 3714.06/02)</v>
          </cell>
          <cell r="D1496" t="str">
            <v>ШКАФЫ</v>
          </cell>
          <cell r="E1496" t="str">
            <v>СКГТ (ОЗОН)</v>
          </cell>
          <cell r="F1496" t="str">
            <v>Шкаф Норд 2х дверный с ящиками</v>
          </cell>
          <cell r="G1496" t="str">
            <v>Графит</v>
          </cell>
          <cell r="H1496" t="str">
            <v>4620263150579</v>
          </cell>
          <cell r="I1496" t="str">
            <v>Основной ассортимент</v>
          </cell>
        </row>
        <row r="1497">
          <cell r="A1497" t="str">
            <v>3.19003.09</v>
          </cell>
          <cell r="B1497" t="str">
            <v>Парящая кровать Шале Стандарт сп/м 1600х2000 Серый Графит/МДФ 12 мм Необлицованный 1642х754(h)х2040</v>
          </cell>
          <cell r="D1497" t="str">
            <v>КРОВАТИ</v>
          </cell>
          <cell r="E1497" t="str">
            <v>СКГТ (ОЗОН)</v>
          </cell>
          <cell r="F1497" t="str">
            <v>Парящая кровать Шале Стандарт сп/м 1600х2000</v>
          </cell>
          <cell r="G1497" t="str">
            <v>Серый Графит</v>
          </cell>
          <cell r="H1497" t="str">
            <v>4620263155079</v>
          </cell>
          <cell r="I1497" t="str">
            <v>Основной ассортимент</v>
          </cell>
        </row>
        <row r="1498">
          <cell r="A1498" t="str">
            <v>3.19000.09</v>
          </cell>
          <cell r="B1498" t="str">
            <v>Парящая кровать Шале База сп/м 1600х2000 Серый Графит/МДФ 12 мм Необлицованный 1642х366(h)х2040</v>
          </cell>
          <cell r="D1498" t="str">
            <v>КРОВАТИ</v>
          </cell>
          <cell r="E1498" t="str">
            <v>СКГТ (ОЗОН)</v>
          </cell>
          <cell r="F1498" t="str">
            <v>Парящая кровать Шале База сп/м 1600х2000</v>
          </cell>
          <cell r="G1498" t="str">
            <v>Серый Графит</v>
          </cell>
          <cell r="H1498" t="str">
            <v>4620263155048</v>
          </cell>
          <cell r="I1498" t="str">
            <v>Основной ассортимент</v>
          </cell>
        </row>
        <row r="1499">
          <cell r="A1499" t="str">
            <v>3.19004.09</v>
          </cell>
          <cell r="B1499" t="str">
            <v>Парящая кровать Шале Макс сп/м 1600х2000 Серый Графит/МДФ 12 мм Необлицованный 1742х754(h)х2040</v>
          </cell>
          <cell r="D1499" t="str">
            <v>КРОВАТИ</v>
          </cell>
          <cell r="E1499" t="str">
            <v>СКГТ (ОЗОН)</v>
          </cell>
          <cell r="F1499" t="str">
            <v>Парящая кровать Шале Макс сп/м 1600х2000</v>
          </cell>
          <cell r="G1499" t="str">
            <v>Серый Графит</v>
          </cell>
          <cell r="H1499" t="str">
            <v>4620263155086</v>
          </cell>
          <cell r="I1499" t="str">
            <v>Основной ассортимент</v>
          </cell>
        </row>
        <row r="1500">
          <cell r="A1500" t="str">
            <v>3926.32/01</v>
          </cell>
          <cell r="B1500" t="str">
            <v>Стол обеденный Компакт Кашемир 900х730(h)х530</v>
          </cell>
          <cell r="D1500" t="str">
            <v>СТОЛЫ ОБЕДЕННЫЕ</v>
          </cell>
          <cell r="E1500" t="str">
            <v>FBO</v>
          </cell>
          <cell r="F1500" t="str">
            <v>Стол обеденный Компакт</v>
          </cell>
          <cell r="G1500" t="str">
            <v>Кашемир</v>
          </cell>
          <cell r="H1500" t="str">
            <v>4620263155673</v>
          </cell>
          <cell r="I1500" t="str">
            <v>Основной ассортимент</v>
          </cell>
        </row>
        <row r="1501">
          <cell r="A1501" t="str">
            <v>3926.09/01</v>
          </cell>
          <cell r="B1501" t="str">
            <v>Стол обеденный Компакт Серый графит 900х730(h)х530</v>
          </cell>
          <cell r="D1501" t="str">
            <v>СТОЛЫ ОБЕДЕННЫЕ</v>
          </cell>
          <cell r="E1501" t="str">
            <v>FBO</v>
          </cell>
          <cell r="F1501" t="str">
            <v>Стол обеденный Компакт</v>
          </cell>
          <cell r="G1501" t="str">
            <v>Серый графит</v>
          </cell>
          <cell r="H1501" t="str">
            <v>4620263155536</v>
          </cell>
          <cell r="I1501" t="str">
            <v>Основной ассортимент</v>
          </cell>
        </row>
        <row r="1502">
          <cell r="A1502">
            <v>14113</v>
          </cell>
          <cell r="B1502" t="str">
            <v>Шкаф 2в1 Пакс Крафт Табачный/Белая гладкая</v>
          </cell>
          <cell r="D1502" t="str">
            <v>ШКАФЫ</v>
          </cell>
          <cell r="E1502" t="str">
            <v>СКГТ (ОЗОН)</v>
          </cell>
          <cell r="F1502" t="str">
            <v>Шкаф 2в1 Пакс</v>
          </cell>
          <cell r="G1502" t="str">
            <v>Табачный/Белая гладкая</v>
          </cell>
          <cell r="H1502" t="str">
            <v>2521897953606</v>
          </cell>
          <cell r="I1502" t="str">
            <v>Основной ассортимент</v>
          </cell>
        </row>
        <row r="1503">
          <cell r="A1503" t="str">
            <v>9901.09.31/01</v>
          </cell>
          <cell r="B1503" t="str">
            <v>Комод Танто 4 ящика Серый Графит/Тегола 800х853(h)х480</v>
          </cell>
          <cell r="D1503" t="str">
            <v>КОМОДЫ</v>
          </cell>
          <cell r="E1503" t="str">
            <v>СКГТ (ОЗОН)</v>
          </cell>
          <cell r="F1503" t="str">
            <v>Комод Танто 4 ящика</v>
          </cell>
          <cell r="G1503" t="str">
            <v>Серый Графит/Тегола</v>
          </cell>
          <cell r="H1503" t="str">
            <v>4620263155192</v>
          </cell>
          <cell r="I1503" t="str">
            <v>Основной ассортимент</v>
          </cell>
        </row>
        <row r="1504">
          <cell r="A1504" t="str">
            <v>6617.09.31/01</v>
          </cell>
          <cell r="B1504" t="str">
            <v>Фасад Танто ФТ 2шт. Серый Графит/Тегола 500х1992(h)х16/292х1992(h)х16</v>
          </cell>
          <cell r="D1504" t="str">
            <v>КОМОДЫ</v>
          </cell>
          <cell r="E1504" t="str">
            <v>СКГТ (ОЗОН)</v>
          </cell>
          <cell r="F1504" t="str">
            <v>Фасад Танто ФТ 2шт.</v>
          </cell>
          <cell r="G1504" t="str">
            <v>Серый Графит/Тегола</v>
          </cell>
          <cell r="H1504">
            <v>0</v>
          </cell>
          <cell r="I1504" t="str">
            <v>Основной ассортимент</v>
          </cell>
        </row>
        <row r="1505">
          <cell r="A1505" t="str">
            <v>6618.09.31/01</v>
          </cell>
          <cell r="B1505" t="str">
            <v>Фасад Танто ФТ 3шт. Серый Графит/Тегола 396х1992(h)х16</v>
          </cell>
          <cell r="D1505" t="str">
            <v>КОМОДЫ</v>
          </cell>
          <cell r="E1505" t="str">
            <v>СКГТ (ОЗОН)</v>
          </cell>
          <cell r="F1505" t="str">
            <v>Фасад Танто ФТ 3шт.</v>
          </cell>
          <cell r="G1505" t="str">
            <v>Серый Графит/Тегола</v>
          </cell>
          <cell r="H1505">
            <v>0</v>
          </cell>
          <cell r="I1505" t="str">
            <v>Основной ассортимент</v>
          </cell>
        </row>
        <row r="1506">
          <cell r="A1506">
            <v>3576</v>
          </cell>
          <cell r="B1506" t="str">
            <v>Стеллаж Quattro 8 секций Дуб Крафт золотой</v>
          </cell>
          <cell r="D1506" t="str">
            <v>СТЕЛЛАЖИ</v>
          </cell>
          <cell r="E1506">
            <v>0</v>
          </cell>
          <cell r="F1506" t="str">
            <v>Стеллаж Quattro 8 секций</v>
          </cell>
          <cell r="G1506" t="str">
            <v>Дуб Крафт Золотой</v>
          </cell>
          <cell r="H1506">
            <v>0</v>
          </cell>
          <cell r="I1506" t="str">
            <v>Основной ассортимент</v>
          </cell>
        </row>
        <row r="1507">
          <cell r="A1507">
            <v>94173</v>
          </cell>
          <cell r="B1507" t="str">
            <v>Стеллаж 6 секций Лайт Графит 1058*708*250</v>
          </cell>
          <cell r="D1507" t="str">
            <v>СТЕЛЛАЖИ</v>
          </cell>
          <cell r="E1507" t="str">
            <v>FBO</v>
          </cell>
          <cell r="F1507" t="str">
            <v>Стеллаж 6 секций Лайт</v>
          </cell>
          <cell r="G1507" t="str">
            <v>Графит</v>
          </cell>
          <cell r="H1507" t="str">
            <v>2521897953607</v>
          </cell>
          <cell r="I1507" t="str">
            <v>Основной ассортимент</v>
          </cell>
        </row>
        <row r="1508">
          <cell r="A1508" t="str">
            <v>20037.17/01</v>
          </cell>
          <cell r="B1508" t="str">
            <v>Комод Савона Лайт 5 ящиков Белая гладкая 500х1020(h)х324</v>
          </cell>
          <cell r="D1508" t="str">
            <v>КОМОДЫ</v>
          </cell>
          <cell r="E1508" t="str">
            <v>FBO</v>
          </cell>
          <cell r="F1508" t="str">
            <v>Комод Савона Лайт 5 ящиков</v>
          </cell>
          <cell r="G1508" t="str">
            <v>Белая гладкая</v>
          </cell>
          <cell r="H1508" t="str">
            <v>4620263155284</v>
          </cell>
          <cell r="I1508" t="str">
            <v>Основной ассортимент</v>
          </cell>
        </row>
        <row r="1509">
          <cell r="A1509" t="str">
            <v>MK000100201</v>
          </cell>
          <cell r="B1509" t="str">
            <v>Стеллаж Frame 2 ящика ЛДСП Белое тиснение, Черный металл</v>
          </cell>
          <cell r="D1509" t="str">
            <v>СТЕЛЛАЖИ</v>
          </cell>
          <cell r="E1509" t="str">
            <v>FBS</v>
          </cell>
          <cell r="F1509" t="str">
            <v>Стеллаж Frame 2 ящика</v>
          </cell>
          <cell r="G1509" t="str">
            <v xml:space="preserve">ЛДСП Белое тиснение, Черн. металл. </v>
          </cell>
          <cell r="H1509" t="str">
            <v>4660041006285</v>
          </cell>
          <cell r="I1509" t="str">
            <v>Основной ассортимент</v>
          </cell>
        </row>
        <row r="1510">
          <cell r="A1510" t="str">
            <v>20040.17/01</v>
          </cell>
          <cell r="B1510" t="str">
            <v>Комод Биркен Лайт с 3 ящ. и дверкой / Белая гладкая 500х1020(h)х324</v>
          </cell>
          <cell r="D1510" t="str">
            <v>КОМОДЫ</v>
          </cell>
          <cell r="E1510" t="str">
            <v>FBO</v>
          </cell>
          <cell r="F1510" t="str">
            <v>Комод Биркен Лайт с 3 ящ. и дверкой</v>
          </cell>
          <cell r="G1510" t="str">
            <v>Белая гладкая</v>
          </cell>
          <cell r="H1510" t="str">
            <v>4620263155789</v>
          </cell>
          <cell r="I1510" t="str">
            <v>Основной ассортимент</v>
          </cell>
        </row>
        <row r="1511">
          <cell r="A1511" t="str">
            <v>19005.09/01</v>
          </cell>
          <cell r="B1511" t="str">
            <v>Тумба под ТВ Шале Серый графит 1800х355(h)х254</v>
          </cell>
          <cell r="D1511" t="str">
            <v>ТУМБЫ под ТВ</v>
          </cell>
          <cell r="E1511" t="str">
            <v>FBO</v>
          </cell>
          <cell r="F1511" t="str">
            <v>Тумба под ТВ Шале</v>
          </cell>
          <cell r="G1511" t="str">
            <v>Серый Графит</v>
          </cell>
          <cell r="H1511" t="str">
            <v>4620263155512</v>
          </cell>
          <cell r="I1511" t="str">
            <v>Основной ассортимент</v>
          </cell>
        </row>
        <row r="1512">
          <cell r="A1512" t="str">
            <v>19005.32/01</v>
          </cell>
          <cell r="B1512" t="str">
            <v>Тумба под ТВ Шале Кашемир 1800х355(h)х254</v>
          </cell>
          <cell r="D1512" t="str">
            <v>ТУМБЫ под ТВ</v>
          </cell>
          <cell r="E1512" t="str">
            <v>FBO</v>
          </cell>
          <cell r="F1512" t="str">
            <v>Тумба под ТВ Шале</v>
          </cell>
          <cell r="G1512" t="str">
            <v>Кашемир</v>
          </cell>
          <cell r="H1512" t="str">
            <v>4620263155956</v>
          </cell>
          <cell r="I1512" t="str">
            <v>Основной ассортимент</v>
          </cell>
        </row>
        <row r="1513">
          <cell r="A1513" t="str">
            <v>19005.09.31/01</v>
          </cell>
          <cell r="B1513" t="str">
            <v>Тумба под ТВ Шале Серый графит/Тегола 1800х355(h)х254</v>
          </cell>
          <cell r="D1513" t="str">
            <v>ТУМБЫ под ТВ</v>
          </cell>
          <cell r="E1513" t="str">
            <v>FBO</v>
          </cell>
          <cell r="F1513" t="str">
            <v>Тумба под ТВ Шале</v>
          </cell>
          <cell r="G1513" t="str">
            <v>Серый Графит/Тегола</v>
          </cell>
          <cell r="H1513" t="str">
            <v>4620263155529</v>
          </cell>
          <cell r="I1513" t="str">
            <v>Основной ассортимент</v>
          </cell>
        </row>
        <row r="1514">
          <cell r="A1514" t="str">
            <v>3.19004.05</v>
          </cell>
          <cell r="B1514" t="str">
            <v>Парящая кровать Шале Макс сп/м 1600х2000 Дуб Крафт Золотой/ДСП16 мм Необлицованный 1742х754(h)х2040</v>
          </cell>
          <cell r="D1514" t="str">
            <v>КРОВАТИ</v>
          </cell>
          <cell r="E1514" t="str">
            <v>СКГТ (ОЗОН)</v>
          </cell>
          <cell r="F1514" t="str">
            <v>Парящая кровать Шале Макс сп/м 1600х2000</v>
          </cell>
          <cell r="G1514" t="str">
            <v>Дуб Крафт Золотой</v>
          </cell>
          <cell r="H1514" t="str">
            <v>4620263156588</v>
          </cell>
          <cell r="I1514" t="str">
            <v>Основной ассортимент</v>
          </cell>
        </row>
        <row r="1515">
          <cell r="A1515" t="str">
            <v>19004.05/01</v>
          </cell>
          <cell r="B1515" t="str">
            <v>Парящая кровать Шале Макс сп/м 1600х2000 Дуб Краф золотой 1742х754(h)х2040</v>
          </cell>
          <cell r="D1515" t="str">
            <v>КРОВАТИ</v>
          </cell>
          <cell r="E1515">
            <v>0</v>
          </cell>
          <cell r="F1515" t="str">
            <v>Парящая кровать Шале Макс сп/м 1600х2000</v>
          </cell>
          <cell r="G1515" t="str">
            <v>Дуб Крафт Золотой</v>
          </cell>
          <cell r="H1515">
            <v>0</v>
          </cell>
          <cell r="I1515" t="str">
            <v>Основной ассортимент</v>
          </cell>
        </row>
        <row r="1516">
          <cell r="A1516" t="str">
            <v>19001.05/02</v>
          </cell>
          <cell r="B1516" t="str">
            <v>Изножье, Царги,фурнитура/Парящая кровать Шале сп/м 1600х2000 Дуб Крафт золотой</v>
          </cell>
          <cell r="D1516" t="str">
            <v>КРОВАТИ</v>
          </cell>
          <cell r="E1516">
            <v>0</v>
          </cell>
          <cell r="F1516" t="str">
            <v>Парящая кровать Шале сп/м 1600х2000</v>
          </cell>
          <cell r="G1516" t="str">
            <v>Дуб Крафт Золотой</v>
          </cell>
          <cell r="H1516">
            <v>0</v>
          </cell>
          <cell r="I1516" t="str">
            <v>Основной ассортимент</v>
          </cell>
        </row>
        <row r="1517">
          <cell r="A1517">
            <v>3746</v>
          </cell>
          <cell r="B1517" t="str">
            <v>Стеллаж Zett 5 секций Белое тиснение 730х1446(h)х220</v>
          </cell>
          <cell r="D1517" t="str">
            <v>СТЕЛЛАЖИ</v>
          </cell>
          <cell r="E1517" t="str">
            <v>FBO</v>
          </cell>
          <cell r="F1517" t="str">
            <v>Стеллаж Zett 5 секций</v>
          </cell>
          <cell r="G1517" t="str">
            <v>Белое тиснение</v>
          </cell>
          <cell r="H1517" t="str">
            <v>4640219954815</v>
          </cell>
          <cell r="I1517" t="str">
            <v>Основной ассортимент</v>
          </cell>
        </row>
        <row r="1518">
          <cell r="A1518" t="str">
            <v>19001.09/02</v>
          </cell>
          <cell r="B1518" t="str">
            <v>Парящая кровать Шале сп/м 1600х2000 Серый Графит</v>
          </cell>
          <cell r="D1518" t="str">
            <v>КРОВАТИ</v>
          </cell>
          <cell r="E1518">
            <v>0</v>
          </cell>
          <cell r="F1518" t="str">
            <v>Парящая кровать Шале сп/м 1600х2000</v>
          </cell>
          <cell r="G1518" t="str">
            <v>Серый Графит</v>
          </cell>
          <cell r="H1518">
            <v>0</v>
          </cell>
          <cell r="I1518" t="str">
            <v>Основной ассортимент</v>
          </cell>
        </row>
        <row r="1519">
          <cell r="A1519" t="str">
            <v>19004.09/01</v>
          </cell>
          <cell r="B1519" t="str">
            <v>Изголовье/Парящая кровать Шале Макс сп/м 1600х2000 Серый Графит</v>
          </cell>
          <cell r="D1519" t="str">
            <v>КРОВАТИ</v>
          </cell>
          <cell r="E1519">
            <v>0</v>
          </cell>
          <cell r="F1519" t="str">
            <v>Парящая кровать Шале Макс сп/м</v>
          </cell>
          <cell r="G1519" t="str">
            <v>Серый Графит</v>
          </cell>
          <cell r="H1519">
            <v>0</v>
          </cell>
          <cell r="I1519" t="str">
            <v>Основной ассортимент</v>
          </cell>
        </row>
        <row r="1520">
          <cell r="A1520">
            <v>4117</v>
          </cell>
          <cell r="B1520" t="str">
            <v>Комод Веста Lite Крафт белый 782х599х294</v>
          </cell>
          <cell r="D1520" t="str">
            <v>КОМОДЫ</v>
          </cell>
          <cell r="E1520" t="str">
            <v>FBO</v>
          </cell>
          <cell r="F1520" t="str">
            <v>Комод Веста Lite</v>
          </cell>
          <cell r="G1520" t="str">
            <v>Крафт белый</v>
          </cell>
          <cell r="H1520" t="str">
            <v>2521897952985</v>
          </cell>
          <cell r="I1520" t="str">
            <v>Основной ассортимент</v>
          </cell>
        </row>
        <row r="1521">
          <cell r="A1521">
            <v>41142</v>
          </cell>
          <cell r="B1521" t="str">
            <v>Комод Веста Lite Черный 782х599х294</v>
          </cell>
          <cell r="D1521" t="str">
            <v>КОМОДЫ</v>
          </cell>
          <cell r="E1521" t="str">
            <v>FBO</v>
          </cell>
          <cell r="F1521" t="str">
            <v>Комод Веста Lite</v>
          </cell>
          <cell r="G1521" t="str">
            <v>Черный</v>
          </cell>
          <cell r="H1521" t="str">
            <v>2521897953184</v>
          </cell>
          <cell r="I1521" t="str">
            <v>Основной ассортимент</v>
          </cell>
        </row>
        <row r="1522">
          <cell r="A1522">
            <v>4115</v>
          </cell>
          <cell r="B1522" t="str">
            <v>Комод Веста Lite Бетон 782х599х294</v>
          </cell>
          <cell r="D1522" t="str">
            <v>КОМОДЫ</v>
          </cell>
          <cell r="E1522" t="str">
            <v>FBO</v>
          </cell>
          <cell r="F1522" t="str">
            <v>Комод Веста Lite</v>
          </cell>
          <cell r="G1522" t="str">
            <v>Бетон</v>
          </cell>
          <cell r="H1522" t="str">
            <v>2521897952983</v>
          </cell>
          <cell r="I1522" t="str">
            <v>Основной ассортимент</v>
          </cell>
        </row>
        <row r="1523">
          <cell r="A1523" t="str">
            <v>20035.17/01</v>
          </cell>
          <cell r="B1523" t="str">
            <v>Стеллаж Компакт 5 секций Белая гладкая ш849/в1757/г250</v>
          </cell>
          <cell r="D1523" t="str">
            <v>СТЕЛЛАЖИ</v>
          </cell>
          <cell r="E1523" t="str">
            <v>FBO</v>
          </cell>
          <cell r="F1523" t="str">
            <v>Стеллаж Компакт 5 секций</v>
          </cell>
          <cell r="G1523" t="str">
            <v>Белая гладкая</v>
          </cell>
          <cell r="H1523" t="str">
            <v>4620263156151</v>
          </cell>
          <cell r="I1523" t="str">
            <v>Основной ассортимент</v>
          </cell>
        </row>
        <row r="1524">
          <cell r="A1524">
            <v>3209</v>
          </cell>
          <cell r="B1524" t="str">
            <v>Стеллаж трансформер Белое тиснение</v>
          </cell>
          <cell r="D1524" t="str">
            <v>СТЕЛЛАЖИ</v>
          </cell>
          <cell r="E1524" t="str">
            <v>СКГТ (ОЗОН)</v>
          </cell>
          <cell r="F1524" t="str">
            <v>Стеллаж трансформер</v>
          </cell>
          <cell r="G1524" t="str">
            <v>Белое тиснение</v>
          </cell>
          <cell r="H1524" t="str">
            <v>2521897953328</v>
          </cell>
          <cell r="I1524" t="str">
            <v>Основной ассортимент</v>
          </cell>
        </row>
        <row r="1525">
          <cell r="A1525" t="str">
            <v>19005.06/01</v>
          </cell>
          <cell r="B1525" t="str">
            <v>Тумба под ТВ Шале Дуб Крафт белый 1800х355(h)х254</v>
          </cell>
          <cell r="D1525" t="str">
            <v>ТУМБЫ под ТВ</v>
          </cell>
          <cell r="E1525" t="str">
            <v>FBO</v>
          </cell>
          <cell r="F1525" t="str">
            <v>Тумба под ТВ Шале</v>
          </cell>
          <cell r="G1525" t="str">
            <v>Дуб Крафт белый</v>
          </cell>
          <cell r="H1525" t="str">
            <v>4620263155918</v>
          </cell>
          <cell r="I1525" t="str">
            <v>Основной ассортимент</v>
          </cell>
        </row>
        <row r="1526">
          <cell r="A1526" t="str">
            <v>19005.05./01</v>
          </cell>
          <cell r="B1526" t="str">
            <v>Тумба под ТВ Шале Дуб Крафт Золотой 1800х355(h)х254</v>
          </cell>
          <cell r="D1526" t="str">
            <v>ТУМБЫ под ТВ</v>
          </cell>
          <cell r="E1526" t="str">
            <v>FBO</v>
          </cell>
          <cell r="F1526" t="str">
            <v>Тумба под ТВ Шале</v>
          </cell>
          <cell r="G1526" t="str">
            <v>Дуб Крафт Золотой</v>
          </cell>
          <cell r="H1526" t="str">
            <v>4620263156113</v>
          </cell>
          <cell r="I1526" t="str">
            <v>Основной ассортимент</v>
          </cell>
        </row>
        <row r="1527">
          <cell r="A1527" t="str">
            <v>20150.09/01</v>
          </cell>
          <cell r="B1527" t="str">
            <v>Стеллаж Quattro Lite 8 секций Серый графит  710х1404(h)х251</v>
          </cell>
          <cell r="D1527" t="str">
            <v>СТЕЛЛАЖИ</v>
          </cell>
          <cell r="E1527" t="str">
            <v>FBO</v>
          </cell>
          <cell r="F1527" t="str">
            <v>Стеллаж Quattro Lite 8 секций</v>
          </cell>
          <cell r="G1527" t="str">
            <v>Серый графит</v>
          </cell>
          <cell r="H1527" t="str">
            <v>4620263156724</v>
          </cell>
          <cell r="I1527" t="str">
            <v>Основной ассортимент</v>
          </cell>
        </row>
        <row r="1528">
          <cell r="A1528" t="str">
            <v>19005.16.17/01</v>
          </cell>
          <cell r="B1528" t="str">
            <v>Тумба под ТВ Шале Дуб Крафт Табачный/Белая гладкая 1800х355(h)х254</v>
          </cell>
          <cell r="D1528" t="str">
            <v>ТУМБЫ под ТВ</v>
          </cell>
          <cell r="E1528" t="str">
            <v>FBO</v>
          </cell>
          <cell r="F1528" t="str">
            <v>Тумба под ТВ Шале</v>
          </cell>
          <cell r="G1528" t="str">
            <v>Дуб Крафт Табачный/Белая гладкая</v>
          </cell>
          <cell r="H1528" t="str">
            <v>4620263155925</v>
          </cell>
          <cell r="I1528" t="str">
            <v>Основной ассортимент</v>
          </cell>
        </row>
        <row r="1529">
          <cell r="A1529" t="str">
            <v>20054.17/01</v>
          </cell>
          <cell r="B1529" t="str">
            <v>Lego Letta 3 Белая гладкая 700х900(h)х470</v>
          </cell>
          <cell r="D1529" t="str">
            <v>ШКАФЫ</v>
          </cell>
          <cell r="E1529" t="str">
            <v xml:space="preserve">СКГТ </v>
          </cell>
          <cell r="F1529" t="str">
            <v>Lego Letta 3</v>
          </cell>
          <cell r="G1529" t="str">
            <v>Белая гладкая</v>
          </cell>
          <cell r="H1529" t="str">
            <v>4620263156939</v>
          </cell>
          <cell r="I1529" t="str">
            <v>Основной ассортимент</v>
          </cell>
        </row>
        <row r="1530">
          <cell r="A1530" t="str">
            <v>20055.17/01</v>
          </cell>
          <cell r="B1530" t="str">
            <v>Lego Letta 4 Белая гладкая 700х452(h)х470</v>
          </cell>
          <cell r="D1530" t="str">
            <v>ШКАФЫ</v>
          </cell>
          <cell r="E1530" t="str">
            <v>FBO</v>
          </cell>
          <cell r="F1530" t="str">
            <v>Lego Letta 4</v>
          </cell>
          <cell r="G1530" t="str">
            <v>Белая гладкая</v>
          </cell>
          <cell r="H1530" t="str">
            <v>4620263156182</v>
          </cell>
          <cell r="I1530" t="str">
            <v>Основной ассортимент</v>
          </cell>
        </row>
        <row r="1531">
          <cell r="A1531" t="str">
            <v>20052.17/01</v>
          </cell>
          <cell r="B1531" t="str">
            <v>Lego Letta 3 Белая гладкая 700х900(h)х470</v>
          </cell>
          <cell r="D1531" t="str">
            <v>ШКАФЫ</v>
          </cell>
          <cell r="E1531" t="str">
            <v>FBO</v>
          </cell>
          <cell r="F1531" t="str">
            <v>Lego Letta 3</v>
          </cell>
          <cell r="G1531" t="str">
            <v>Белая гладкая</v>
          </cell>
          <cell r="H1531" t="str">
            <v>4620263156175</v>
          </cell>
          <cell r="I1531" t="str">
            <v>Основной ассортимент</v>
          </cell>
        </row>
        <row r="1532">
          <cell r="A1532" t="str">
            <v>20053.17/01</v>
          </cell>
          <cell r="B1532" t="str">
            <v>Lego Letta 2 Белая гладкая 700х900(h)х454</v>
          </cell>
          <cell r="D1532" t="str">
            <v>ШКАФЫ</v>
          </cell>
          <cell r="E1532" t="str">
            <v xml:space="preserve">СКГТ </v>
          </cell>
          <cell r="F1532" t="str">
            <v>Lego Letta 2</v>
          </cell>
          <cell r="G1532" t="str">
            <v>Белая гладкая</v>
          </cell>
          <cell r="H1532" t="str">
            <v>4620263156922</v>
          </cell>
          <cell r="I1532" t="str">
            <v>Основной ассортимент</v>
          </cell>
        </row>
        <row r="1533">
          <cell r="A1533" t="str">
            <v>20058.17/01</v>
          </cell>
          <cell r="B1533" t="str">
            <v>Lego Letta 7 Белая гладкая 700х676(h)х470</v>
          </cell>
          <cell r="D1533" t="str">
            <v>ШКАФЫ</v>
          </cell>
          <cell r="E1533" t="str">
            <v>FBO</v>
          </cell>
          <cell r="F1533" t="str">
            <v>Lego Letta 7</v>
          </cell>
          <cell r="G1533" t="str">
            <v>Белая гладкая</v>
          </cell>
          <cell r="H1533" t="str">
            <v>4620263156205</v>
          </cell>
          <cell r="I1533" t="str">
            <v>Основной ассортимент</v>
          </cell>
        </row>
        <row r="1534">
          <cell r="A1534" t="str">
            <v>20044.17/01</v>
          </cell>
          <cell r="B1534" t="str">
            <v>Стол стеллаж Ultra Lite с дверкой Белая гладкая 1086х1382(h)х400</v>
          </cell>
          <cell r="D1534" t="str">
            <v>СТОЛЫ</v>
          </cell>
          <cell r="E1534" t="str">
            <v>FBS</v>
          </cell>
          <cell r="F1534" t="str">
            <v>Стол стеллаж Ultra Lite с дверкой</v>
          </cell>
          <cell r="G1534" t="str">
            <v>Белая гладкая</v>
          </cell>
          <cell r="H1534" t="str">
            <v>4620263156373</v>
          </cell>
          <cell r="I1534" t="str">
            <v>Основной ассортимент</v>
          </cell>
        </row>
        <row r="1535">
          <cell r="A1535" t="str">
            <v>MK1120202</v>
          </cell>
          <cell r="B1535" t="str">
            <v>Стол письменный Frame New с ящ., с полкой ЛДСП Белое тиснен., Белый. металл. 800х760(h)х510</v>
          </cell>
          <cell r="D1535" t="str">
            <v>СТОЛЫ</v>
          </cell>
          <cell r="E1535" t="str">
            <v>FBS</v>
          </cell>
          <cell r="F1535" t="str">
            <v>Стол письменный Frame New с ящ., с полкой</v>
          </cell>
          <cell r="G1535" t="str">
            <v>ЛДСП Белое тиснен., Белый. металл.</v>
          </cell>
          <cell r="H1535" t="str">
            <v>4620263157028</v>
          </cell>
          <cell r="I1535" t="str">
            <v>Основной ассортимент</v>
          </cell>
        </row>
        <row r="1536">
          <cell r="A1536" t="str">
            <v>19005.20/01</v>
          </cell>
          <cell r="B1536" t="str">
            <v>Тумба под ТВ Шале Цемент светлый 1800х355(h)х254</v>
          </cell>
          <cell r="D1536" t="str">
            <v>ТУМБЫ под ТВ</v>
          </cell>
          <cell r="E1536" t="str">
            <v>FBO</v>
          </cell>
          <cell r="F1536" t="str">
            <v>Тумба под ТВ Шале</v>
          </cell>
          <cell r="G1536" t="str">
            <v>Цемент светлый</v>
          </cell>
          <cell r="H1536" t="str">
            <v>4620263155932</v>
          </cell>
          <cell r="I1536" t="str">
            <v>Основной ассортимент</v>
          </cell>
        </row>
        <row r="1537">
          <cell r="A1537" t="str">
            <v>20056.17/01</v>
          </cell>
          <cell r="B1537" t="str">
            <v>Lego Letta 5 Белая гладкая 700х676(h)х470</v>
          </cell>
          <cell r="D1537" t="str">
            <v>ШКАФЫ</v>
          </cell>
          <cell r="E1537" t="str">
            <v>СКГТ (ОЗОН)</v>
          </cell>
          <cell r="F1537" t="str">
            <v>Lego Letta 5</v>
          </cell>
          <cell r="G1537" t="str">
            <v>Белая гладкая</v>
          </cell>
          <cell r="H1537" t="str">
            <v>4620263156199</v>
          </cell>
          <cell r="I1537" t="str">
            <v>Основной ассортимент</v>
          </cell>
        </row>
        <row r="1538">
          <cell r="A1538" t="str">
            <v>20048.17/01</v>
          </cell>
          <cell r="B1538" t="str">
            <v>Тумба под ТВ Zett 2 ящика Белая гладкая 1340х341(h)х286</v>
          </cell>
          <cell r="D1538" t="str">
            <v>ТУМБЫ под ТВ</v>
          </cell>
          <cell r="E1538" t="str">
            <v>FBO</v>
          </cell>
          <cell r="F1538" t="str">
            <v>Тумба под ТВ Zett 2 ящика</v>
          </cell>
          <cell r="G1538" t="str">
            <v>Белая гладкая</v>
          </cell>
          <cell r="H1538" t="str">
            <v>4620263156380</v>
          </cell>
          <cell r="I1538" t="str">
            <v>Основной ассортимент</v>
          </cell>
        </row>
        <row r="1539">
          <cell r="A1539" t="str">
            <v>20057.17/01</v>
          </cell>
          <cell r="B1539" t="str">
            <v>Lego Letta 6 Белая гладкая 700х452(h)х470</v>
          </cell>
          <cell r="D1539" t="str">
            <v>ШКАФЫ</v>
          </cell>
          <cell r="E1539" t="str">
            <v>FBO</v>
          </cell>
          <cell r="F1539" t="str">
            <v>Lego Letta 6</v>
          </cell>
          <cell r="G1539" t="str">
            <v>Белая гладкая</v>
          </cell>
          <cell r="H1539" t="str">
            <v>4620263156946</v>
          </cell>
          <cell r="I1539" t="str">
            <v>Основной ассортимент</v>
          </cell>
        </row>
        <row r="1540">
          <cell r="A1540" t="str">
            <v>20059.17/01</v>
          </cell>
          <cell r="B1540" t="str">
            <v>Lego Letta 8 Белая гладкая 700х900(h)х470</v>
          </cell>
          <cell r="D1540" t="str">
            <v>ШКАФЫ</v>
          </cell>
          <cell r="E1540" t="str">
            <v>СКГТ (ОЗОН)</v>
          </cell>
          <cell r="F1540" t="str">
            <v>Lego Letta 8</v>
          </cell>
          <cell r="G1540" t="str">
            <v>Белая гладкая</v>
          </cell>
          <cell r="H1540" t="str">
            <v>4620263156212</v>
          </cell>
          <cell r="I1540" t="str">
            <v>Основной ассортимент</v>
          </cell>
        </row>
        <row r="1541">
          <cell r="A1541" t="str">
            <v>20060.17/01</v>
          </cell>
          <cell r="B1541" t="str">
            <v>Lego Letta 9 Белая гладкая 668х450</v>
          </cell>
          <cell r="D1541" t="str">
            <v>ШКАФЫ</v>
          </cell>
          <cell r="E1541" t="str">
            <v>FBS</v>
          </cell>
          <cell r="F1541" t="str">
            <v>Lego Letta 9</v>
          </cell>
          <cell r="G1541" t="str">
            <v>Белая гладкая</v>
          </cell>
          <cell r="H1541" t="str">
            <v>4620263156229</v>
          </cell>
          <cell r="I1541" t="str">
            <v>Основной ассортимент</v>
          </cell>
        </row>
        <row r="1542">
          <cell r="A1542" t="str">
            <v>20061.17/01</v>
          </cell>
          <cell r="B1542" t="str">
            <v>Lego Letta 10 Белая гладкая 668х450</v>
          </cell>
          <cell r="D1542" t="str">
            <v>ШКАФЫ</v>
          </cell>
          <cell r="E1542" t="str">
            <v>FBS</v>
          </cell>
          <cell r="F1542" t="str">
            <v>Lego Letta 10</v>
          </cell>
          <cell r="G1542" t="str">
            <v>Белая гладкая</v>
          </cell>
          <cell r="H1542" t="str">
            <v>4620263156236</v>
          </cell>
          <cell r="I1542" t="str">
            <v>Основной ассортимент</v>
          </cell>
        </row>
        <row r="1543">
          <cell r="A1543" t="str">
            <v>20062.17/01</v>
          </cell>
          <cell r="B1543" t="str">
            <v>Lego Letta 11 Белая гладкая 358х900(h)х454</v>
          </cell>
          <cell r="D1543" t="str">
            <v>ШКАФЫ</v>
          </cell>
          <cell r="E1543" t="str">
            <v>FBO</v>
          </cell>
          <cell r="F1543" t="str">
            <v>Lego Letta 11</v>
          </cell>
          <cell r="G1543" t="str">
            <v>Белая гладкая</v>
          </cell>
          <cell r="H1543" t="str">
            <v>4620263156953</v>
          </cell>
          <cell r="I1543" t="str">
            <v>Основной ассортимент</v>
          </cell>
        </row>
        <row r="1544">
          <cell r="A1544" t="str">
            <v>20063.17/01</v>
          </cell>
          <cell r="B1544" t="str">
            <v>Lego Letta 12 Белая гладкая 450х900(h)х220</v>
          </cell>
          <cell r="D1544" t="str">
            <v>ШКАФЫ</v>
          </cell>
          <cell r="E1544" t="str">
            <v>FBO</v>
          </cell>
          <cell r="F1544" t="str">
            <v>Lego Letta 12</v>
          </cell>
          <cell r="G1544" t="str">
            <v>Белая гладкая</v>
          </cell>
          <cell r="H1544" t="str">
            <v>4620263156960</v>
          </cell>
          <cell r="I1544" t="str">
            <v>Основной ассортимент</v>
          </cell>
        </row>
        <row r="1545">
          <cell r="A1545" t="str">
            <v>20064.17/01</v>
          </cell>
          <cell r="B1545" t="str">
            <v>Lego Letta 13 Белая гладкая 700х452(h)х454</v>
          </cell>
          <cell r="D1545" t="str">
            <v>ШКАФЫ</v>
          </cell>
          <cell r="E1545" t="str">
            <v>FBS</v>
          </cell>
          <cell r="F1545" t="str">
            <v>Lego Letta 13</v>
          </cell>
          <cell r="G1545" t="str">
            <v>Белая гладкая</v>
          </cell>
          <cell r="H1545" t="str">
            <v>4620263156977</v>
          </cell>
          <cell r="I1545" t="str">
            <v>Основной ассортимент</v>
          </cell>
        </row>
        <row r="1546">
          <cell r="A1546" t="str">
            <v>20065.17/01</v>
          </cell>
          <cell r="B1546" t="str">
            <v>Lego Letta 14 Белая гладкая 700х896(h)х16</v>
          </cell>
          <cell r="D1546" t="str">
            <v>ШКАФЫ</v>
          </cell>
          <cell r="E1546" t="str">
            <v>FBO</v>
          </cell>
          <cell r="F1546" t="str">
            <v>Lego Letta 14</v>
          </cell>
          <cell r="G1546" t="str">
            <v>Белая гладкая</v>
          </cell>
          <cell r="H1546" t="str">
            <v>4620263156984</v>
          </cell>
          <cell r="I1546" t="str">
            <v>Основной ассортимент</v>
          </cell>
        </row>
        <row r="1547">
          <cell r="A1547" t="str">
            <v>3895.20/01</v>
          </cell>
          <cell r="B1547" t="str">
            <v>Система хранения Компакт 3 секции Цемент светлый молет 370х1135(h)х240</v>
          </cell>
          <cell r="D1547" t="str">
            <v>ШКАФЫ</v>
          </cell>
          <cell r="E1547" t="str">
            <v>FBO</v>
          </cell>
          <cell r="F1547" t="str">
            <v>Система хранения Компакт 3 секции</v>
          </cell>
          <cell r="G1547" t="str">
            <v>Цемент светлый молет</v>
          </cell>
          <cell r="H1547" t="str">
            <v>4620263156519</v>
          </cell>
          <cell r="I1547" t="str">
            <v>Основной ассортимент</v>
          </cell>
        </row>
        <row r="1548">
          <cell r="A1548" t="str">
            <v>3894.20/01</v>
          </cell>
          <cell r="B1548" t="str">
            <v>Система хранения Компакт 4 секции Цемент светлый молет 740х765(h)х240</v>
          </cell>
          <cell r="D1548" t="str">
            <v>ШКАФЫ</v>
          </cell>
          <cell r="E1548" t="str">
            <v>FBO</v>
          </cell>
          <cell r="F1548" t="str">
            <v>Система хранения Компакт 4 секции</v>
          </cell>
          <cell r="G1548" t="str">
            <v>Цемент светлый молет</v>
          </cell>
          <cell r="H1548" t="str">
            <v>4620263156441</v>
          </cell>
          <cell r="I1548" t="str">
            <v>Основной ассортимент</v>
          </cell>
        </row>
        <row r="1549">
          <cell r="A1549" t="str">
            <v>20150.02/01</v>
          </cell>
          <cell r="B1549" t="str">
            <v>Стеллаж Quattro Lite 8 секций Белое тиснение 710х1404(h)х250</v>
          </cell>
          <cell r="D1549" t="str">
            <v>СТЕЛЛАЖИ</v>
          </cell>
          <cell r="E1549" t="str">
            <v>FBO</v>
          </cell>
          <cell r="F1549" t="str">
            <v>Стеллаж Quattro Lite 8 секций</v>
          </cell>
          <cell r="G1549" t="str">
            <v>Белое тиснение</v>
          </cell>
          <cell r="H1549" t="str">
            <v>4620263156670</v>
          </cell>
          <cell r="I1549" t="str">
            <v>Основной ассортимент</v>
          </cell>
        </row>
        <row r="1550">
          <cell r="A1550" t="str">
            <v>20150.03/01</v>
          </cell>
          <cell r="B1550" t="str">
            <v>Стеллаж Quattro Lite 8 секций Дуб сонома 710х1404(h)х250</v>
          </cell>
          <cell r="D1550" t="str">
            <v>СТЕЛЛАЖИ</v>
          </cell>
          <cell r="E1550" t="str">
            <v>FBO</v>
          </cell>
          <cell r="F1550" t="str">
            <v>Стеллаж Quattro Lite 8 секций</v>
          </cell>
          <cell r="G1550" t="str">
            <v>Дуб сонома</v>
          </cell>
          <cell r="H1550" t="str">
            <v>4620263156717</v>
          </cell>
          <cell r="I1550" t="str">
            <v>Основной ассортимент</v>
          </cell>
        </row>
        <row r="1551">
          <cell r="A1551" t="str">
            <v>20150.05/01</v>
          </cell>
          <cell r="B1551" t="str">
            <v>Стеллаж Quattro Lite 8 секций Дуб Крафт золотой 710х1404(h)х250</v>
          </cell>
          <cell r="D1551" t="str">
            <v>СТЕЛЛАЖИ</v>
          </cell>
          <cell r="E1551" t="str">
            <v>FBO</v>
          </cell>
          <cell r="F1551" t="str">
            <v>Стеллаж Quattro Lite 8 секций</v>
          </cell>
          <cell r="G1551" t="str">
            <v>Дуб Крафт золотой</v>
          </cell>
          <cell r="H1551" t="str">
            <v>4620263156809</v>
          </cell>
          <cell r="I1551" t="str">
            <v>Основной ассортимент</v>
          </cell>
        </row>
        <row r="1552">
          <cell r="A1552" t="str">
            <v>20150.06/01</v>
          </cell>
          <cell r="B1552" t="str">
            <v>Стеллаж Quattro Lite 8 секций Дуб Крафт Белый 710х1404(h)х250</v>
          </cell>
          <cell r="D1552" t="str">
            <v>СТЕЛЛАЖИ</v>
          </cell>
          <cell r="E1552" t="str">
            <v>FBO</v>
          </cell>
          <cell r="F1552" t="str">
            <v>Стеллаж Quattro Lite 8 секций</v>
          </cell>
          <cell r="G1552" t="str">
            <v>Дуб Крафт Белый</v>
          </cell>
          <cell r="H1552" t="str">
            <v>4620263156816</v>
          </cell>
          <cell r="I1552" t="str">
            <v>Основной ассортимент</v>
          </cell>
        </row>
        <row r="1553">
          <cell r="A1553" t="str">
            <v>20150.11/01</v>
          </cell>
          <cell r="B1553" t="str">
            <v>Стеллаж Quattro Lite 8 секций Венге 710х1404(h)х250</v>
          </cell>
          <cell r="D1553" t="str">
            <v>СТЕЛЛАЖИ</v>
          </cell>
          <cell r="E1553" t="str">
            <v>FBO</v>
          </cell>
          <cell r="F1553" t="str">
            <v>Стеллаж Quattro Lite 8 секций</v>
          </cell>
          <cell r="G1553" t="str">
            <v>Венге</v>
          </cell>
          <cell r="H1553" t="str">
            <v>4620263156823</v>
          </cell>
          <cell r="I1553" t="str">
            <v>Основной ассортимент</v>
          </cell>
        </row>
        <row r="1554">
          <cell r="A1554" t="str">
            <v>20150.20/01</v>
          </cell>
          <cell r="B1554" t="str">
            <v>Стеллаж Quattro Lite 8 секций Цемент светлый  710х1404(h)х250</v>
          </cell>
          <cell r="D1554" t="str">
            <v>СТЕЛЛАЖИ</v>
          </cell>
          <cell r="E1554" t="str">
            <v>FBO</v>
          </cell>
          <cell r="F1554" t="str">
            <v>Стеллаж Quattro Lite 8 секций</v>
          </cell>
          <cell r="G1554" t="str">
            <v>Цемент светлый</v>
          </cell>
          <cell r="H1554" t="str">
            <v>4620263156830</v>
          </cell>
          <cell r="I1554" t="str">
            <v>Основной ассортимент</v>
          </cell>
        </row>
        <row r="1555">
          <cell r="A1555">
            <v>5480</v>
          </cell>
          <cell r="B1555" t="str">
            <v>Стол рабочий Jazz Венге NEW 1046*1075*490</v>
          </cell>
          <cell r="D1555" t="str">
            <v>СТОЛЫ</v>
          </cell>
          <cell r="E1555" t="str">
            <v>FBO</v>
          </cell>
          <cell r="F1555" t="str">
            <v>Стол рабочий Jazz</v>
          </cell>
          <cell r="G1555" t="str">
            <v>Венге</v>
          </cell>
          <cell r="H1555" t="str">
            <v>2521897953301</v>
          </cell>
          <cell r="I1555" t="str">
            <v>Основной ассортимент</v>
          </cell>
        </row>
        <row r="1556">
          <cell r="A1556" t="str">
            <v>3893.20/01</v>
          </cell>
          <cell r="B1556" t="str">
            <v>Система хранения Компакт 2 секции Цемент светлый молет 370х765(h)х240</v>
          </cell>
          <cell r="D1556" t="str">
            <v>ШКАФЫ</v>
          </cell>
          <cell r="E1556" t="str">
            <v>FBO</v>
          </cell>
          <cell r="F1556" t="str">
            <v>Система хранения Компакт 2 секции</v>
          </cell>
          <cell r="G1556" t="str">
            <v>Цемент светлый молет</v>
          </cell>
          <cell r="H1556" t="str">
            <v>4620263156359</v>
          </cell>
          <cell r="I1556" t="str">
            <v>Основной ассортимент</v>
          </cell>
        </row>
        <row r="1557">
          <cell r="A1557">
            <v>41149</v>
          </cell>
          <cell r="B1557" t="str">
            <v>Комод Веста Lite Цемент светлый молет 599х782(h)х298</v>
          </cell>
          <cell r="D1557" t="str">
            <v>КОМОДЫ</v>
          </cell>
          <cell r="E1557" t="str">
            <v>FBO</v>
          </cell>
          <cell r="F1557" t="str">
            <v>Комод Веста Lite</v>
          </cell>
          <cell r="G1557" t="str">
            <v>Цемент светлый молет</v>
          </cell>
          <cell r="H1557" t="str">
            <v>4620263153037</v>
          </cell>
          <cell r="I1557" t="str">
            <v>Основной ассортимент</v>
          </cell>
        </row>
        <row r="1558">
          <cell r="A1558" t="str">
            <v>3871.09/01</v>
          </cell>
          <cell r="B1558" t="str">
            <v>Обувница Сити с вырезами 4 секции подвесная Серый Графит 962х802(h)х170</v>
          </cell>
          <cell r="D1558" t="str">
            <v>ОБУВНИЦЫ</v>
          </cell>
          <cell r="E1558" t="str">
            <v>FBO</v>
          </cell>
          <cell r="F1558" t="str">
            <v>Обувница Сити с вырезами 4 секции подвесная</v>
          </cell>
          <cell r="G1558" t="str">
            <v>Серый Графит</v>
          </cell>
          <cell r="H1558" t="str">
            <v>4640219955843</v>
          </cell>
          <cell r="I1558" t="str">
            <v>Основной ассортимент</v>
          </cell>
        </row>
        <row r="1559">
          <cell r="A1559" t="str">
            <v>4168.17/01</v>
          </cell>
          <cell r="B1559" t="str">
            <v>Комплект прихожей Рокки Белая гладкая 1000х1900(h)х358</v>
          </cell>
          <cell r="D1559" t="str">
            <v>ПРИХОЖАЯ</v>
          </cell>
          <cell r="E1559" t="str">
            <v>СКГТ (ОЗОН)</v>
          </cell>
          <cell r="F1559" t="str">
            <v>Комплект прихожей Рокки</v>
          </cell>
          <cell r="G1559" t="str">
            <v>Белая гладкая</v>
          </cell>
          <cell r="H1559" t="str">
            <v>4620263157233</v>
          </cell>
          <cell r="I1559" t="str">
            <v>Основной ассортимент</v>
          </cell>
        </row>
        <row r="1560">
          <cell r="A1560" t="str">
            <v>6017к</v>
          </cell>
          <cell r="B1560" t="str">
            <v xml:space="preserve"> Шкаф ШК 5 (1600) Белый текстурный</v>
          </cell>
          <cell r="D1560" t="str">
            <v>ШКАФЫ</v>
          </cell>
          <cell r="E1560">
            <v>0</v>
          </cell>
          <cell r="F1560" t="str">
            <v xml:space="preserve">Шкаф ШК 5 (1600) </v>
          </cell>
          <cell r="G1560" t="str">
            <v>Белый текстурный</v>
          </cell>
          <cell r="H1560" t="str">
            <v>2000848434013</v>
          </cell>
          <cell r="I1560" t="str">
            <v>Основной ассортимент</v>
          </cell>
        </row>
        <row r="1561">
          <cell r="A1561" t="str">
            <v>6015к</v>
          </cell>
          <cell r="B1561" t="str">
            <v xml:space="preserve"> Шкаф ШК 5 (1200) Графит серый</v>
          </cell>
          <cell r="D1561" t="str">
            <v>ШКАФЫ</v>
          </cell>
          <cell r="E1561">
            <v>0</v>
          </cell>
          <cell r="F1561" t="str">
            <v xml:space="preserve"> Шкаф ШК 5 (1200)</v>
          </cell>
          <cell r="G1561" t="str">
            <v>Графит серый</v>
          </cell>
          <cell r="H1561" t="str">
            <v>2000848434012</v>
          </cell>
          <cell r="I1561" t="str">
            <v>Основной ассортимент</v>
          </cell>
        </row>
        <row r="1562">
          <cell r="A1562" t="str">
            <v>19005.25/01</v>
          </cell>
          <cell r="B1562" t="str">
            <v>Тумба под ТВ Шале Цемент темный молет 1800х355(h)х254</v>
          </cell>
          <cell r="D1562" t="str">
            <v>ТУМБЫ под ТВ</v>
          </cell>
          <cell r="E1562" t="str">
            <v>FBO</v>
          </cell>
          <cell r="F1562" t="str">
            <v>Тумба под ТВ Шале</v>
          </cell>
          <cell r="G1562" t="str">
            <v>Цемент темный молет</v>
          </cell>
          <cell r="H1562">
            <v>0</v>
          </cell>
          <cell r="I1562" t="str">
            <v>Основной ассортимент</v>
          </cell>
        </row>
        <row r="1563">
          <cell r="A1563" t="str">
            <v>20152.02/01</v>
          </cell>
          <cell r="B1563" t="str">
            <v>Тумба под ТВ Лофт Нео Белое Тиснение 1598х584(h)х400</v>
          </cell>
          <cell r="D1563" t="str">
            <v>ТУМБЫ под ТВ</v>
          </cell>
          <cell r="E1563" t="str">
            <v>СКГТ (ОЗОН)</v>
          </cell>
          <cell r="F1563" t="str">
            <v>Тумба под ТВ Лофт Нео</v>
          </cell>
          <cell r="G1563" t="str">
            <v>Белое Тиснение</v>
          </cell>
          <cell r="H1563" t="str">
            <v>4620263157011</v>
          </cell>
          <cell r="I1563" t="str">
            <v>Основной ассортимент</v>
          </cell>
        </row>
        <row r="1564">
          <cell r="A1564" t="str">
            <v>20153.02/01</v>
          </cell>
          <cell r="B1564" t="str">
            <v>Тумба под ТВ Loft Хьюге Белое Тиснение 1090х477(h)350</v>
          </cell>
          <cell r="D1564" t="str">
            <v>ТУМБЫ под ТВ</v>
          </cell>
          <cell r="E1564" t="str">
            <v>FBO</v>
          </cell>
          <cell r="F1564" t="str">
            <v>Тумба под ТВ Loft Хьюге</v>
          </cell>
          <cell r="G1564" t="str">
            <v>Белое Тиснение</v>
          </cell>
          <cell r="H1564" t="str">
            <v>4620263157035</v>
          </cell>
          <cell r="I1564" t="str">
            <v>Основной ассортимент</v>
          </cell>
        </row>
        <row r="1565">
          <cell r="A1565" t="str">
            <v>20154.09Ф/01</v>
          </cell>
          <cell r="B1565" t="str">
            <v>Тумба под ТВ Меллис Серый Графит/Фотопечать 1800х313(h)250</v>
          </cell>
          <cell r="D1565" t="str">
            <v>ТУМБЫ под ТВ</v>
          </cell>
          <cell r="E1565" t="str">
            <v>FBO</v>
          </cell>
          <cell r="F1565" t="str">
            <v>Тумба под ТВ Меллис</v>
          </cell>
          <cell r="G1565" t="str">
            <v>Серый Графит/Фотопечать</v>
          </cell>
          <cell r="H1565" t="str">
            <v>2045030525725</v>
          </cell>
          <cell r="I1565" t="str">
            <v>Основной ассортимент</v>
          </cell>
        </row>
        <row r="1566">
          <cell r="A1566" t="str">
            <v>20044.06/01</v>
          </cell>
          <cell r="B1566" t="str">
            <v>Стол стеллаж Ultra Lite с дверкой Дуб Крафт белый 1086х1382(h)х400</v>
          </cell>
          <cell r="D1566" t="str">
            <v>СТОЛЫ</v>
          </cell>
          <cell r="E1566" t="str">
            <v>FBS</v>
          </cell>
          <cell r="H1566" t="str">
            <v>4620263157103</v>
          </cell>
          <cell r="I1566" t="str">
            <v>Основной ассортимент</v>
          </cell>
        </row>
        <row r="1567">
          <cell r="A1567" t="str">
            <v>20044.05/01</v>
          </cell>
          <cell r="B1567" t="str">
            <v>Стол стеллаж Ultra Lite с дверкой Дуб Крафт Золотой 1086х1382(h)х400</v>
          </cell>
          <cell r="D1567" t="str">
            <v>СТОЛЫ</v>
          </cell>
          <cell r="E1567" t="str">
            <v>FBS</v>
          </cell>
          <cell r="H1567" t="str">
            <v>4620263157097</v>
          </cell>
          <cell r="I1567" t="str">
            <v>Основной ассортимент</v>
          </cell>
        </row>
        <row r="1568">
          <cell r="A1568" t="str">
            <v>20044.09/01</v>
          </cell>
          <cell r="B1568" t="str">
            <v>Стол стеллаж Ultra Lite с дверкой Серый Графит 1086х1382(h)х400</v>
          </cell>
          <cell r="D1568" t="str">
            <v>СТОЛЫ</v>
          </cell>
          <cell r="E1568" t="str">
            <v>FBS</v>
          </cell>
          <cell r="H1568" t="str">
            <v>4620263157165</v>
          </cell>
          <cell r="I1568" t="str">
            <v>Основной ассортимент</v>
          </cell>
        </row>
        <row r="1569">
          <cell r="A1569" t="str">
            <v>20048.06/01</v>
          </cell>
          <cell r="B1569" t="str">
            <v>Тумба под ТВ Zett 2 ящика Дуб Крафт белый 1340х341(h)х286</v>
          </cell>
          <cell r="D1569" t="str">
            <v>ТУМБЫ под ТВ</v>
          </cell>
          <cell r="E1569" t="str">
            <v>FBO</v>
          </cell>
          <cell r="H1569" t="str">
            <v>4620263157172</v>
          </cell>
          <cell r="I1569" t="str">
            <v>Основной ассортимент</v>
          </cell>
        </row>
        <row r="1570">
          <cell r="A1570" t="str">
            <v>20048.05/01</v>
          </cell>
          <cell r="B1570" t="str">
            <v>Тумба под ТВ Zett 2 ящика Дуб Крафт Золотой 1340х341(h)х286</v>
          </cell>
          <cell r="D1570" t="str">
            <v>ТУМБЫ под ТВ</v>
          </cell>
          <cell r="E1570" t="str">
            <v>FBO</v>
          </cell>
          <cell r="H1570" t="str">
            <v>4620263157189</v>
          </cell>
          <cell r="I1570" t="str">
            <v>Основной ассортимент</v>
          </cell>
        </row>
        <row r="1571">
          <cell r="A1571" t="str">
            <v>20048.09/01</v>
          </cell>
          <cell r="B1571" t="str">
            <v>Тумба под ТВ Zett 2 ящика Серый Графит 1340х341(h)х286</v>
          </cell>
          <cell r="D1571" t="str">
            <v>ТУМБЫ под ТВ</v>
          </cell>
          <cell r="E1571" t="str">
            <v>FBO</v>
          </cell>
          <cell r="H1571" t="str">
            <v>4620263157196</v>
          </cell>
          <cell r="I1571" t="str">
            <v>Основной ассортимент</v>
          </cell>
        </row>
        <row r="1572">
          <cell r="A1572" t="str">
            <v>MK000102001</v>
          </cell>
          <cell r="B1572" t="str">
            <v>Стеллаж Frame 2 ящика ЛДСП Цемент светл.вельвет,Черный металл.670х1442(h)х304</v>
          </cell>
          <cell r="D1572" t="str">
            <v>СТЕЛЛАЖИ</v>
          </cell>
          <cell r="E1572">
            <v>0</v>
          </cell>
          <cell r="F1572" t="str">
            <v>Стеллаж Frame 2 ящика</v>
          </cell>
          <cell r="G1572" t="str">
            <v>Цемент светл.вельвет,черн.металл</v>
          </cell>
          <cell r="H1572">
            <v>0</v>
          </cell>
          <cell r="I1572" t="str">
            <v>Основной ассортимент</v>
          </cell>
        </row>
        <row r="1573">
          <cell r="A1573">
            <v>3731</v>
          </cell>
          <cell r="B1573" t="str">
            <v>Стол рабочий Ultra комбинированный Серый Графит/Ателье светлое 1201х754(h)х450</v>
          </cell>
          <cell r="D1573" t="str">
            <v>СТОЛЫ</v>
          </cell>
          <cell r="E1573">
            <v>0</v>
          </cell>
          <cell r="F1573" t="str">
            <v>Стол рабочий Ultra комбинированный</v>
          </cell>
          <cell r="G1573" t="str">
            <v>Графит/Ателье светлое</v>
          </cell>
          <cell r="H1573">
            <v>0</v>
          </cell>
          <cell r="I1573" t="str">
            <v>Основной ассортимент</v>
          </cell>
        </row>
        <row r="1574">
          <cell r="A1574">
            <v>3732</v>
          </cell>
          <cell r="B1574" t="str">
            <v>Стол рабочий Ultra комбинированный/Левое исполнение Дуб сонома/Белое тиснение 1201х754(h)х450</v>
          </cell>
          <cell r="D1574" t="str">
            <v>СТОЛЫ</v>
          </cell>
          <cell r="E1574">
            <v>0</v>
          </cell>
          <cell r="F1574" t="str">
            <v>Стол рабочий Ultra комбинированный/Левое исполнение</v>
          </cell>
          <cell r="G1574" t="str">
            <v>дуб сонома/белое тиснение</v>
          </cell>
          <cell r="H1574">
            <v>0</v>
          </cell>
          <cell r="I1574" t="str">
            <v>Основной ассортимент</v>
          </cell>
        </row>
        <row r="1575">
          <cell r="A1575">
            <v>3788</v>
          </cell>
          <cell r="B1575" t="str">
            <v>Стол рабочий Ultra комбинированный/Левое исполнение Серый Графит/Ателье светлое 1201х754(h)х450</v>
          </cell>
          <cell r="D1575" t="str">
            <v>СТОЛЫ</v>
          </cell>
          <cell r="E1575">
            <v>0</v>
          </cell>
          <cell r="F1575" t="str">
            <v>Стол рабочий Ultra комбинированный/Левое исполнение</v>
          </cell>
          <cell r="G1575" t="str">
            <v>Графит/Ателье светлое</v>
          </cell>
          <cell r="H1575">
            <v>0</v>
          </cell>
          <cell r="I1575" t="str">
            <v>Основной ассортимент</v>
          </cell>
        </row>
        <row r="1576">
          <cell r="A1576">
            <v>3562</v>
          </cell>
          <cell r="B1576" t="str">
            <v>Стол рабочий Ultra комбинированный Дуб сонома/Белое тиснение</v>
          </cell>
          <cell r="D1576" t="str">
            <v>СТОЛЫ</v>
          </cell>
          <cell r="E1576">
            <v>0</v>
          </cell>
          <cell r="F1576" t="str">
            <v>Стол рабочий Ultra комбинированный</v>
          </cell>
          <cell r="G1576" t="str">
            <v>дуб сонома/белое тиснение</v>
          </cell>
          <cell r="H1576">
            <v>0</v>
          </cell>
          <cell r="I1576" t="str">
            <v>Основной ассортимент</v>
          </cell>
        </row>
        <row r="1577">
          <cell r="A1577">
            <v>3730</v>
          </cell>
          <cell r="B1577" t="str">
            <v>Стол рабочий Ultra комбинированный Дуб Вотан/Антрацит 1201х754(h)х450</v>
          </cell>
          <cell r="D1577" t="str">
            <v>СТОЛЫ</v>
          </cell>
          <cell r="E1577">
            <v>0</v>
          </cell>
          <cell r="F1577" t="str">
            <v>Стол рабочий Ultra комбинированный</v>
          </cell>
          <cell r="G1577" t="str">
            <v>Дуб Вотан/Антрацит</v>
          </cell>
          <cell r="H1577">
            <v>0</v>
          </cell>
          <cell r="I1577" t="str">
            <v>Основной ассортимент</v>
          </cell>
        </row>
        <row r="1578">
          <cell r="A1578">
            <v>3879</v>
          </cell>
          <cell r="B1578" t="str">
            <v>Шкаф стеллаж детский Белое гладкое 780х1100(h)х292</v>
          </cell>
          <cell r="D1578" t="str">
            <v>СТЕЛЛАЖИ</v>
          </cell>
          <cell r="E1578">
            <v>0</v>
          </cell>
          <cell r="F1578" t="str">
            <v>Шкаф стеллаж детский</v>
          </cell>
          <cell r="G1578" t="str">
            <v>Белая гладкая</v>
          </cell>
          <cell r="H1578">
            <v>0</v>
          </cell>
          <cell r="I1578" t="str">
            <v>Основной ассортимент</v>
          </cell>
        </row>
        <row r="1579">
          <cell r="A1579" t="str">
            <v>MK1442501</v>
          </cell>
          <cell r="B1579" t="str">
            <v>Стеллаж Frame комбинирован. ЛДСП Цемент темный молет, Черн. металл.712х1550(h)х278</v>
          </cell>
          <cell r="D1579" t="str">
            <v>СТЕЛЛАЖИ</v>
          </cell>
          <cell r="E1579">
            <v>0</v>
          </cell>
          <cell r="F1579" t="str">
            <v>Стеллаж Frame комбинирован.  712х1550(h)х278</v>
          </cell>
          <cell r="G1579" t="str">
            <v xml:space="preserve">ЛДСП Цемент темный молет, Черн. металл. </v>
          </cell>
          <cell r="H1579">
            <v>0</v>
          </cell>
          <cell r="I1579" t="str">
            <v>Основной ассортимент</v>
          </cell>
        </row>
        <row r="1580">
          <cell r="A1580" t="str">
            <v>MK1440601</v>
          </cell>
          <cell r="B1580" t="str">
            <v>Стеллаж Frame комбинирован. ЛДСП Дуб Крафт Белый, Черн. металл. 712х1550(h)х278</v>
          </cell>
          <cell r="D1580" t="str">
            <v>СТЕЛЛАЖИ</v>
          </cell>
          <cell r="E1580">
            <v>0</v>
          </cell>
          <cell r="F1580" t="str">
            <v>Стеллаж Frame комбинирован.  712х1550(h)х278</v>
          </cell>
          <cell r="G1580" t="str">
            <v>ЛДСП Дуб Крафт белый, Черн. металл.</v>
          </cell>
          <cell r="H1580">
            <v>0</v>
          </cell>
          <cell r="I1580" t="str">
            <v>Основной ассортимент</v>
          </cell>
        </row>
        <row r="1581">
          <cell r="A1581" t="str">
            <v>MK1832501</v>
          </cell>
          <cell r="B1581" t="str">
            <v>Шкаф комод Frame 4х дверный ЛДСП Цемент темный молет, Черн. металл. 700х910(h)х300</v>
          </cell>
          <cell r="D1581" t="str">
            <v>КОМОДЫ</v>
          </cell>
          <cell r="E1581">
            <v>0</v>
          </cell>
          <cell r="F1581" t="str">
            <v xml:space="preserve"> Шкаф комод Frame 4х дверный</v>
          </cell>
          <cell r="G1581" t="str">
            <v xml:space="preserve">ЛДСП Цемент темный молет, Черн. металл. </v>
          </cell>
          <cell r="H1581">
            <v>0</v>
          </cell>
          <cell r="I1581" t="str">
            <v>Основной ассортимент</v>
          </cell>
        </row>
        <row r="1582">
          <cell r="A1582" t="str">
            <v>MK1830601</v>
          </cell>
          <cell r="B1582" t="str">
            <v>Шкаф комод Frame 4х дверный ЛДСП Дуб Крафт Белый, Черн. металл. 700х910(h)х300</v>
          </cell>
          <cell r="D1582" t="str">
            <v>КОМОДЫ</v>
          </cell>
          <cell r="E1582">
            <v>0</v>
          </cell>
          <cell r="F1582" t="str">
            <v xml:space="preserve"> Шкаф комод Frame 4х дверный</v>
          </cell>
          <cell r="G1582" t="str">
            <v>ЛДСП Дуб Крафт белый, Черн. металл.</v>
          </cell>
          <cell r="H1582">
            <v>0</v>
          </cell>
          <cell r="I1582" t="str">
            <v>Основной ассортимент</v>
          </cell>
        </row>
        <row r="1583">
          <cell r="A1583">
            <v>3876</v>
          </cell>
          <cell r="B1583" t="str">
            <v>Стеллаж в детскую для книг и игрушек Белое гладкое 642х848(h)х288</v>
          </cell>
          <cell r="D1583" t="str">
            <v>СТЕЛЛАЖИ</v>
          </cell>
          <cell r="E1583">
            <v>0</v>
          </cell>
          <cell r="F1583" t="str">
            <v>Стеллаж в детскую для книг и игрушек</v>
          </cell>
          <cell r="G1583" t="str">
            <v>Белая гладкая</v>
          </cell>
          <cell r="H1583">
            <v>0</v>
          </cell>
          <cell r="I1583" t="str">
            <v>Основной ассортимент</v>
          </cell>
        </row>
        <row r="1584">
          <cell r="A1584">
            <v>3874</v>
          </cell>
          <cell r="B1584" t="str">
            <v>Стеллаж открытый 5 секций универсальный Белое гладкое 670х880(h)402</v>
          </cell>
          <cell r="D1584" t="str">
            <v>СТЕЛЛАЖИ</v>
          </cell>
          <cell r="E1584">
            <v>0</v>
          </cell>
          <cell r="F1584" t="str">
            <v>Стеллаж открытый 5 секций универсальный</v>
          </cell>
          <cell r="G1584" t="str">
            <v>Белая гладкая</v>
          </cell>
          <cell r="H1584">
            <v>0</v>
          </cell>
          <cell r="I1584" t="str">
            <v>Основной ассортимент</v>
          </cell>
        </row>
        <row r="1585">
          <cell r="A1585">
            <v>3877</v>
          </cell>
          <cell r="B1585" t="str">
            <v>Стол универсальный Tokyo Белое гладкое 780х900(h)х504</v>
          </cell>
          <cell r="D1585" t="str">
            <v>СТОЛЫ</v>
          </cell>
          <cell r="E1585">
            <v>0</v>
          </cell>
          <cell r="F1585" t="str">
            <v>Стол универсальный Tokyo</v>
          </cell>
          <cell r="G1585" t="str">
            <v>Белая гладкая</v>
          </cell>
          <cell r="H1585">
            <v>0</v>
          </cell>
          <cell r="I1585" t="str">
            <v>Основной ассортимент</v>
          </cell>
        </row>
        <row r="1586">
          <cell r="A1586">
            <v>3650</v>
          </cell>
          <cell r="B1586" t="str">
            <v>Стол универсальный Tokyo Дуб Вотан/Антрацит 780х900(h)х504</v>
          </cell>
          <cell r="D1586" t="str">
            <v>СТОЛЫ</v>
          </cell>
          <cell r="E1586">
            <v>0</v>
          </cell>
          <cell r="F1586" t="str">
            <v>Стол универсальный Tokyo</v>
          </cell>
          <cell r="G1586" t="str">
            <v>Дуб Вотан/Антрацит</v>
          </cell>
          <cell r="H1586">
            <v>0</v>
          </cell>
          <cell r="I1586" t="str">
            <v>Основной ассортимент</v>
          </cell>
        </row>
        <row r="1587">
          <cell r="A1587">
            <v>3736</v>
          </cell>
          <cell r="B1587" t="str">
            <v>Шкаф 2х дверн. комбинированный City  Дуб Вотан 802х1800(h)x454</v>
          </cell>
          <cell r="D1587" t="str">
            <v>ШКАФЫ</v>
          </cell>
          <cell r="E1587">
            <v>0</v>
          </cell>
          <cell r="F1587" t="str">
            <v>Шкаф 2х дверн. комбинированный</v>
          </cell>
          <cell r="G1587" t="str">
            <v>Дуб Вотан</v>
          </cell>
          <cell r="H1587">
            <v>0</v>
          </cell>
          <cell r="I1587" t="str">
            <v>Основной ассортимент</v>
          </cell>
        </row>
        <row r="1588">
          <cell r="A1588">
            <v>3313</v>
          </cell>
          <cell r="B1588" t="str">
            <v>Стол шкаф Ultra Белое тиснение 1410х1112(h)х454</v>
          </cell>
          <cell r="D1588" t="str">
            <v>СТОЛЫ</v>
          </cell>
          <cell r="E1588">
            <v>0</v>
          </cell>
          <cell r="F1588" t="str">
            <v>Стол шкаф Ultra</v>
          </cell>
          <cell r="G1588" t="str">
            <v>Белое тиснение</v>
          </cell>
          <cell r="H1588">
            <v>0</v>
          </cell>
          <cell r="I1588" t="str">
            <v>Основной ассортимент</v>
          </cell>
        </row>
        <row r="1589">
          <cell r="A1589">
            <v>3574</v>
          </cell>
          <cell r="B1589" t="str">
            <v>Шкаф 2х дверн. комбинированный City Белое тиснение</v>
          </cell>
          <cell r="D1589" t="str">
            <v>ШКАФЫ</v>
          </cell>
          <cell r="E1589">
            <v>0</v>
          </cell>
          <cell r="F1589" t="str">
            <v>Шкаф 2х дверн. комбинированный</v>
          </cell>
          <cell r="G1589" t="str">
            <v>Белое тиснение</v>
          </cell>
          <cell r="H1589">
            <v>0</v>
          </cell>
          <cell r="I1589" t="str">
            <v>Основной ассортимент</v>
          </cell>
        </row>
        <row r="1590">
          <cell r="A1590" t="str">
            <v>3018.25Ч/01</v>
          </cell>
          <cell r="B1590" t="str">
            <v>Стеллаж Quattro 8 секций Цемент темный молет Чёрная Кромка 706х1396(h)х280</v>
          </cell>
          <cell r="D1590" t="str">
            <v>СТЕЛЛАЖИ</v>
          </cell>
          <cell r="E1590">
            <v>0</v>
          </cell>
          <cell r="F1590" t="str">
            <v>Стеллаж Quattro 8 секций</v>
          </cell>
          <cell r="G1590" t="str">
            <v>Цемент темный молет Чёрная Кромка</v>
          </cell>
          <cell r="H1590">
            <v>0</v>
          </cell>
          <cell r="I1590" t="str">
            <v>Основной ассортимент</v>
          </cell>
        </row>
        <row r="1591">
          <cell r="A1591" t="str">
            <v>3761.01/01</v>
          </cell>
          <cell r="B1591" t="str">
            <v>Обувница Ultra 2 секции с ящиком Дуб Вотан 520х946(h)х274</v>
          </cell>
          <cell r="D1591" t="str">
            <v>ОБУВНИЦЫ</v>
          </cell>
          <cell r="E1591" t="str">
            <v>FBO</v>
          </cell>
          <cell r="F1591" t="str">
            <v>Обувница Ultra 2 секции с ящиком</v>
          </cell>
          <cell r="G1591" t="str">
            <v>Дуб Вотан</v>
          </cell>
          <cell r="H1591">
            <v>0</v>
          </cell>
          <cell r="I1591" t="str">
            <v>Основной ассортимент</v>
          </cell>
        </row>
        <row r="1592">
          <cell r="A1592" t="str">
            <v>3934.05/01</v>
          </cell>
          <cell r="B1592" t="str">
            <v>Стеллаж Нео комбинированный Дуб крафт золотой 400х1796(h)х292</v>
          </cell>
          <cell r="D1592" t="str">
            <v>СТЕЛЛАЖИ</v>
          </cell>
          <cell r="E1592">
            <v>0</v>
          </cell>
          <cell r="F1592" t="str">
            <v>Стеллаж Нео комбинированный</v>
          </cell>
          <cell r="G1592" t="str">
            <v>Дуб Крафт Золотой</v>
          </cell>
          <cell r="H1592">
            <v>0</v>
          </cell>
          <cell r="I1592" t="str">
            <v>Основной ассортимент</v>
          </cell>
        </row>
        <row r="1593">
          <cell r="A1593" t="str">
            <v>3934.06/01</v>
          </cell>
          <cell r="B1593" t="str">
            <v>Стеллаж Нео комбинированный Дуб Крафт белый 400х1796(h)х292</v>
          </cell>
          <cell r="D1593" t="str">
            <v>СТЕЛЛАЖИ</v>
          </cell>
          <cell r="E1593">
            <v>0</v>
          </cell>
          <cell r="F1593" t="str">
            <v>Стеллаж Нео комбинированный</v>
          </cell>
          <cell r="G1593" t="str">
            <v>Дуб Крафт Белый</v>
          </cell>
          <cell r="H1593">
            <v>0</v>
          </cell>
          <cell r="I1593" t="str">
            <v>Основной ассортимент</v>
          </cell>
        </row>
        <row r="1594">
          <cell r="A1594" t="str">
            <v>3934.09/01</v>
          </cell>
          <cell r="B1594" t="str">
            <v>Стеллаж Нео комбинированный Серый Графит 400х1796(h)х292</v>
          </cell>
          <cell r="D1594" t="str">
            <v>СТЕЛЛАЖИ</v>
          </cell>
          <cell r="E1594">
            <v>0</v>
          </cell>
          <cell r="F1594" t="str">
            <v>Стеллаж Нео комбинированный</v>
          </cell>
          <cell r="G1594" t="str">
            <v>Графит</v>
          </cell>
          <cell r="H1594">
            <v>0</v>
          </cell>
          <cell r="I1594" t="str">
            <v>Основной ассортимент</v>
          </cell>
        </row>
        <row r="1595">
          <cell r="A1595" t="str">
            <v>3890.06/01</v>
          </cell>
          <cell r="B1595" t="str">
            <v>Шкаф-комод Ультра Push 2х дверный Дуб Крафт Белый 602х701(h)х290</v>
          </cell>
          <cell r="D1595" t="str">
            <v>КОМОДЫ</v>
          </cell>
          <cell r="E1595">
            <v>0</v>
          </cell>
          <cell r="F1595" t="str">
            <v>Шкаф комод Ультра Push 2х дверный</v>
          </cell>
          <cell r="G1595" t="str">
            <v>Дуб Крафт Белый</v>
          </cell>
          <cell r="H1595">
            <v>0</v>
          </cell>
          <cell r="I1595" t="str">
            <v>Основной ассортимент</v>
          </cell>
        </row>
        <row r="1596">
          <cell r="A1596" t="str">
            <v>3890.05/01</v>
          </cell>
          <cell r="B1596" t="str">
            <v>Шкаф-комод Ультра Push 2х дверный Дуб Крафт Золотой 602х701(h)х290</v>
          </cell>
          <cell r="D1596" t="str">
            <v>КОМОДЫ</v>
          </cell>
          <cell r="E1596">
            <v>0</v>
          </cell>
          <cell r="F1596" t="str">
            <v>Шкаф комод Ультра Push 2х дверный</v>
          </cell>
          <cell r="G1596" t="str">
            <v>Дуб Крафт Золотой</v>
          </cell>
          <cell r="H1596">
            <v>0</v>
          </cell>
          <cell r="I1596" t="str">
            <v>Основной ассортимент</v>
          </cell>
        </row>
        <row r="1597">
          <cell r="A1597" t="str">
            <v>3751.08/01</v>
          </cell>
          <cell r="B1597" t="str">
            <v>Комод City New универсальный Ателье светлое 1402х1083(h)х394</v>
          </cell>
          <cell r="D1597" t="str">
            <v>КОМОДЫ</v>
          </cell>
          <cell r="E1597">
            <v>0</v>
          </cell>
          <cell r="F1597" t="str">
            <v>Комод City New универсальный</v>
          </cell>
          <cell r="G1597" t="str">
            <v>Ателье светлое</v>
          </cell>
          <cell r="H1597">
            <v>0</v>
          </cell>
          <cell r="I1597" t="str">
            <v>Основной ассортимент</v>
          </cell>
        </row>
        <row r="1598">
          <cell r="A1598" t="str">
            <v>3018.20/01</v>
          </cell>
          <cell r="B1598" t="str">
            <v>Стеллаж Quattro 8 секций Цемент светлый вельвет 706х1396(h)х280</v>
          </cell>
          <cell r="D1598" t="str">
            <v>СТЕЛЛАЖИ</v>
          </cell>
          <cell r="E1598">
            <v>0</v>
          </cell>
          <cell r="F1598" t="str">
            <v>Стеллаж Quattro 8 секций</v>
          </cell>
          <cell r="G1598" t="str">
            <v>Цемент светлый вельвет</v>
          </cell>
          <cell r="H1598">
            <v>0</v>
          </cell>
          <cell r="I1598" t="str">
            <v>Основной ассортимент</v>
          </cell>
        </row>
        <row r="1599">
          <cell r="A1599" t="str">
            <v>MK1410201</v>
          </cell>
          <cell r="B1599" t="str">
            <v>Стеллаж этажерка Tokyo с ящ. ЛДСП Белое тиснен., Черн.металл.</v>
          </cell>
          <cell r="D1599" t="str">
            <v>СТЕЛЛАЖИ</v>
          </cell>
          <cell r="E1599">
            <v>0</v>
          </cell>
          <cell r="F1599" t="str">
            <v xml:space="preserve">Стеллаж этажерка Tokyo с ящ. </v>
          </cell>
          <cell r="G1599" t="str">
            <v xml:space="preserve">ЛДСП Белое тиснение, Черн. металл. </v>
          </cell>
          <cell r="H1599">
            <v>0</v>
          </cell>
          <cell r="I1599" t="str">
            <v>Основной ассортимент</v>
          </cell>
        </row>
        <row r="1600">
          <cell r="A1600" t="str">
            <v>4053.04.17/01</v>
          </cell>
          <cell r="B1600" t="str">
            <v>Стол рабочий Breeze с ящиком Крафт Серый/Белая гладкая 900х764(h)х450</v>
          </cell>
          <cell r="D1600" t="str">
            <v>СТОЛЫ</v>
          </cell>
          <cell r="E1600">
            <v>0</v>
          </cell>
          <cell r="F1600" t="str">
            <v>Стол рабочий Breeze с ящиком</v>
          </cell>
          <cell r="G1600" t="str">
            <v>Дуб крафт серый/Белая гладкая</v>
          </cell>
          <cell r="H1600">
            <v>0</v>
          </cell>
          <cell r="I1600" t="str">
            <v>Основной ассортимент</v>
          </cell>
        </row>
        <row r="1601">
          <cell r="A1601" t="str">
            <v>4053.25.06/01</v>
          </cell>
          <cell r="B1601" t="str">
            <v>Стол рабочий Breeze с ящиком Цемент темный молет/Дуб Крафт Белый 900х764(h)х450</v>
          </cell>
          <cell r="D1601" t="str">
            <v>СТОЛЫ</v>
          </cell>
          <cell r="E1601">
            <v>0</v>
          </cell>
          <cell r="F1601" t="str">
            <v>Стол рабочий Breeze с ящиком</v>
          </cell>
          <cell r="G1601" t="str">
            <v>Цемент темный молет/Дуб Крафт Белый</v>
          </cell>
          <cell r="H1601">
            <v>0</v>
          </cell>
          <cell r="I1601" t="str">
            <v>Основной ассортимент</v>
          </cell>
        </row>
        <row r="1602">
          <cell r="A1602" t="str">
            <v>3877.25Ч/01</v>
          </cell>
          <cell r="B1602" t="str">
            <v>Стол универсальный Tokyо Цемент темный молет Чёрная Кромка 780х900(h)х504</v>
          </cell>
          <cell r="D1602" t="str">
            <v>СТОЛЫ</v>
          </cell>
          <cell r="E1602">
            <v>0</v>
          </cell>
          <cell r="F1602" t="str">
            <v>Стол универсальный Tokyo</v>
          </cell>
          <cell r="G1602" t="str">
            <v>Цемент темный молет Чёрная Кромка</v>
          </cell>
          <cell r="H1602">
            <v>0</v>
          </cell>
          <cell r="I1602" t="str">
            <v>Основной ассортимент</v>
          </cell>
        </row>
        <row r="1603">
          <cell r="A1603">
            <v>3787</v>
          </cell>
          <cell r="B1603" t="str">
            <v>Стол рабочий Ultra комбинированный/Левое исполнение Дуб Вотан/Антрацит 1201х754(h)х450</v>
          </cell>
          <cell r="D1603" t="str">
            <v>СТОЛЫ</v>
          </cell>
          <cell r="E1603">
            <v>0</v>
          </cell>
          <cell r="F1603" t="str">
            <v>Стол рабочий Ultra комбинированный/Левое исполнение</v>
          </cell>
          <cell r="G1603" t="str">
            <v>Дуб Вотан/Антрацит</v>
          </cell>
          <cell r="H1603">
            <v>0</v>
          </cell>
          <cell r="I1603" t="str">
            <v>Основной ассортимент</v>
          </cell>
        </row>
        <row r="1604">
          <cell r="A1604" t="str">
            <v>MK2150101</v>
          </cell>
          <cell r="B1604" t="str">
            <v>Вешалка угловая Bronx ЛДСП Дуб Вотан, Черн. металл.</v>
          </cell>
          <cell r="D1604" t="str">
            <v>ВЕШАЛКИ</v>
          </cell>
          <cell r="E1604">
            <v>0</v>
          </cell>
          <cell r="F1604" t="str">
            <v>Вешалка угловая Bronx</v>
          </cell>
          <cell r="G1604" t="str">
            <v>ЛДСП Дуб Вотан, Черн. металл.</v>
          </cell>
          <cell r="H1604">
            <v>0</v>
          </cell>
          <cell r="I1604" t="str">
            <v>Основной ассортимент</v>
          </cell>
        </row>
        <row r="1605">
          <cell r="A1605" t="str">
            <v>MK1912501</v>
          </cell>
          <cell r="B1605" t="str">
            <v>Стеллаж Fiji 4х дверный ЛДСП Цемент темный молет, Черн. металл.750х1200(h)х300</v>
          </cell>
          <cell r="D1605" t="str">
            <v>СТЕЛЛАЖИ</v>
          </cell>
          <cell r="E1605">
            <v>0</v>
          </cell>
          <cell r="F1605" t="str">
            <v>Стеллаж Fiji 4х дверный</v>
          </cell>
          <cell r="G1605" t="str">
            <v xml:space="preserve">ЛДСП Цемент темный молет, Черн. металл. </v>
          </cell>
          <cell r="H1605">
            <v>0</v>
          </cell>
          <cell r="I1605" t="str">
            <v>Основной ассортимент</v>
          </cell>
        </row>
        <row r="1606">
          <cell r="A1606" t="str">
            <v>MK1272501</v>
          </cell>
          <cell r="B1606" t="str">
            <v>Стеллаж Tokyo угловой ЛДСП Цемент темный молет, Черн. металл.470х1758(h)х232</v>
          </cell>
          <cell r="D1606" t="str">
            <v>СТЕЛЛАЖИ</v>
          </cell>
          <cell r="E1606">
            <v>0</v>
          </cell>
          <cell r="F1606" t="str">
            <v>Стеллаж Frame 2 ящика</v>
          </cell>
          <cell r="G1606" t="str">
            <v xml:space="preserve">ЛДСП Цемент темный молет, Черн. металл. </v>
          </cell>
          <cell r="H1606">
            <v>0</v>
          </cell>
          <cell r="I1606" t="str">
            <v>Основной ассортимент</v>
          </cell>
        </row>
        <row r="1607">
          <cell r="A1607" t="str">
            <v>MK1830201</v>
          </cell>
          <cell r="B1607" t="str">
            <v>Шкаф комод Frame 4х дверный Белое тиснение 700х910(h)х300</v>
          </cell>
          <cell r="D1607" t="str">
            <v>КОМОДЫ</v>
          </cell>
          <cell r="E1607">
            <v>0</v>
          </cell>
          <cell r="F1607" t="str">
            <v xml:space="preserve"> Шкаф комод Frame 4х дверный</v>
          </cell>
          <cell r="G1607" t="str">
            <v>Белое тиснение</v>
          </cell>
          <cell r="H1607">
            <v>0</v>
          </cell>
          <cell r="I1607" t="str">
            <v>Основной ассортимент</v>
          </cell>
        </row>
        <row r="1608">
          <cell r="A1608" t="str">
            <v>MK167010104</v>
          </cell>
          <cell r="B1608" t="str">
            <v>Система хранения Frame №2 ЛДСП Дуб Вотан/Ткань Capri 22, Черн.металл. 902х1808(h)х408</v>
          </cell>
          <cell r="D1608" t="str">
            <v>ВЕШАЛКИ</v>
          </cell>
          <cell r="E1608">
            <v>0</v>
          </cell>
          <cell r="F1608" t="str">
            <v>Система хранения Frame №2</v>
          </cell>
          <cell r="G1608" t="str">
            <v>ЛДСП Дуб Вотан, Черн. металл.</v>
          </cell>
          <cell r="H1608">
            <v>0</v>
          </cell>
          <cell r="I1608" t="str">
            <v>Основной ассортимент</v>
          </cell>
        </row>
        <row r="1609">
          <cell r="A1609" t="str">
            <v>MK224010105</v>
          </cell>
          <cell r="B1609" t="str">
            <v>Система хранения Frame Lite №2 ЛДСП Дуб Вотан/Ткань Capri №30, Черн. 752х1808(h)х408</v>
          </cell>
          <cell r="D1609" t="str">
            <v>ВЕШАЛКИ</v>
          </cell>
          <cell r="E1609">
            <v>0</v>
          </cell>
          <cell r="F1609" t="str">
            <v>Система хранения Frame Lite №2</v>
          </cell>
          <cell r="G1609" t="str">
            <v>ЛДСП Дуб Вотан, Черн. металл.</v>
          </cell>
          <cell r="H1609">
            <v>0</v>
          </cell>
          <cell r="I1609" t="str">
            <v>Основной ассортимент</v>
          </cell>
        </row>
        <row r="1610">
          <cell r="A1610" t="str">
            <v>MK1372001</v>
          </cell>
          <cell r="B1610" t="str">
            <v>Вешалка Frame ЛДСП Цемент светл.вельвет,Черн.металл.802х1750(h)х278</v>
          </cell>
          <cell r="D1610" t="str">
            <v>ВЕШАЛКИ</v>
          </cell>
          <cell r="E1610">
            <v>0</v>
          </cell>
          <cell r="F1610" t="str">
            <v>Вешалка Frame</v>
          </cell>
          <cell r="G1610" t="str">
            <v>ЛДСП Цемент светл. вельвет, Черн. металл.</v>
          </cell>
          <cell r="H1610">
            <v>0</v>
          </cell>
          <cell r="I1610" t="str">
            <v>Основной ассортимент</v>
          </cell>
        </row>
        <row r="1611">
          <cell r="A1611" t="str">
            <v>MK1250201</v>
          </cell>
          <cell r="B1611" t="str">
            <v>Стеллаж Tokyo Plus ЛДСП Белое тиснение, Черн. металл. 900х1758(h)х290</v>
          </cell>
          <cell r="D1611" t="str">
            <v>СТЕЛЛАЖИ</v>
          </cell>
          <cell r="E1611">
            <v>0</v>
          </cell>
          <cell r="F1611" t="str">
            <v>Стеллаж Tokyo Plus</v>
          </cell>
          <cell r="G1611" t="str">
            <v xml:space="preserve">ЛДСП Белое тиснение, Черн. металл. </v>
          </cell>
          <cell r="H1611">
            <v>0</v>
          </cell>
          <cell r="I1611" t="str">
            <v>Основной ассортимент</v>
          </cell>
        </row>
        <row r="1612">
          <cell r="A1612" t="str">
            <v>MK2450101</v>
          </cell>
          <cell r="B1612" t="str">
            <v>Стеллаж Frame Lite комбинирован. ЛДСП Дуб Вотан, Черн. металл. 712х1530(h)х281</v>
          </cell>
          <cell r="D1612" t="str">
            <v>СТЕЛЛАЖИ</v>
          </cell>
          <cell r="E1612">
            <v>0</v>
          </cell>
          <cell r="F1612" t="str">
            <v>Стеллаж Frame Lite комбинирован.</v>
          </cell>
          <cell r="G1612" t="str">
            <v>ЛДСП Дуб Вотан, Черн. металл.</v>
          </cell>
          <cell r="H1612">
            <v>0</v>
          </cell>
          <cell r="I1612" t="str">
            <v>Основной ассортимент</v>
          </cell>
        </row>
        <row r="1613">
          <cell r="A1613" t="str">
            <v>MK2400101</v>
          </cell>
          <cell r="B1613" t="str">
            <v>Стеллаж Tokyo Lite 3 секции ЛДСП Дуб Вотан, Черн. металл. 330х1120(h)х278</v>
          </cell>
          <cell r="D1613" t="str">
            <v>СТЕЛЛАЖИ</v>
          </cell>
          <cell r="E1613">
            <v>0</v>
          </cell>
          <cell r="F1613" t="str">
            <v>Стеллаж Tokyo Lite 3 секции</v>
          </cell>
          <cell r="G1613" t="str">
            <v>ЛДСП Дуб Вотан, Черн. металл.</v>
          </cell>
          <cell r="H1613">
            <v>0</v>
          </cell>
          <cell r="I1613" t="str">
            <v>Основной ассортимент</v>
          </cell>
        </row>
        <row r="1614">
          <cell r="A1614" t="str">
            <v>MK1472001</v>
          </cell>
          <cell r="B1614" t="str">
            <v>Стеллаж Trust ЛДСП Цемент светл.вельвет,Черн.металл 770х1750(h)х300</v>
          </cell>
          <cell r="D1614" t="str">
            <v>СТЕЛЛАЖИ</v>
          </cell>
          <cell r="E1614" t="str">
            <v>FBS</v>
          </cell>
          <cell r="F1614" t="str">
            <v xml:space="preserve">Стеллаж Trust </v>
          </cell>
          <cell r="G1614" t="str">
            <v>ЛДСП Цемент светл. вельвет, Черн. металл.</v>
          </cell>
          <cell r="H1614">
            <v>0</v>
          </cell>
          <cell r="I1614" t="str">
            <v>Основной ассортимент</v>
          </cell>
        </row>
        <row r="1615">
          <cell r="A1615" t="str">
            <v>MK1250401</v>
          </cell>
          <cell r="B1615" t="str">
            <v>Стеллаж Tokyo Plus ЛДСП Крафт Серый, Черн. металл.     900х1758(h)х290</v>
          </cell>
          <cell r="D1615" t="str">
            <v>СТЕЛЛАЖИ</v>
          </cell>
          <cell r="E1615">
            <v>0</v>
          </cell>
          <cell r="F1615" t="str">
            <v>Стеллаж Tokyo Plus</v>
          </cell>
          <cell r="G1615" t="str">
            <v>ЛДСП Дуб крафт серый, Черн. металл.</v>
          </cell>
          <cell r="H1615">
            <v>0</v>
          </cell>
          <cell r="I1615" t="str">
            <v>Основной ассортимент</v>
          </cell>
        </row>
        <row r="1616">
          <cell r="A1616" t="str">
            <v>MK1122001</v>
          </cell>
          <cell r="B1616" t="str">
            <v>Стол письменный Frame New c ящ,с полкой ЛДСП Цемент светл.вельвет 800х760(h)х510</v>
          </cell>
          <cell r="D1616" t="str">
            <v>СТОЛЫ</v>
          </cell>
          <cell r="E1616">
            <v>0</v>
          </cell>
          <cell r="F1616" t="str">
            <v>Стол письменный Frame New с ящ., с полкой  800х760(h)х510</v>
          </cell>
          <cell r="G1616" t="str">
            <v>ЛДСП Цемент светл. вельвет, Черн. металл.</v>
          </cell>
          <cell r="H1616">
            <v>0</v>
          </cell>
          <cell r="I1616" t="str">
            <v>Основной ассортимент</v>
          </cell>
        </row>
        <row r="1617">
          <cell r="A1617" t="str">
            <v>MK1120401</v>
          </cell>
          <cell r="B1617" t="str">
            <v xml:space="preserve">Стол письменный Frame New с ящ., с полкой ЛДСП Крафт Серый, Черн. металл. 800х760(h)х510 </v>
          </cell>
          <cell r="D1617" t="str">
            <v>СТОЛЫ</v>
          </cell>
          <cell r="E1617">
            <v>0</v>
          </cell>
          <cell r="F1617" t="str">
            <v>Стол письменный Frame New с ящ., с полкой  800х760(h)х510</v>
          </cell>
          <cell r="G1617" t="str">
            <v>ЛДСП Дуб крафт серый, Черн. металл.</v>
          </cell>
          <cell r="H1617">
            <v>0</v>
          </cell>
          <cell r="I1617" t="str">
            <v>Основной ассортимент</v>
          </cell>
        </row>
        <row r="1618">
          <cell r="A1618" t="str">
            <v>3763.05/01</v>
          </cell>
          <cell r="B1618" t="str">
            <v>Комод Бостон с ящиками, полками Дуб Крафт золотой 750х740(h)х334</v>
          </cell>
          <cell r="D1618" t="str">
            <v>КОМОДЫ</v>
          </cell>
          <cell r="E1618">
            <v>0</v>
          </cell>
          <cell r="F1618" t="str">
            <v>Комод Бостон с ящиками, полками</v>
          </cell>
          <cell r="G1618" t="str">
            <v>Дуб Крафт Золотой</v>
          </cell>
          <cell r="H1618">
            <v>0</v>
          </cell>
          <cell r="I1618" t="str">
            <v>Вакансия</v>
          </cell>
        </row>
        <row r="1619">
          <cell r="A1619" t="str">
            <v>3763.06/01</v>
          </cell>
          <cell r="B1619" t="str">
            <v>Комод Бостон с ящиками, полками Дуб Крафт Белый 750х740(h)х334</v>
          </cell>
          <cell r="D1619" t="str">
            <v>КОМОДЫ</v>
          </cell>
          <cell r="E1619">
            <v>0</v>
          </cell>
          <cell r="F1619" t="str">
            <v>Комод Бостон с ящиками, полками</v>
          </cell>
          <cell r="G1619" t="str">
            <v>Дуб Крафт Белый</v>
          </cell>
          <cell r="H1619">
            <v>0</v>
          </cell>
          <cell r="I1619" t="str">
            <v>Вакансия</v>
          </cell>
        </row>
        <row r="1620">
          <cell r="A1620" t="str">
            <v>3763.09/01</v>
          </cell>
          <cell r="B1620" t="str">
            <v>Комод Бостон с ящиками, полками Серый Графит 750х740(h)х334</v>
          </cell>
          <cell r="D1620" t="str">
            <v>КОМОДЫ</v>
          </cell>
          <cell r="E1620">
            <v>0</v>
          </cell>
          <cell r="F1620" t="str">
            <v>Комод Бостон с ящиками, полками</v>
          </cell>
          <cell r="G1620" t="str">
            <v>Графит</v>
          </cell>
          <cell r="H1620">
            <v>0</v>
          </cell>
          <cell r="I1620" t="str">
            <v>Вакансия</v>
          </cell>
        </row>
        <row r="1621">
          <cell r="A1621" t="str">
            <v>3708.01/01</v>
          </cell>
          <cell r="B1621" t="str">
            <v>Стеллаж Quattro New 4 секций с дверками Дуб Вотан 642х644(h)х292</v>
          </cell>
          <cell r="D1621" t="str">
            <v>СТЕЛЛАЖИ</v>
          </cell>
          <cell r="E1621">
            <v>0</v>
          </cell>
          <cell r="F1621" t="str">
            <v>Стеллаж Quattro New 4 секций с дверками</v>
          </cell>
          <cell r="G1621" t="str">
            <v>Дуб Вотан</v>
          </cell>
          <cell r="H1621">
            <v>0</v>
          </cell>
          <cell r="I1621" t="str">
            <v>Вакансия</v>
          </cell>
        </row>
        <row r="1622">
          <cell r="A1622" t="str">
            <v>3708.06/01</v>
          </cell>
          <cell r="B1622" t="str">
            <v>Стеллаж Quattro New 4 секций с дверками Дуб Крафт Белый 642х644(h)х292</v>
          </cell>
          <cell r="D1622" t="str">
            <v>СТЕЛЛАЖИ</v>
          </cell>
          <cell r="E1622">
            <v>0</v>
          </cell>
          <cell r="F1622" t="str">
            <v>Стеллаж Quattro New 4 секций с дверками</v>
          </cell>
          <cell r="G1622" t="str">
            <v>Дуб Крафт Белый</v>
          </cell>
          <cell r="H1622">
            <v>0</v>
          </cell>
          <cell r="I1622" t="str">
            <v>Вакансия</v>
          </cell>
        </row>
        <row r="1623">
          <cell r="A1623">
            <v>3392</v>
          </cell>
          <cell r="B1623" t="str">
            <v>Стол письменный Neoletta с ящиком Белое тисн./Дуб Вотан</v>
          </cell>
          <cell r="D1623" t="str">
            <v>СТОЛЫ</v>
          </cell>
          <cell r="E1623">
            <v>0</v>
          </cell>
          <cell r="H1623">
            <v>0</v>
          </cell>
          <cell r="I1623" t="str">
            <v>Вакансия</v>
          </cell>
        </row>
        <row r="1624">
          <cell r="A1624" t="str">
            <v>MK1050101</v>
          </cell>
          <cell r="B1624" t="str">
            <v>Тумбы для обуви Frame малая ЛДСП Дуб Вотан, Черн.металл.</v>
          </cell>
          <cell r="D1624" t="str">
            <v>ОБУВНИЦЫ</v>
          </cell>
          <cell r="E1624">
            <v>0</v>
          </cell>
          <cell r="G1624" t="str">
            <v>ЛДСП Дуб Вотан, Черн. металл.</v>
          </cell>
          <cell r="H1624">
            <v>0</v>
          </cell>
          <cell r="I1624" t="str">
            <v>Вакансия</v>
          </cell>
        </row>
        <row r="1625">
          <cell r="A1625">
            <v>3455</v>
          </cell>
          <cell r="B1625" t="str">
            <v>Тумба под ТВ Neoletta универсальная 2ящ. Белое тиснен./Дуб Вотан</v>
          </cell>
          <cell r="D1625" t="str">
            <v>ТУМБЫ под ТВ</v>
          </cell>
          <cell r="E1625">
            <v>0</v>
          </cell>
          <cell r="H1625">
            <v>0</v>
          </cell>
          <cell r="I1625" t="str">
            <v>Вакансия</v>
          </cell>
        </row>
        <row r="1626">
          <cell r="A1626">
            <v>3773</v>
          </cell>
          <cell r="B1626" t="str">
            <v>Тумба Ultra Lite 3 ящика на колесах Белое теснение 400х576(h)х334</v>
          </cell>
          <cell r="D1626" t="str">
            <v>ТУМБЫ ПРИКРОВАТНЫЕ</v>
          </cell>
          <cell r="E1626">
            <v>0</v>
          </cell>
          <cell r="H1626">
            <v>0</v>
          </cell>
          <cell r="I1626" t="str">
            <v>Вакансия</v>
          </cell>
        </row>
        <row r="1627">
          <cell r="A1627" t="str">
            <v>2608.17/01</v>
          </cell>
          <cell r="B1627" t="str">
            <v>Полка книжная Ультра Белая гладкая 1150х520(h)х200</v>
          </cell>
          <cell r="D1627" t="str">
            <v>ПОЛКИ</v>
          </cell>
          <cell r="E1627">
            <v>0</v>
          </cell>
          <cell r="H1627">
            <v>0</v>
          </cell>
          <cell r="I1627" t="str">
            <v>Вакансия</v>
          </cell>
        </row>
        <row r="1628">
          <cell r="A1628" t="str">
            <v>2608.20/01</v>
          </cell>
          <cell r="B1628" t="str">
            <v>Полка книжная Ультра Цемент светлый вельвет 1150х520(h)х200</v>
          </cell>
          <cell r="D1628" t="str">
            <v>ПОЛКИ</v>
          </cell>
          <cell r="E1628">
            <v>0</v>
          </cell>
          <cell r="H1628">
            <v>0</v>
          </cell>
          <cell r="I1628" t="str">
            <v>Вакансия</v>
          </cell>
        </row>
        <row r="1629">
          <cell r="A1629">
            <v>3451</v>
          </cell>
          <cell r="B1629" t="str">
            <v>Шкаф стеллаж Neoletta 2х дверн. Низкий Белое тиснен./Дуб Вотан</v>
          </cell>
          <cell r="D1629" t="str">
            <v>СТЕЛЛАЖИ</v>
          </cell>
          <cell r="E1629">
            <v>0</v>
          </cell>
          <cell r="H1629">
            <v>0</v>
          </cell>
          <cell r="I1629" t="str">
            <v>вакансия</v>
          </cell>
        </row>
        <row r="1630">
          <cell r="A1630">
            <v>3632</v>
          </cell>
          <cell r="B1630" t="str">
            <v>Стеллаж Hardy Лайт 2 с дверками на ножках Белое тиснен. 602х1930(h)х260</v>
          </cell>
          <cell r="D1630" t="str">
            <v>СТЕЛЛАЖИ</v>
          </cell>
          <cell r="E1630">
            <v>0</v>
          </cell>
          <cell r="H1630">
            <v>0</v>
          </cell>
          <cell r="I1630" t="str">
            <v>вакансия</v>
          </cell>
        </row>
        <row r="1631">
          <cell r="A1631">
            <v>3644</v>
          </cell>
          <cell r="B1631" t="str">
            <v>Стеллаж Hardy Лайт 2 на ножках Белое тиснен. 602х1930(h)х244</v>
          </cell>
          <cell r="D1631" t="str">
            <v>СТЕЛЛАЖИ</v>
          </cell>
          <cell r="E1631">
            <v>0</v>
          </cell>
          <cell r="H1631">
            <v>0</v>
          </cell>
          <cell r="I1631" t="str">
            <v>вакансия</v>
          </cell>
        </row>
        <row r="1632">
          <cell r="A1632" t="str">
            <v>MK242182101</v>
          </cell>
          <cell r="B1632" t="str">
            <v>Стеллаж этажерка Tokyo Lite с дверк. ЛДСП 18 Белая гладкая, Черн. металл. 710х1750(h)х386</v>
          </cell>
          <cell r="D1632" t="str">
            <v>СТЕЛЛАЖИ</v>
          </cell>
          <cell r="E1632">
            <v>0</v>
          </cell>
          <cell r="H1632">
            <v>0</v>
          </cell>
          <cell r="I1632" t="str">
            <v>Вакансия</v>
          </cell>
        </row>
        <row r="1633">
          <cell r="A1633" t="str">
            <v>MK00041</v>
          </cell>
          <cell r="B1633" t="str">
            <v>Столик придиванный Frame ЛДСП Белое тиснение, Черн. металл.</v>
          </cell>
          <cell r="D1633" t="str">
            <v>СТОЛИКИ ЖУРНАЛЬНЫЕ</v>
          </cell>
          <cell r="E1633">
            <v>0</v>
          </cell>
          <cell r="G1633" t="str">
            <v xml:space="preserve">ЛДСП Белое тиснение, Черн. металл. </v>
          </cell>
          <cell r="H1633">
            <v>0</v>
          </cell>
          <cell r="I1633" t="str">
            <v>вакансия</v>
          </cell>
        </row>
        <row r="1634">
          <cell r="A1634" t="str">
            <v>MK1050201</v>
          </cell>
          <cell r="B1634" t="str">
            <v>Тумбы для обуви Frame малая ЛДСП Белое тиснен., Черн.металл.</v>
          </cell>
          <cell r="D1634" t="str">
            <v>ОБУВНИЦЫ</v>
          </cell>
          <cell r="E1634">
            <v>0</v>
          </cell>
          <cell r="H1634">
            <v>0</v>
          </cell>
          <cell r="I1634" t="str">
            <v>вакансия</v>
          </cell>
        </row>
        <row r="1635">
          <cell r="A1635" t="str">
            <v>MK142010104</v>
          </cell>
          <cell r="B1635" t="str">
            <v>Комод Capri 6 ящиков ЛДСП Дуб Вотан/Ткань Capri 13, Черн. металл</v>
          </cell>
          <cell r="D1635" t="str">
            <v>КОМОДЫ</v>
          </cell>
          <cell r="E1635">
            <v>0</v>
          </cell>
          <cell r="H1635">
            <v>0</v>
          </cell>
          <cell r="I1635" t="str">
            <v>вакансия</v>
          </cell>
        </row>
        <row r="1636">
          <cell r="A1636" t="str">
            <v>MK142010105</v>
          </cell>
          <cell r="B1636" t="str">
            <v>Комод Capri 6 ящиков ЛДСП Дуб Вотан/Ткань Capri 30, Черн. металл. 800х736(h)х292</v>
          </cell>
          <cell r="D1636" t="str">
            <v>КОМОДЫ</v>
          </cell>
          <cell r="E1636">
            <v>0</v>
          </cell>
          <cell r="H1636">
            <v>0</v>
          </cell>
          <cell r="I1636" t="str">
            <v>вакансия</v>
          </cell>
        </row>
        <row r="1637">
          <cell r="A1637" t="str">
            <v>MK228010151</v>
          </cell>
          <cell r="B1637" t="str">
            <v>Обувница Ultra Plus ЛДСП Дуб Вотан/Спанбонд черн.</v>
          </cell>
          <cell r="D1637" t="str">
            <v>ОБУВНИЦЫ</v>
          </cell>
          <cell r="E1637">
            <v>0</v>
          </cell>
          <cell r="H1637">
            <v>0</v>
          </cell>
          <cell r="I1637" t="str">
            <v>Вакансия</v>
          </cell>
        </row>
        <row r="1638">
          <cell r="A1638" t="str">
            <v>MK139000111</v>
          </cell>
          <cell r="B1638" t="str">
            <v>Стул Framе Ткань Vivaldi №7 Черн. металл 444х569(h)х544</v>
          </cell>
          <cell r="D1638" t="str">
            <v>СТУЛЬЯ</v>
          </cell>
          <cell r="E1638">
            <v>0</v>
          </cell>
          <cell r="H1638">
            <v>0</v>
          </cell>
          <cell r="I1638" t="str">
            <v>Вакансия</v>
          </cell>
        </row>
        <row r="1639">
          <cell r="A1639" t="str">
            <v>MK1580201</v>
          </cell>
          <cell r="B1639" t="str">
            <v>Тумбы под ТВ Tokyo с дверками ЛДСП Белое тиснен., Черн. металл.</v>
          </cell>
          <cell r="D1639" t="str">
            <v>ТУМБЫ под ТВ</v>
          </cell>
          <cell r="E1639">
            <v>0</v>
          </cell>
          <cell r="H1639">
            <v>0</v>
          </cell>
          <cell r="I1639" t="str">
            <v>Вакансия</v>
          </cell>
        </row>
        <row r="1640">
          <cell r="A1640" t="str">
            <v>MK1060201</v>
          </cell>
          <cell r="B1640" t="str">
            <v>Обувница этажерка Frame с ящ. ЛДСП Белое тиснен., Черн.металл.</v>
          </cell>
          <cell r="D1640" t="str">
            <v>ОБУВНИЦЫ</v>
          </cell>
          <cell r="E1640">
            <v>0</v>
          </cell>
          <cell r="H1640">
            <v>0</v>
          </cell>
          <cell r="I1640" t="str">
            <v>Вакансия</v>
          </cell>
        </row>
        <row r="1641">
          <cell r="A1641" t="str">
            <v>MK226010151</v>
          </cell>
          <cell r="B1641" t="str">
            <v>Обувница Ultra ЛДСП Дуб Вотан/Спанбонд черн.</v>
          </cell>
          <cell r="D1641" t="str">
            <v>ОБУВНИЦЫ</v>
          </cell>
          <cell r="E1641">
            <v>0</v>
          </cell>
          <cell r="H1641">
            <v>0</v>
          </cell>
          <cell r="I1641" t="str">
            <v>Вакансия</v>
          </cell>
        </row>
        <row r="1642">
          <cell r="A1642" t="str">
            <v>MK1980101</v>
          </cell>
          <cell r="B1642" t="str">
            <v>Обувница этажерка Frame lite ЛДСП Дуб Вотан. Черн. металл.</v>
          </cell>
          <cell r="D1642" t="str">
            <v>ОБУВНИЦЫ</v>
          </cell>
          <cell r="E1642">
            <v>0</v>
          </cell>
          <cell r="H1642">
            <v>0</v>
          </cell>
          <cell r="I1642" t="str">
            <v>Вакансия</v>
          </cell>
        </row>
        <row r="1643">
          <cell r="A1643" t="str">
            <v>MK1110201</v>
          </cell>
          <cell r="B1643" t="str">
            <v>Полка стеллаж Tokyo навесная, напольная ЛДСП Белое тиснен., Черн.металл.</v>
          </cell>
          <cell r="D1643" t="str">
            <v>ПОЛКИ</v>
          </cell>
          <cell r="E1643">
            <v>0</v>
          </cell>
          <cell r="H1643">
            <v>0</v>
          </cell>
          <cell r="I1643" t="str">
            <v>Вакансия</v>
          </cell>
        </row>
        <row r="1644">
          <cell r="A1644" t="str">
            <v>MK1350101</v>
          </cell>
          <cell r="B1644" t="str">
            <v>Стеллаж тумба Trust ЛДСП Дуб Вотан, Черн. металл</v>
          </cell>
          <cell r="D1644" t="str">
            <v>СТЕЛЛАЖИ</v>
          </cell>
          <cell r="E1644">
            <v>0</v>
          </cell>
          <cell r="H1644">
            <v>0</v>
          </cell>
          <cell r="I1644" t="str">
            <v>Вакансия</v>
          </cell>
        </row>
        <row r="1645">
          <cell r="A1645" t="str">
            <v>MK1462001</v>
          </cell>
          <cell r="B1645" t="str">
            <v>Стеллаж тумба Trust Plus ЛДСП Цемент светл.вельвет,Черн.металл 1100х780(h)х300</v>
          </cell>
          <cell r="D1645" t="str">
            <v>СТЕЛЛАЖИ</v>
          </cell>
          <cell r="E1645">
            <v>0</v>
          </cell>
          <cell r="H1645">
            <v>0</v>
          </cell>
          <cell r="I1645" t="str">
            <v>Вакансия</v>
          </cell>
        </row>
        <row r="1646">
          <cell r="A1646" t="str">
            <v>MK1330201</v>
          </cell>
          <cell r="B1646" t="str">
            <v>Стол компьютерный Frame lite ЛДСП Белое тиснение, Черн. металл. 600х760(h)х400</v>
          </cell>
          <cell r="D1646" t="str">
            <v>СТОЛЫ</v>
          </cell>
          <cell r="E1646">
            <v>0</v>
          </cell>
          <cell r="G1646" t="str">
            <v xml:space="preserve">ЛДСП Белое тиснение, Черн. металл. </v>
          </cell>
          <cell r="H1646">
            <v>0</v>
          </cell>
          <cell r="I1646" t="str">
            <v>Вакансия</v>
          </cell>
        </row>
        <row r="1647">
          <cell r="A1647" t="str">
            <v>MK00040</v>
          </cell>
          <cell r="B1647" t="str">
            <v>Стол письменный Frame ЛДСП Белое тиснен., Черн.металл.</v>
          </cell>
          <cell r="D1647" t="str">
            <v>СТОЛЫ</v>
          </cell>
          <cell r="E1647">
            <v>0</v>
          </cell>
          <cell r="H1647">
            <v>0</v>
          </cell>
          <cell r="I1647" t="str">
            <v>Вакансия</v>
          </cell>
        </row>
        <row r="1648">
          <cell r="A1648" t="str">
            <v>MK2480101</v>
          </cell>
          <cell r="B1648" t="str">
            <v>Стол письменный Frame Lite ЛДСП Дуб Вотан, Черн. металл</v>
          </cell>
          <cell r="D1648" t="str">
            <v>СТОЛЫ</v>
          </cell>
          <cell r="E1648">
            <v>0</v>
          </cell>
          <cell r="H1648">
            <v>0</v>
          </cell>
          <cell r="I1648" t="str">
            <v>Вакансия</v>
          </cell>
        </row>
        <row r="1649">
          <cell r="A1649" t="str">
            <v>MK00038</v>
          </cell>
          <cell r="B1649" t="str">
            <v>Стол письменный Tokyo ЛДСП Белое тиснен., Черн.металл</v>
          </cell>
          <cell r="D1649" t="str">
            <v>СТОЛЫ</v>
          </cell>
          <cell r="E1649">
            <v>0</v>
          </cell>
          <cell r="H1649">
            <v>0</v>
          </cell>
          <cell r="I1649" t="str">
            <v>Вакансия</v>
          </cell>
        </row>
        <row r="1650">
          <cell r="A1650" t="str">
            <v>MK1330801</v>
          </cell>
          <cell r="B1650" t="str">
            <v>Стол компьютерный Frame lite ЛДСП Ателье светлое, Черн. металл. 600х760(h)х400</v>
          </cell>
          <cell r="D1650" t="str">
            <v>СТОЛЫ</v>
          </cell>
          <cell r="E1650">
            <v>0</v>
          </cell>
          <cell r="H1650">
            <v>0</v>
          </cell>
          <cell r="I1650" t="str">
            <v>Вакансия</v>
          </cell>
        </row>
        <row r="1651">
          <cell r="A1651">
            <v>3454</v>
          </cell>
          <cell r="B1651" t="str">
            <v>Шкаф стеллаж Neoletta 1 дверн. Белое тиснен./Дуб Вотан</v>
          </cell>
          <cell r="D1651" t="str">
            <v>СТЕЛЛАЖИ</v>
          </cell>
          <cell r="E1651">
            <v>0</v>
          </cell>
          <cell r="F1651" t="str">
            <v>Стеллаж Неолетта</v>
          </cell>
          <cell r="G1651" t="str">
            <v>Белое тиснение/Дуб Вотан</v>
          </cell>
          <cell r="H1651">
            <v>0</v>
          </cell>
          <cell r="I1651" t="str">
            <v>Вакансия</v>
          </cell>
        </row>
        <row r="1652">
          <cell r="A1652">
            <v>3684</v>
          </cell>
          <cell r="B1652" t="str">
            <v>Комод Мальта 4 ящика Белое тиснение 750х720(h)х398</v>
          </cell>
          <cell r="D1652" t="str">
            <v>КОМОДЫ</v>
          </cell>
          <cell r="E1652">
            <v>0</v>
          </cell>
          <cell r="F1652" t="str">
            <v>Комод Malta Plus 750х719х392</v>
          </cell>
          <cell r="G1652" t="str">
            <v>Белое тиснение</v>
          </cell>
          <cell r="H1652">
            <v>0</v>
          </cell>
          <cell r="I1652" t="str">
            <v>Вакансия</v>
          </cell>
        </row>
        <row r="1653">
          <cell r="A1653">
            <v>3744</v>
          </cell>
          <cell r="B1653" t="str">
            <v>Шкаф комод City Серый Графит 1200х1176(h)х502</v>
          </cell>
          <cell r="D1653" t="str">
            <v>КОМОДЫ</v>
          </cell>
          <cell r="E1653">
            <v>0</v>
          </cell>
          <cell r="F1653" t="str">
            <v>Комод City</v>
          </cell>
          <cell r="G1653" t="str">
            <v>Графит</v>
          </cell>
          <cell r="H1653">
            <v>0</v>
          </cell>
          <cell r="I1653" t="str">
            <v>Вакансия</v>
          </cell>
        </row>
        <row r="1654">
          <cell r="A1654">
            <v>3834</v>
          </cell>
          <cell r="B1654" t="str">
            <v>Стол письменный Ультра 4 ящ. Белое гладкое 1056х750(h)x450</v>
          </cell>
          <cell r="D1654" t="str">
            <v>СТОЛЫ</v>
          </cell>
          <cell r="E1654">
            <v>0</v>
          </cell>
          <cell r="G1654" t="str">
            <v>Белая гладкая</v>
          </cell>
          <cell r="H1654">
            <v>0</v>
          </cell>
          <cell r="I1654" t="str">
            <v>Вакансия</v>
          </cell>
        </row>
        <row r="1655">
          <cell r="A1655">
            <v>3248</v>
          </cell>
          <cell r="B1655" t="str">
            <v>Комод Estetika 3х дверн. с ящ. Белое тисн. 1100х816(h)х354</v>
          </cell>
          <cell r="D1655" t="str">
            <v>КОМОДЫ</v>
          </cell>
          <cell r="E1655">
            <v>0</v>
          </cell>
          <cell r="G1655" t="str">
            <v>Белое тиснение</v>
          </cell>
          <cell r="H1655">
            <v>0</v>
          </cell>
          <cell r="I1655" t="str">
            <v>Вакансия</v>
          </cell>
        </row>
        <row r="1656">
          <cell r="A1656">
            <v>3253</v>
          </cell>
          <cell r="B1656" t="str">
            <v>Комод Loft New 5 дверн. c ящиками Дуб сон./Белое тисн.</v>
          </cell>
          <cell r="D1656" t="str">
            <v>КОМОДЫ</v>
          </cell>
          <cell r="E1656">
            <v>0</v>
          </cell>
          <cell r="G1656" t="str">
            <v>дуб сонома/белое тиснение</v>
          </cell>
          <cell r="H1656">
            <v>0</v>
          </cell>
          <cell r="I1656" t="str">
            <v>Вакансия</v>
          </cell>
        </row>
        <row r="1657">
          <cell r="A1657">
            <v>3789</v>
          </cell>
          <cell r="B1657" t="str">
            <v>Обувница Ultra Lux вертикальная 3 секции Белое тиснение 532х1360(h)х242</v>
          </cell>
          <cell r="D1657" t="str">
            <v>ОБУВНИЦЫ</v>
          </cell>
          <cell r="E1657">
            <v>0</v>
          </cell>
          <cell r="G1657" t="str">
            <v>Белое тиснение</v>
          </cell>
          <cell r="H1657">
            <v>0</v>
          </cell>
          <cell r="I1657" t="str">
            <v>Вакансия</v>
          </cell>
        </row>
        <row r="1658">
          <cell r="A1658">
            <v>3553</v>
          </cell>
          <cell r="B1658" t="str">
            <v>Шкаф стеллаж Trend Дуб Вотан/Антрацит</v>
          </cell>
          <cell r="D1658" t="str">
            <v>СТЕЛЛАЖИ</v>
          </cell>
          <cell r="E1658">
            <v>0</v>
          </cell>
          <cell r="G1658" t="str">
            <v>Дуб Вотан/Антрацит</v>
          </cell>
          <cell r="H1658">
            <v>0</v>
          </cell>
          <cell r="I1658" t="str">
            <v>Вакансия</v>
          </cell>
        </row>
        <row r="1659">
          <cell r="A1659">
            <v>3393</v>
          </cell>
          <cell r="B1659" t="str">
            <v>Стол письменный Neoletta 2 ящика Белое тисн./Дуб Вотан</v>
          </cell>
          <cell r="D1659" t="str">
            <v>СТОЛЫ</v>
          </cell>
          <cell r="E1659">
            <v>0</v>
          </cell>
          <cell r="G1659" t="str">
            <v>Белое тиснение/Дуб Вотан</v>
          </cell>
          <cell r="H1659">
            <v>0</v>
          </cell>
          <cell r="I1659" t="str">
            <v>Вакансия</v>
          </cell>
        </row>
        <row r="1660">
          <cell r="A1660">
            <v>3567</v>
          </cell>
          <cell r="B1660" t="str">
            <v>Пенал навесной Ultra Дуб Вотан/Антрацит</v>
          </cell>
          <cell r="D1660" t="str">
            <v>ШКАФЫ</v>
          </cell>
          <cell r="E1660">
            <v>0</v>
          </cell>
          <cell r="G1660" t="str">
            <v>Дуб Вотан/Антрацит</v>
          </cell>
          <cell r="H1660">
            <v>0</v>
          </cell>
          <cell r="I1660" t="str">
            <v>Вакансия</v>
          </cell>
        </row>
        <row r="1661">
          <cell r="A1661">
            <v>3402</v>
          </cell>
          <cell r="B1661" t="str">
            <v>Комод Praga New 2х дверный с ящиком Белое тиснен.</v>
          </cell>
          <cell r="D1661" t="str">
            <v>КОМОДЫ</v>
          </cell>
          <cell r="E1661">
            <v>0</v>
          </cell>
          <cell r="G1661" t="str">
            <v>Белое тиснение</v>
          </cell>
          <cell r="H1661">
            <v>0</v>
          </cell>
          <cell r="I1661" t="str">
            <v>Вакансия</v>
          </cell>
        </row>
        <row r="1662">
          <cell r="A1662">
            <v>3583</v>
          </cell>
          <cell r="B1662" t="str">
            <v>Обувница стеллаж Ultra Plus Белое тиснен.</v>
          </cell>
          <cell r="D1662" t="str">
            <v>ОБУВНИЦЫ</v>
          </cell>
          <cell r="E1662">
            <v>0</v>
          </cell>
          <cell r="F1662" t="str">
            <v>Обувница стеллаж Ultra Plus</v>
          </cell>
          <cell r="G1662" t="str">
            <v>Белое тиснение</v>
          </cell>
          <cell r="H1662">
            <v>0</v>
          </cell>
          <cell r="I1662" t="str">
            <v>Вакансия</v>
          </cell>
        </row>
        <row r="1663">
          <cell r="A1663">
            <v>3602</v>
          </cell>
          <cell r="B1663" t="str">
            <v>Обувница Ultra вертикальная универсал. 1 секция Дуб Вотан/Антрацит 532х374х170</v>
          </cell>
          <cell r="D1663" t="str">
            <v>ОБУВНИЦЫ</v>
          </cell>
          <cell r="E1663">
            <v>0</v>
          </cell>
          <cell r="G1663" t="str">
            <v>Дуб Вотан/Антрацит</v>
          </cell>
          <cell r="H1663">
            <v>0</v>
          </cell>
          <cell r="I1663" t="str">
            <v>Вакансия</v>
          </cell>
        </row>
        <row r="1664">
          <cell r="A1664">
            <v>3604</v>
          </cell>
          <cell r="B1664" t="str">
            <v>Обувница Ultra вертикальная универсал. 3 секции Дуб Вотан/Антрацит 532х1122х170</v>
          </cell>
          <cell r="D1664" t="str">
            <v>ОБУВНИЦЫ</v>
          </cell>
          <cell r="E1664">
            <v>0</v>
          </cell>
          <cell r="G1664" t="str">
            <v>Дуб Вотан/Антрацит</v>
          </cell>
          <cell r="H1664">
            <v>0</v>
          </cell>
          <cell r="I1664" t="str">
            <v>Вакансия</v>
          </cell>
        </row>
        <row r="1665">
          <cell r="A1665">
            <v>3594</v>
          </cell>
          <cell r="B1665" t="str">
            <v>Шкаф пенал Neoletta навесной Белое тиснен./Дуб Вотан</v>
          </cell>
          <cell r="D1665" t="str">
            <v>ШКАФЫ</v>
          </cell>
          <cell r="E1665">
            <v>0</v>
          </cell>
          <cell r="G1665" t="str">
            <v>Белое тиснение/Дуб Вотан</v>
          </cell>
          <cell r="H1665">
            <v>0</v>
          </cell>
          <cell r="I1665" t="str">
            <v>Вакансия</v>
          </cell>
        </row>
        <row r="1666">
          <cell r="A1666">
            <v>3616</v>
          </cell>
          <cell r="B1666" t="str">
            <v>Стеллаж Zett на ножках Белое тиснение 730х1852(h)х250</v>
          </cell>
          <cell r="D1666" t="str">
            <v>СТЕЛЛАЖИ</v>
          </cell>
          <cell r="E1666">
            <v>0</v>
          </cell>
          <cell r="G1666" t="str">
            <v>Белое тиснение</v>
          </cell>
          <cell r="H1666">
            <v>0</v>
          </cell>
          <cell r="I1666" t="str">
            <v>вакансия</v>
          </cell>
        </row>
        <row r="1667">
          <cell r="A1667">
            <v>3547</v>
          </cell>
          <cell r="B1667" t="str">
            <v>Банкетка Capri с ящиками Белое тиснен./Ткань Capri №22, 30</v>
          </cell>
          <cell r="D1667" t="str">
            <v>ОБУВНИЦЫ</v>
          </cell>
          <cell r="E1667">
            <v>0</v>
          </cell>
          <cell r="F1667" t="str">
            <v>Банкетка Capri с ящиками</v>
          </cell>
          <cell r="G1667" t="str">
            <v>Белое тиснение/Ткань Capri</v>
          </cell>
          <cell r="H1667">
            <v>0</v>
          </cell>
          <cell r="I1667" t="str">
            <v>Вакансия</v>
          </cell>
        </row>
        <row r="1668">
          <cell r="A1668">
            <v>3734</v>
          </cell>
          <cell r="B1668" t="str">
            <v>Cтеллаж угловой в детскую для игрушек Ателье светлое 580х814(h)х580</v>
          </cell>
          <cell r="D1668" t="str">
            <v>СТЕЛЛАЖИ</v>
          </cell>
          <cell r="E1668">
            <v>0</v>
          </cell>
          <cell r="F1668" t="str">
            <v>Cтеллаж угловой в детскую для игрушек</v>
          </cell>
          <cell r="G1668" t="str">
            <v>Ателье светлое</v>
          </cell>
          <cell r="H1668">
            <v>0</v>
          </cell>
          <cell r="I1668" t="str">
            <v>Вакансия</v>
          </cell>
        </row>
        <row r="1669">
          <cell r="A1669">
            <v>3318</v>
          </cell>
          <cell r="B1669" t="str">
            <v>Стол рабочий Neoletta 3 ящика Белое тиснение/Дуб Вотан</v>
          </cell>
          <cell r="D1669" t="str">
            <v>СТОЛЫ</v>
          </cell>
          <cell r="E1669">
            <v>0</v>
          </cell>
          <cell r="G1669" t="str">
            <v>Белое тиснение/Дуб Вотан</v>
          </cell>
          <cell r="H1669">
            <v>0</v>
          </cell>
          <cell r="I1669" t="str">
            <v>Вакансия</v>
          </cell>
        </row>
        <row r="1670">
          <cell r="A1670">
            <v>3560</v>
          </cell>
          <cell r="B1670" t="str">
            <v>Стол стеллаж Quattro универсальный Белое тиснен.</v>
          </cell>
          <cell r="D1670" t="str">
            <v>СТЕЛЛАЖИ</v>
          </cell>
          <cell r="E1670">
            <v>0</v>
          </cell>
          <cell r="G1670" t="str">
            <v>Белое тиснение</v>
          </cell>
          <cell r="H1670">
            <v>0</v>
          </cell>
          <cell r="I1670" t="str">
            <v>Вакансия</v>
          </cell>
        </row>
        <row r="1671">
          <cell r="A1671">
            <v>3839</v>
          </cell>
          <cell r="B1671" t="str">
            <v>Стол рабочий маникюрный Blues с ящиками Белое гладкое 468х750/904(h)х300/980</v>
          </cell>
          <cell r="D1671" t="str">
            <v>СТОЛЫ</v>
          </cell>
          <cell r="E1671">
            <v>0</v>
          </cell>
          <cell r="G1671" t="str">
            <v>Белая гладкая</v>
          </cell>
          <cell r="H1671">
            <v>0</v>
          </cell>
          <cell r="I1671" t="str">
            <v>Вакансия</v>
          </cell>
        </row>
        <row r="1672">
          <cell r="A1672">
            <v>3595</v>
          </cell>
          <cell r="B1672" t="str">
            <v>Шкаф Neoletta 1-о дверн. Белое тиснен./Дуб Вотан</v>
          </cell>
          <cell r="D1672" t="str">
            <v>ШКАФЫ</v>
          </cell>
          <cell r="E1672">
            <v>0</v>
          </cell>
          <cell r="G1672" t="str">
            <v>Белое тиснение/Дуб Вотан</v>
          </cell>
          <cell r="H1672">
            <v>0</v>
          </cell>
          <cell r="I1672" t="str">
            <v>Вакансия</v>
          </cell>
        </row>
        <row r="1673">
          <cell r="A1673">
            <v>3768</v>
          </cell>
          <cell r="B1673" t="str">
            <v>Комод Ультра 4 ящика Белая шагрень 750х734(h)х334</v>
          </cell>
          <cell r="D1673" t="str">
            <v>КОМОДЫ</v>
          </cell>
          <cell r="E1673">
            <v>0</v>
          </cell>
          <cell r="H1673">
            <v>0</v>
          </cell>
          <cell r="I1673" t="str">
            <v>Вакансия</v>
          </cell>
        </row>
        <row r="1674">
          <cell r="A1674">
            <v>3868</v>
          </cell>
          <cell r="B1674" t="str">
            <v>Стеллаж Hardy Лайт 2 на ножках Белое гладкое 602х1930(h)х244</v>
          </cell>
          <cell r="D1674" t="str">
            <v>СТЕЛЛАЖИ</v>
          </cell>
          <cell r="E1674">
            <v>0</v>
          </cell>
          <cell r="G1674" t="str">
            <v>Белая гладкая</v>
          </cell>
          <cell r="H1674">
            <v>0</v>
          </cell>
          <cell r="I1674" t="str">
            <v>Вакансия</v>
          </cell>
        </row>
        <row r="1675">
          <cell r="A1675">
            <v>3869</v>
          </cell>
          <cell r="B1675" t="str">
            <v>Стеллаж Hardy Лайт 2 с дверками на ножках Белое гладкое 602х1930(h)х260</v>
          </cell>
          <cell r="D1675" t="str">
            <v>СТЕЛЛАЖИ</v>
          </cell>
          <cell r="E1675">
            <v>0</v>
          </cell>
          <cell r="G1675" t="str">
            <v>Белая гладкая</v>
          </cell>
          <cell r="H1675">
            <v>0</v>
          </cell>
          <cell r="I1675" t="str">
            <v>Вакансия</v>
          </cell>
        </row>
        <row r="1676">
          <cell r="A1676">
            <v>3395</v>
          </cell>
          <cell r="B1676" t="str">
            <v>Стол письменный Neoletta 4 ящика Белое тисн./Дуб Вотан</v>
          </cell>
          <cell r="D1676" t="str">
            <v>СТОЛЫ</v>
          </cell>
          <cell r="E1676">
            <v>0</v>
          </cell>
          <cell r="H1676">
            <v>0</v>
          </cell>
          <cell r="I1676" t="str">
            <v>Вакансия</v>
          </cell>
        </row>
        <row r="1677">
          <cell r="A1677">
            <v>3880</v>
          </cell>
          <cell r="B1677" t="str">
            <v>Фасад шкафа стеллажа детского 2 шт(1 компл) Белое гладкое 386х788(h)х16</v>
          </cell>
          <cell r="D1677" t="str">
            <v>ШКАФЫ</v>
          </cell>
          <cell r="E1677">
            <v>0</v>
          </cell>
          <cell r="G1677" t="str">
            <v>Белая гладкая</v>
          </cell>
          <cell r="H1677">
            <v>0</v>
          </cell>
          <cell r="I1677" t="str">
            <v>Вакансия</v>
          </cell>
        </row>
        <row r="1678">
          <cell r="A1678">
            <v>3707</v>
          </cell>
          <cell r="B1678" t="str">
            <v>Стеллаж Quattro New 6 секций Белое тиснение 642х956(h)х288</v>
          </cell>
          <cell r="D1678" t="str">
            <v>СТЕЛЛАЖИ</v>
          </cell>
          <cell r="E1678">
            <v>0</v>
          </cell>
          <cell r="G1678" t="str">
            <v>Белое тиснение</v>
          </cell>
          <cell r="H1678">
            <v>0</v>
          </cell>
          <cell r="I1678" t="str">
            <v>Вакансия</v>
          </cell>
        </row>
        <row r="1679">
          <cell r="A1679">
            <v>3782</v>
          </cell>
          <cell r="B1679" t="str">
            <v>Стеллаж Hardy Лайт New с дверками Белое тиснение 602х2006(h)х420</v>
          </cell>
          <cell r="D1679" t="str">
            <v>СТЕЛЛАЖИ</v>
          </cell>
          <cell r="E1679">
            <v>0</v>
          </cell>
          <cell r="G1679" t="str">
            <v>Белое тиснение</v>
          </cell>
          <cell r="H1679">
            <v>0</v>
          </cell>
          <cell r="I1679" t="str">
            <v>Вакансия</v>
          </cell>
        </row>
        <row r="1680">
          <cell r="A1680">
            <v>3883</v>
          </cell>
          <cell r="B1680" t="str">
            <v>Комод Ультра 4 ящика ЛДСП 18 Белая гладкая 750х734(h)х334</v>
          </cell>
          <cell r="D1680" t="str">
            <v>КОМОДЫ</v>
          </cell>
          <cell r="E1680">
            <v>0</v>
          </cell>
          <cell r="H1680">
            <v>0</v>
          </cell>
          <cell r="I1680" t="str">
            <v>Вакансия</v>
          </cell>
        </row>
        <row r="1681">
          <cell r="A1681">
            <v>3884</v>
          </cell>
          <cell r="B1681" t="str">
            <v>Шкаф-комод Ультра 2х дверный ЛДСП 18 Белая гладкая 602х701(h)х290</v>
          </cell>
          <cell r="D1681" t="str">
            <v>ШКАФЫ</v>
          </cell>
          <cell r="E1681">
            <v>0</v>
          </cell>
          <cell r="H1681">
            <v>0</v>
          </cell>
          <cell r="I1681" t="str">
            <v>Вакансия</v>
          </cell>
        </row>
        <row r="1682">
          <cell r="A1682">
            <v>3743</v>
          </cell>
          <cell r="B1682" t="str">
            <v>Шкаф комод City Дуб Вотан 1200х1176(h)х502</v>
          </cell>
          <cell r="D1682" t="str">
            <v>КОМОДЫ</v>
          </cell>
          <cell r="E1682">
            <v>0</v>
          </cell>
          <cell r="H1682">
            <v>0</v>
          </cell>
          <cell r="I1682" t="str">
            <v>Вакансия</v>
          </cell>
        </row>
        <row r="1683">
          <cell r="A1683">
            <v>3284</v>
          </cell>
          <cell r="B1683" t="str">
            <v>Комод City 2х дверный с ящиком Белое тисн. 700х867(h)х354</v>
          </cell>
          <cell r="D1683" t="str">
            <v>КОМОДЫ</v>
          </cell>
          <cell r="E1683">
            <v>0</v>
          </cell>
          <cell r="H1683">
            <v>0</v>
          </cell>
          <cell r="I1683" t="str">
            <v>Вакансия</v>
          </cell>
        </row>
        <row r="1684">
          <cell r="A1684">
            <v>3563</v>
          </cell>
          <cell r="B1684" t="str">
            <v>Стол рабочий угловой Malta Plus Белое тиснен.</v>
          </cell>
          <cell r="D1684" t="str">
            <v>СТОЛЫ</v>
          </cell>
          <cell r="E1684">
            <v>0</v>
          </cell>
          <cell r="H1684">
            <v>0</v>
          </cell>
          <cell r="I1684" t="str">
            <v>Вакансия</v>
          </cell>
        </row>
        <row r="1685">
          <cell r="A1685">
            <v>3581</v>
          </cell>
          <cell r="B1685" t="str">
            <v>Стеллаж угловой в детскую для игрушек Белое тиснен.</v>
          </cell>
          <cell r="D1685" t="str">
            <v>СТЕЛЛАЖИ</v>
          </cell>
          <cell r="E1685">
            <v>0</v>
          </cell>
          <cell r="H1685">
            <v>0</v>
          </cell>
          <cell r="I1685" t="str">
            <v>Вакансия</v>
          </cell>
        </row>
        <row r="1686">
          <cell r="A1686">
            <v>3638</v>
          </cell>
          <cell r="B1686" t="str">
            <v>Стеллаж Zett с органайзером Белое тиснение/Ткань Capri №42 730х1757(h)х250</v>
          </cell>
          <cell r="D1686" t="str">
            <v>СТЕЛЛАЖИ</v>
          </cell>
          <cell r="E1686">
            <v>0</v>
          </cell>
          <cell r="F1686" t="str">
            <v>Стеллаж Zett с органайзером</v>
          </cell>
          <cell r="H1686">
            <v>0</v>
          </cell>
          <cell r="I1686" t="str">
            <v>Вакансия</v>
          </cell>
        </row>
        <row r="1687">
          <cell r="A1687">
            <v>3639</v>
          </cell>
          <cell r="B1687" t="str">
            <v>Стеллаж Zett с органайзером Белое тиснение/Ткань Capri №43 730х1757(h)х250</v>
          </cell>
          <cell r="D1687" t="str">
            <v>СТЕЛЛАЖИ</v>
          </cell>
          <cell r="E1687">
            <v>0</v>
          </cell>
          <cell r="F1687" t="str">
            <v>Стеллаж Zett с органайзером</v>
          </cell>
          <cell r="H1687">
            <v>0</v>
          </cell>
          <cell r="I1687" t="str">
            <v>Вакансия</v>
          </cell>
        </row>
        <row r="1688">
          <cell r="A1688">
            <v>3640</v>
          </cell>
          <cell r="B1688" t="str">
            <v>Стеллаж Zett с органайзером Белое тиснение/Ткань Capri №48 730х1757(h)х250</v>
          </cell>
          <cell r="D1688" t="str">
            <v>СТЕЛЛАЖИ</v>
          </cell>
          <cell r="E1688">
            <v>0</v>
          </cell>
          <cell r="F1688" t="str">
            <v>Стеллаж Zett с органайзером</v>
          </cell>
          <cell r="H1688">
            <v>0</v>
          </cell>
          <cell r="I1688" t="str">
            <v>Вакансия</v>
          </cell>
        </row>
        <row r="1689">
          <cell r="A1689">
            <v>3885</v>
          </cell>
          <cell r="B1689" t="str">
            <v>Комод City 3 ящика ЛДСП 18 Белая гладкая 700х675х354</v>
          </cell>
          <cell r="D1689" t="str">
            <v>КОМОДЫ</v>
          </cell>
          <cell r="E1689">
            <v>0</v>
          </cell>
          <cell r="H1689">
            <v>0</v>
          </cell>
          <cell r="I1689" t="str">
            <v>Вакансия</v>
          </cell>
        </row>
        <row r="1690">
          <cell r="A1690" t="str">
            <v>2491.20/01</v>
          </cell>
          <cell r="B1690" t="str">
            <v>Стеллаж 6 секций Цемент светлый вельвет 948х653(h)х294</v>
          </cell>
          <cell r="D1690" t="str">
            <v>СТЕЛЛАЖИ</v>
          </cell>
          <cell r="E1690">
            <v>0</v>
          </cell>
          <cell r="H1690">
            <v>0</v>
          </cell>
          <cell r="I1690" t="str">
            <v>Вакансия</v>
          </cell>
        </row>
        <row r="1691">
          <cell r="A1691" t="str">
            <v>3583.25/01</v>
          </cell>
          <cell r="B1691" t="str">
            <v>Обувница стеллаж Ultra Plus Цемент темный молет 690х1184(h)х348</v>
          </cell>
          <cell r="D1691" t="str">
            <v>ОБУВНИЦЫ</v>
          </cell>
          <cell r="E1691">
            <v>0</v>
          </cell>
          <cell r="F1691" t="str">
            <v>Обувница стеллаж Ultra Plus</v>
          </cell>
          <cell r="G1691" t="str">
            <v>Цемент темный молет</v>
          </cell>
          <cell r="H1691">
            <v>0</v>
          </cell>
          <cell r="I1691" t="str">
            <v>Вакансия</v>
          </cell>
        </row>
        <row r="1692">
          <cell r="A1692" t="str">
            <v>3012.09/01</v>
          </cell>
          <cell r="B1692" t="str">
            <v>Комод City 4 ящика Серый Графит 700х867х354</v>
          </cell>
          <cell r="D1692" t="str">
            <v>КОМОДЫ</v>
          </cell>
          <cell r="E1692">
            <v>0</v>
          </cell>
          <cell r="H1692">
            <v>0</v>
          </cell>
          <cell r="I1692" t="str">
            <v>вакансия</v>
          </cell>
        </row>
        <row r="1693">
          <cell r="A1693" t="str">
            <v>3175.25.17/01</v>
          </cell>
          <cell r="B1693" t="str">
            <v>Комод Blues 2х дверн. с ящ. Цемент темный молет/Белая гладкая 750х795(h)х320</v>
          </cell>
          <cell r="D1693" t="str">
            <v>КОМОДЫ</v>
          </cell>
          <cell r="E1693">
            <v>0</v>
          </cell>
          <cell r="F1693" t="str">
            <v>Комод Blues 2х   дверн. с ящ.</v>
          </cell>
          <cell r="G1693" t="str">
            <v>Цемент темный молет/Белая гладкая</v>
          </cell>
          <cell r="H1693">
            <v>0</v>
          </cell>
          <cell r="I1693" t="str">
            <v>Вакансия</v>
          </cell>
        </row>
        <row r="1694">
          <cell r="A1694" t="str">
            <v>3709.06/01</v>
          </cell>
          <cell r="B1694" t="str">
            <v>Стеллаж Quattro New со штангой для вещей Дуб Крафт Белый 642х1236(h)х288</v>
          </cell>
          <cell r="D1694" t="str">
            <v>СТЕЛЛАЖИ</v>
          </cell>
          <cell r="E1694">
            <v>0</v>
          </cell>
          <cell r="F1694" t="str">
            <v>Стеллаж Quattro New со штангой для вещей</v>
          </cell>
          <cell r="G1694" t="str">
            <v>Дуб Крафт Белый</v>
          </cell>
          <cell r="H1694">
            <v>0</v>
          </cell>
          <cell r="I1694" t="str">
            <v>Вакансия</v>
          </cell>
        </row>
        <row r="1695">
          <cell r="A1695" t="str">
            <v>135531.23/01</v>
          </cell>
          <cell r="B1695" t="str">
            <v>Комод Ультра 4 ящика Дуб Гудзон Кашемир 750х734(h)х334</v>
          </cell>
          <cell r="D1695" t="str">
            <v>КОМОДЫ</v>
          </cell>
          <cell r="E1695">
            <v>0</v>
          </cell>
          <cell r="H1695">
            <v>0</v>
          </cell>
          <cell r="I1695" t="str">
            <v>Вакансия</v>
          </cell>
        </row>
        <row r="1696">
          <cell r="A1696" t="str">
            <v>135531.18/01</v>
          </cell>
          <cell r="B1696" t="str">
            <v>Комод Ультра 4 ящика Дуб Гудзон Амаретто 750х734(h)х334</v>
          </cell>
          <cell r="D1696" t="str">
            <v>КОМОДЫ</v>
          </cell>
          <cell r="E1696">
            <v>0</v>
          </cell>
          <cell r="H1696">
            <v>0</v>
          </cell>
          <cell r="I1696" t="str">
            <v>Вакансия</v>
          </cell>
        </row>
        <row r="1697">
          <cell r="A1697" t="str">
            <v>135531.19/01</v>
          </cell>
          <cell r="B1697" t="str">
            <v>Комод Ультра 4 ящика Дуб Гудзон Шоколад 750х734(h)х334</v>
          </cell>
          <cell r="D1697" t="str">
            <v>КОМОДЫ</v>
          </cell>
          <cell r="E1697">
            <v>0</v>
          </cell>
          <cell r="H1697">
            <v>0</v>
          </cell>
          <cell r="I1697" t="str">
            <v>Вакансия</v>
          </cell>
        </row>
        <row r="1698">
          <cell r="A1698" t="str">
            <v>135531.17Д01</v>
          </cell>
          <cell r="B1698" t="str">
            <v>Комод Ультра 4 ящика с делителем Белая гладкая 750х734(h)х334</v>
          </cell>
          <cell r="D1698" t="str">
            <v>КОМОДЫ</v>
          </cell>
          <cell r="E1698">
            <v>0</v>
          </cell>
          <cell r="H1698">
            <v>0</v>
          </cell>
          <cell r="I1698" t="str">
            <v>Вакансия</v>
          </cell>
        </row>
        <row r="1699">
          <cell r="A1699">
            <v>3453</v>
          </cell>
          <cell r="B1699" t="str">
            <v xml:space="preserve">Комод стеллаж Neoletta 3х дверн. Белое тиснен./Дуб Вотан </v>
          </cell>
          <cell r="D1699" t="str">
            <v>КОМОДЫ</v>
          </cell>
          <cell r="E1699">
            <v>0</v>
          </cell>
          <cell r="H1699">
            <v>0</v>
          </cell>
          <cell r="I1699" t="str">
            <v>Вакансия</v>
          </cell>
        </row>
        <row r="1700">
          <cell r="A1700">
            <v>3298</v>
          </cell>
          <cell r="B1700" t="str">
            <v>Комод Neoletta 6 ящиков Белое тиснен./Дуб Вотан</v>
          </cell>
          <cell r="D1700" t="str">
            <v>КОМОДЫ</v>
          </cell>
          <cell r="E1700">
            <v>0</v>
          </cell>
          <cell r="H1700">
            <v>0</v>
          </cell>
          <cell r="I1700" t="str">
            <v>Вакансия</v>
          </cell>
        </row>
        <row r="1701">
          <cell r="A1701" t="str">
            <v>3024.20/01</v>
          </cell>
          <cell r="B1701" t="str">
            <v>Комод City 5 ящиков Цемент светлый вельвет 400х1059(h)х354</v>
          </cell>
          <cell r="D1701" t="str">
            <v>КОМОДЫ</v>
          </cell>
          <cell r="E1701">
            <v>0</v>
          </cell>
          <cell r="H1701">
            <v>0</v>
          </cell>
          <cell r="I1701" t="str">
            <v>Вакансия</v>
          </cell>
        </row>
        <row r="1702">
          <cell r="A1702" t="str">
            <v>3021.20/01</v>
          </cell>
          <cell r="B1702" t="str">
            <v>Комод City 3 ящика Цемент светлый вельвет 700х675(h)х354</v>
          </cell>
          <cell r="D1702" t="str">
            <v>КОМОДЫ</v>
          </cell>
          <cell r="E1702">
            <v>0</v>
          </cell>
          <cell r="H1702">
            <v>0</v>
          </cell>
          <cell r="I1702" t="str">
            <v>Вакансия</v>
          </cell>
        </row>
        <row r="1703">
          <cell r="A1703">
            <v>3890</v>
          </cell>
          <cell r="B1703" t="str">
            <v>Шкаф-комод Ультра Push 2х дверный ЛДСП 18 Белая гладкая 602х701(h)х290</v>
          </cell>
          <cell r="D1703" t="str">
            <v>КОМОДЫ</v>
          </cell>
          <cell r="E1703">
            <v>0</v>
          </cell>
          <cell r="F1703" t="str">
            <v>Шкаф комод Ультра Push 2х дверный</v>
          </cell>
          <cell r="G1703" t="str">
            <v>Белая гладкая</v>
          </cell>
          <cell r="H1703">
            <v>0</v>
          </cell>
          <cell r="I1703" t="str">
            <v>Вакансия</v>
          </cell>
        </row>
        <row r="1704">
          <cell r="A1704" t="str">
            <v>3803.20/01</v>
          </cell>
          <cell r="B1704" t="str">
            <v>Комод City Lite 2х дверный с ящиком Цемент светлый вельвет 700х734(h)х334</v>
          </cell>
          <cell r="D1704" t="str">
            <v>КОМОДЫ</v>
          </cell>
          <cell r="E1704">
            <v>0</v>
          </cell>
          <cell r="H1704">
            <v>0</v>
          </cell>
          <cell r="I1704" t="str">
            <v>Вакансия</v>
          </cell>
        </row>
        <row r="1705">
          <cell r="A1705" t="str">
            <v>3818.20/01</v>
          </cell>
          <cell r="B1705" t="str">
            <v>Шкаф комод Николь универсальный Цемент светлый вельвет 1248х1021(h)х474</v>
          </cell>
          <cell r="D1705" t="str">
            <v>КОМОДЫ</v>
          </cell>
          <cell r="E1705">
            <v>0</v>
          </cell>
          <cell r="H1705">
            <v>0</v>
          </cell>
          <cell r="I1705" t="str">
            <v>Вакансия</v>
          </cell>
        </row>
        <row r="1706">
          <cell r="A1706" t="str">
            <v>3012.20/01</v>
          </cell>
          <cell r="B1706" t="str">
            <v>Комод City 4 ящика Цемент светлый вельвет 700х867х354</v>
          </cell>
          <cell r="D1706" t="str">
            <v>КОМОДЫ</v>
          </cell>
          <cell r="E1706">
            <v>0</v>
          </cell>
          <cell r="H1706">
            <v>0</v>
          </cell>
          <cell r="I1706" t="str">
            <v>Вакансия</v>
          </cell>
        </row>
        <row r="1707">
          <cell r="A1707">
            <v>3239</v>
          </cell>
          <cell r="B1707" t="str">
            <v>Комод Boston 4 ящ. Белое тисн./Дуб вотан 380х1032(h)х404</v>
          </cell>
          <cell r="D1707" t="str">
            <v>КОМОДЫ</v>
          </cell>
          <cell r="E1707">
            <v>0</v>
          </cell>
          <cell r="H1707">
            <v>0</v>
          </cell>
          <cell r="I1707" t="str">
            <v>Вакансия</v>
          </cell>
        </row>
        <row r="1708">
          <cell r="A1708">
            <v>3457</v>
          </cell>
          <cell r="B1708" t="str">
            <v>Обувница Neoletta 3 секции Белое тиснен./Дуб Вотан</v>
          </cell>
          <cell r="D1708" t="str">
            <v>ОБУВНИЦЫ</v>
          </cell>
          <cell r="E1708">
            <v>0</v>
          </cell>
          <cell r="H1708">
            <v>0</v>
          </cell>
          <cell r="I1708" t="str">
            <v>Вакансия</v>
          </cell>
        </row>
        <row r="1709">
          <cell r="A1709">
            <v>3603</v>
          </cell>
          <cell r="B1709" t="str">
            <v>Обувница Ultra вертикальная универсальная 2 секции ЛДСП Дуб Вотан/Антрацит</v>
          </cell>
          <cell r="D1709" t="str">
            <v>ОБУВНИЦЫ</v>
          </cell>
          <cell r="E1709">
            <v>0</v>
          </cell>
          <cell r="H1709">
            <v>0</v>
          </cell>
          <cell r="I1709" t="str">
            <v>Вакансия</v>
          </cell>
        </row>
        <row r="1710">
          <cell r="A1710">
            <v>3456</v>
          </cell>
          <cell r="B1710" t="str">
            <v>Обувница Neoletta 2 секции Белое тиснен./Дуб Вотан</v>
          </cell>
          <cell r="D1710" t="str">
            <v>ОБУВНИЦЫ</v>
          </cell>
          <cell r="E1710">
            <v>0</v>
          </cell>
          <cell r="H1710">
            <v>0</v>
          </cell>
          <cell r="I1710" t="str">
            <v>Вакансия</v>
          </cell>
        </row>
        <row r="1711">
          <cell r="A1711">
            <v>3733</v>
          </cell>
          <cell r="B1711" t="str">
            <v>Cтеллаж угловой в детскую для игрушек Дуб Вотан 580х814(h)х580</v>
          </cell>
          <cell r="D1711" t="str">
            <v>СТЕЛЛАЖИ</v>
          </cell>
          <cell r="E1711">
            <v>0</v>
          </cell>
          <cell r="F1711" t="str">
            <v>Cтеллаж угловой в детскую для игрушек</v>
          </cell>
          <cell r="G1711" t="str">
            <v>Дуб Вотан</v>
          </cell>
          <cell r="H1711">
            <v>0</v>
          </cell>
          <cell r="I1711" t="str">
            <v>Вакансия</v>
          </cell>
        </row>
        <row r="1712">
          <cell r="A1712" t="str">
            <v>3782.20/01</v>
          </cell>
          <cell r="B1712" t="str">
            <v xml:space="preserve">Стеллаж Hardy Лайт New с дверками Цемент светлый вельвет 602х2006(h)х420    </v>
          </cell>
          <cell r="D1712" t="str">
            <v>СТЕЛЛАЖИ</v>
          </cell>
          <cell r="E1712">
            <v>0</v>
          </cell>
          <cell r="H1712">
            <v>0</v>
          </cell>
          <cell r="I1712" t="str">
            <v>Вакансия</v>
          </cell>
        </row>
        <row r="1713">
          <cell r="A1713" t="str">
            <v>MK2160101</v>
          </cell>
          <cell r="B1713" t="str">
            <v>Шкаф в прихожую спальню ЛДСП Дуб Вотан, Черн. металл.</v>
          </cell>
          <cell r="D1713" t="str">
            <v>ШКАФЫ</v>
          </cell>
          <cell r="E1713">
            <v>0</v>
          </cell>
          <cell r="H1713">
            <v>0</v>
          </cell>
          <cell r="I1713" t="str">
            <v>Вакансия</v>
          </cell>
        </row>
        <row r="1714">
          <cell r="A1714" t="str">
            <v>MK2162001</v>
          </cell>
          <cell r="B1714" t="str">
            <v>Шкаф в прихожую спальню ЛДСП Цемент светл.вельвет,Черн.металл 1290х2000(h)х374</v>
          </cell>
          <cell r="D1714" t="str">
            <v>ШКАФЫ</v>
          </cell>
          <cell r="E1714">
            <v>0</v>
          </cell>
          <cell r="H1714">
            <v>0</v>
          </cell>
          <cell r="I1714" t="str">
            <v>Вакансия</v>
          </cell>
        </row>
        <row r="1715">
          <cell r="A1715" t="str">
            <v>MK1340201</v>
          </cell>
          <cell r="B1715" t="str">
            <v>Стол рабочий Tokyo ЛДСП Белое тиснение, Черн. металл. 900х750(h)х450</v>
          </cell>
          <cell r="D1715" t="str">
            <v>СТОЛЫ</v>
          </cell>
          <cell r="E1715">
            <v>0</v>
          </cell>
          <cell r="G1715" t="str">
            <v xml:space="preserve">ЛДСП Белое тиснение, Черн. металл. </v>
          </cell>
          <cell r="H1715">
            <v>0</v>
          </cell>
          <cell r="I1715" t="str">
            <v>Вакансия</v>
          </cell>
        </row>
        <row r="1716">
          <cell r="A1716" t="str">
            <v>MK1130101</v>
          </cell>
          <cell r="B1716" t="str">
            <v>Стол письмен. Frame с ящ.. с полкой ЛДСП Дуб Вотан, Черн.металл.</v>
          </cell>
          <cell r="D1716" t="str">
            <v>СТОЛЫ</v>
          </cell>
          <cell r="E1716">
            <v>0</v>
          </cell>
          <cell r="H1716">
            <v>0</v>
          </cell>
          <cell r="I1716" t="str">
            <v>Вакансия</v>
          </cell>
        </row>
        <row r="1717">
          <cell r="A1717" t="str">
            <v>М000134</v>
          </cell>
          <cell r="B1717" t="str">
            <v>Диван еврокнижка Рокфорд Vivaldi №25</v>
          </cell>
          <cell r="D1717" t="str">
            <v>ДИВАНЫ</v>
          </cell>
          <cell r="E1717">
            <v>0</v>
          </cell>
          <cell r="H1717">
            <v>0</v>
          </cell>
          <cell r="I1717" t="str">
            <v>Вакансия</v>
          </cell>
        </row>
        <row r="1718">
          <cell r="A1718" t="str">
            <v>ПШ27114</v>
          </cell>
          <cell r="B1718" t="str">
            <v>Органайзер ткань Capri №20 Стеллажа Zett 250х250(h)250</v>
          </cell>
          <cell r="D1718" t="str">
            <v>ОРГАНАЙЗЕР</v>
          </cell>
          <cell r="E1718">
            <v>0</v>
          </cell>
          <cell r="H1718">
            <v>0</v>
          </cell>
          <cell r="I1718" t="str">
            <v>Вакансия</v>
          </cell>
        </row>
        <row r="1719">
          <cell r="A1719" t="str">
            <v>ПШ27116</v>
          </cell>
          <cell r="B1719" t="str">
            <v>Органайзер ткань Capri №32 Стеллажа Zett 250х250(h)250</v>
          </cell>
          <cell r="D1719" t="str">
            <v>ОРГАНАЙЗЕР</v>
          </cell>
          <cell r="E1719">
            <v>0</v>
          </cell>
          <cell r="H1719">
            <v>0</v>
          </cell>
          <cell r="I1719" t="str">
            <v>Вакансия</v>
          </cell>
        </row>
        <row r="1720">
          <cell r="A1720" t="str">
            <v>ПШ27117</v>
          </cell>
          <cell r="B1720" t="str">
            <v>Органайзер ткань Capri №42 Стеллажа Zett 250х250(h)250</v>
          </cell>
          <cell r="D1720" t="str">
            <v>ОРГАНАЙЗЕР</v>
          </cell>
          <cell r="E1720">
            <v>0</v>
          </cell>
          <cell r="H1720">
            <v>0</v>
          </cell>
          <cell r="I1720" t="str">
            <v>Вакансия</v>
          </cell>
        </row>
        <row r="1721">
          <cell r="A1721" t="str">
            <v>ПШ27118</v>
          </cell>
          <cell r="B1721" t="str">
            <v>Органайзер ткань Capri №43 Стеллажа Zett 250х250(h)250</v>
          </cell>
          <cell r="D1721" t="str">
            <v>ОРГАНАЙЗЕР</v>
          </cell>
          <cell r="E1721">
            <v>0</v>
          </cell>
          <cell r="H1721">
            <v>0</v>
          </cell>
          <cell r="I1721" t="str">
            <v>Вакансия</v>
          </cell>
        </row>
        <row r="1722">
          <cell r="A1722" t="str">
            <v>ПШ27119</v>
          </cell>
          <cell r="B1722" t="str">
            <v>Органайзер ткань Capri №48 Стеллажа Zett 250х250(h)250</v>
          </cell>
          <cell r="D1722" t="str">
            <v>ОРГАНАЙЗЕР</v>
          </cell>
          <cell r="E1722">
            <v>0</v>
          </cell>
          <cell r="H1722">
            <v>0</v>
          </cell>
          <cell r="I1722" t="str">
            <v>Вакансия</v>
          </cell>
        </row>
        <row r="1723">
          <cell r="A1723" t="str">
            <v>ПШ28153</v>
          </cell>
          <cell r="B1723" t="str">
            <v>Органайзер Спанбонд бежевый Стеллажа Quattro 280х280(h)х280</v>
          </cell>
          <cell r="D1723" t="str">
            <v>ОРГАНАЙЗЕР</v>
          </cell>
          <cell r="E1723">
            <v>0</v>
          </cell>
          <cell r="H1723">
            <v>0</v>
          </cell>
          <cell r="I1723" t="str">
            <v>Вакансия</v>
          </cell>
        </row>
        <row r="1724">
          <cell r="A1724" t="str">
            <v>ПШ14205</v>
          </cell>
          <cell r="B1724" t="str">
            <v xml:space="preserve">Органайзер ткань Capri №30 Комод Capri 6 ящ. 360х190(h)х280 </v>
          </cell>
          <cell r="D1724" t="str">
            <v>ОРГАНАЙЗЕР</v>
          </cell>
          <cell r="E1724">
            <v>0</v>
          </cell>
          <cell r="H1724">
            <v>0</v>
          </cell>
          <cell r="I1724" t="str">
            <v>Вакансия</v>
          </cell>
        </row>
        <row r="1725">
          <cell r="A1725" t="str">
            <v>ПШ28056</v>
          </cell>
          <cell r="B1725" t="str">
            <v xml:space="preserve">Органайзер ткань NEO 2 (Рогожка) Стеллажа Hardy 550х270(h)х210 </v>
          </cell>
          <cell r="D1725" t="str">
            <v>ОРГАНАЙЗЕР</v>
          </cell>
          <cell r="E1725">
            <v>0</v>
          </cell>
          <cell r="H1725">
            <v>0</v>
          </cell>
          <cell r="I1725" t="str">
            <v>Вакансия</v>
          </cell>
        </row>
        <row r="1726">
          <cell r="A1726" t="str">
            <v>ПШ27911</v>
          </cell>
          <cell r="B1726" t="str">
            <v>Органайзер Ткань Savanna Camel Стеллажа Zett 500х250(h)х210</v>
          </cell>
          <cell r="D1726" t="str">
            <v>ОРГАНАЙЗЕР</v>
          </cell>
          <cell r="E1726">
            <v>0</v>
          </cell>
          <cell r="H1726">
            <v>0</v>
          </cell>
          <cell r="I1726" t="str">
            <v>Вакансия</v>
          </cell>
        </row>
        <row r="1727">
          <cell r="A1727" t="str">
            <v>ПШ27103</v>
          </cell>
          <cell r="B1727" t="str">
            <v>Органайзер ткань Capri №29 Стеллажа Zett  250х250(h)х250</v>
          </cell>
          <cell r="D1727" t="str">
            <v>ОРГАНАЙЗЕР</v>
          </cell>
          <cell r="E1727">
            <v>0</v>
          </cell>
          <cell r="H1727">
            <v>0</v>
          </cell>
          <cell r="I1727" t="str">
            <v>Вакансия</v>
          </cell>
        </row>
        <row r="1728">
          <cell r="A1728" t="str">
            <v>ПШ27108</v>
          </cell>
          <cell r="B1728" t="str">
            <v>Органайзер ткань Capri №9 Стеллажа Zett  250х250(h)х250</v>
          </cell>
          <cell r="D1728" t="str">
            <v>ОРГАНАЙЗЕР</v>
          </cell>
          <cell r="E1728">
            <v>0</v>
          </cell>
          <cell r="H1728">
            <v>0</v>
          </cell>
          <cell r="I1728" t="str">
            <v>Вакансия</v>
          </cell>
        </row>
        <row r="1729">
          <cell r="A1729" t="str">
            <v>ПШ27113</v>
          </cell>
          <cell r="B1729" t="str">
            <v>Органайзер ткань Capri №18 Стеллажа Zett  250х250(h)х250</v>
          </cell>
          <cell r="D1729" t="str">
            <v>ОРГАНАЙЗЕР</v>
          </cell>
          <cell r="E1729">
            <v>0</v>
          </cell>
          <cell r="H1729">
            <v>0</v>
          </cell>
          <cell r="I1729" t="str">
            <v>Вакансия</v>
          </cell>
        </row>
        <row r="1730">
          <cell r="A1730" t="str">
            <v>ПШ27131</v>
          </cell>
          <cell r="B1730" t="str">
            <v>Органайзер ткань Capri №21 Стеллажа Zett  250х250(h)х250</v>
          </cell>
          <cell r="D1730" t="str">
            <v>ОРГАНАЙЗЕР</v>
          </cell>
          <cell r="E1730">
            <v>0</v>
          </cell>
          <cell r="H1730">
            <v>0</v>
          </cell>
          <cell r="I1730" t="str">
            <v>Вакансия</v>
          </cell>
        </row>
        <row r="1731">
          <cell r="A1731" t="str">
            <v>ПШ27128</v>
          </cell>
          <cell r="B1731" t="str">
            <v>Органайзер ткань SAVANNA GREY Стеллажа Zett  250х250(h)х250</v>
          </cell>
          <cell r="D1731" t="str">
            <v>ОРГАНАЙЗЕР</v>
          </cell>
          <cell r="E1731">
            <v>0</v>
          </cell>
          <cell r="H1731">
            <v>0</v>
          </cell>
          <cell r="I1731" t="str">
            <v>Вакансия</v>
          </cell>
        </row>
        <row r="1732">
          <cell r="A1732" t="str">
            <v>ПШ27123</v>
          </cell>
          <cell r="B1732" t="str">
            <v>Органайзер Ткань СМ Стеллажа Zett  250х250(h)х250</v>
          </cell>
          <cell r="D1732" t="str">
            <v>ОРГАНАЙЗЕР</v>
          </cell>
          <cell r="E1732">
            <v>0</v>
          </cell>
          <cell r="H1732">
            <v>0</v>
          </cell>
          <cell r="I1732" t="str">
            <v>Вакансия</v>
          </cell>
        </row>
        <row r="1733">
          <cell r="A1733" t="str">
            <v>ПШ27129</v>
          </cell>
          <cell r="B1733" t="str">
            <v>Органайзер ткань SAVANNA Plus Denim Стеллажа Zett  250х250(h)х250</v>
          </cell>
          <cell r="D1733" t="str">
            <v>ОРГАНАЙЗЕР</v>
          </cell>
          <cell r="E1733">
            <v>0</v>
          </cell>
          <cell r="H1733">
            <v>0</v>
          </cell>
          <cell r="I1733" t="str">
            <v>Вакансия</v>
          </cell>
        </row>
        <row r="1734">
          <cell r="A1734" t="str">
            <v>ПШ27127</v>
          </cell>
          <cell r="B1734" t="str">
            <v>Органайзер ткань SAVANNA GREEN Стеллажа Zett  250х250(h)х250</v>
          </cell>
          <cell r="D1734" t="str">
            <v>ОРГАНАЙЗЕР</v>
          </cell>
          <cell r="E1734">
            <v>0</v>
          </cell>
          <cell r="H1734">
            <v>0</v>
          </cell>
          <cell r="I1734" t="str">
            <v>Вакансия</v>
          </cell>
        </row>
        <row r="1735">
          <cell r="A1735" t="str">
            <v>ПШ27126</v>
          </cell>
          <cell r="B1735" t="str">
            <v>Органайзер ткань SAVANNA COFFEE Стеллажа Zett  250х250(h)х250</v>
          </cell>
          <cell r="D1735" t="str">
            <v>ОРГАНАЙЗЕР</v>
          </cell>
          <cell r="E1735">
            <v>0</v>
          </cell>
          <cell r="H1735">
            <v>0</v>
          </cell>
          <cell r="I1735" t="str">
            <v>Вакансия</v>
          </cell>
        </row>
        <row r="1736">
          <cell r="A1736" t="str">
            <v>ПШ27124</v>
          </cell>
          <cell r="B1736" t="str">
            <v>Органайзер ткань SAVANNA BERRY Стеллажа Zett  250х250(h)х250</v>
          </cell>
          <cell r="D1736" t="str">
            <v>ОРГАНАЙЗЕР</v>
          </cell>
          <cell r="E1736">
            <v>0</v>
          </cell>
          <cell r="H1736">
            <v>0</v>
          </cell>
          <cell r="I1736" t="str">
            <v>Вакансия</v>
          </cell>
        </row>
        <row r="1737">
          <cell r="A1737" t="str">
            <v>ПШ27923</v>
          </cell>
          <cell r="B1737" t="str">
            <v>Органайзер Ткань СМ Стеллажа Zett 500х250(h)х210</v>
          </cell>
          <cell r="D1737" t="str">
            <v>ОРГАНАЙЗЕР</v>
          </cell>
          <cell r="E1737">
            <v>0</v>
          </cell>
          <cell r="H1737">
            <v>0</v>
          </cell>
          <cell r="I1737" t="str">
            <v>Вакансия</v>
          </cell>
        </row>
        <row r="1738">
          <cell r="A1738" t="str">
            <v>ПШ27924</v>
          </cell>
          <cell r="B1738" t="str">
            <v>Органайзер Ткань SAVANNA BERRY Стеллажа Zett 500х250(h)х210</v>
          </cell>
          <cell r="D1738" t="str">
            <v>ОРГАНАЙЗЕР</v>
          </cell>
          <cell r="E1738">
            <v>0</v>
          </cell>
          <cell r="H1738">
            <v>0</v>
          </cell>
          <cell r="I1738" t="str">
            <v>Вакансия</v>
          </cell>
        </row>
        <row r="1739">
          <cell r="A1739" t="str">
            <v>ПШ27125</v>
          </cell>
          <cell r="B1739" t="str">
            <v>Органайзер ткань SAVANNA CHOCOLATE Стеллажа Zett 250х250(h)х250</v>
          </cell>
          <cell r="D1739" t="str">
            <v>ОРГАНАЙЗЕР</v>
          </cell>
          <cell r="E1739">
            <v>0</v>
          </cell>
          <cell r="H1739">
            <v>0</v>
          </cell>
          <cell r="I1739" t="str">
            <v>Вакансия</v>
          </cell>
        </row>
        <row r="1740">
          <cell r="A1740" t="str">
            <v>ПШ28023</v>
          </cell>
          <cell r="B1740" t="str">
            <v>Органайзер Ткань СМ Стеллажа Hardy 550х270(h)х210</v>
          </cell>
          <cell r="D1740" t="str">
            <v>ОРГАНАЙЗЕР</v>
          </cell>
          <cell r="E1740">
            <v>0</v>
          </cell>
          <cell r="H1740">
            <v>0</v>
          </cell>
          <cell r="I1740" t="str">
            <v>Вакансия</v>
          </cell>
        </row>
        <row r="1741">
          <cell r="A1741" t="str">
            <v>ПШ28024</v>
          </cell>
          <cell r="B1741" t="str">
            <v>Органайзер Ткань Savanna BERRY Стеллажа Hardy 550х270(h)х210</v>
          </cell>
          <cell r="D1741" t="str">
            <v>ОРГАНАЙЗЕР</v>
          </cell>
          <cell r="E1741">
            <v>0</v>
          </cell>
          <cell r="H1741">
            <v>0</v>
          </cell>
          <cell r="I1741" t="str">
            <v>Вакансия</v>
          </cell>
        </row>
        <row r="1742">
          <cell r="A1742" t="str">
            <v>ПШ27155</v>
          </cell>
          <cell r="B1742" t="str">
            <v>Органайзер Спанбонд Ткань мебельная Alejandro 10 Стеллажа Zett 250х250(h)х250</v>
          </cell>
          <cell r="D1742" t="str">
            <v>ОРГАНАЙЗЕР</v>
          </cell>
          <cell r="E1742">
            <v>0</v>
          </cell>
          <cell r="H1742">
            <v>0</v>
          </cell>
          <cell r="I1742" t="str">
            <v>Вакансия</v>
          </cell>
        </row>
        <row r="1743">
          <cell r="A1743" t="str">
            <v>ПШ27157</v>
          </cell>
          <cell r="B1743" t="str">
            <v>Органайзер ткань NEO 5 (Рогожка) Стеллажа Zett 250х250(h)х250</v>
          </cell>
          <cell r="D1743" t="str">
            <v>ОРГАНАЙЗЕР</v>
          </cell>
          <cell r="E1743">
            <v>0</v>
          </cell>
          <cell r="H1743">
            <v>0</v>
          </cell>
          <cell r="I1743" t="str">
            <v>Вакансия</v>
          </cell>
        </row>
        <row r="1744">
          <cell r="A1744" t="str">
            <v>ПШ27156</v>
          </cell>
          <cell r="B1744" t="str">
            <v>Органайзер ткань NEO 2 (Рогожка) Стеллажа Zett 250х250(h)х250</v>
          </cell>
          <cell r="D1744" t="str">
            <v>ОРГАНАЙЗЕР</v>
          </cell>
          <cell r="E1744">
            <v>0</v>
          </cell>
          <cell r="H1744">
            <v>0</v>
          </cell>
          <cell r="I1744" t="str">
            <v>Вакансия</v>
          </cell>
        </row>
        <row r="1745">
          <cell r="A1745" t="str">
            <v>ПШ27160</v>
          </cell>
          <cell r="B1745" t="str">
            <v>Органайзер ткань NEO 12 (Рогожка) Стеллажа Zett 250х250(h)х250</v>
          </cell>
          <cell r="D1745" t="str">
            <v>ОРГАНАЙЗЕР</v>
          </cell>
          <cell r="E1745">
            <v>0</v>
          </cell>
          <cell r="H1745">
            <v>0</v>
          </cell>
          <cell r="I1745" t="str">
            <v>Вакансия</v>
          </cell>
        </row>
        <row r="1746">
          <cell r="A1746" t="str">
            <v>ПШ27159</v>
          </cell>
          <cell r="B1746" t="str">
            <v>Органайзер ткань NEO 9 (Рогожка) Стеллажа Zett 250х250(h)х250</v>
          </cell>
          <cell r="D1746" t="str">
            <v>ОРГАНАЙЗЕР</v>
          </cell>
          <cell r="E1746">
            <v>0</v>
          </cell>
          <cell r="H1746">
            <v>0</v>
          </cell>
          <cell r="I1746" t="str">
            <v>Вакансия</v>
          </cell>
        </row>
        <row r="1747">
          <cell r="A1747" t="str">
            <v>ПШ27171</v>
          </cell>
          <cell r="B1747" t="str">
            <v>Органайзер ткань мебельная Tony 10 Стеллажа Zett  250х250(h)х249</v>
          </cell>
          <cell r="D1747" t="str">
            <v>ОРГАНАЙЗЕР</v>
          </cell>
          <cell r="E1747">
            <v>0</v>
          </cell>
          <cell r="H1747">
            <v>0</v>
          </cell>
          <cell r="I1747" t="str">
            <v>Вакансия</v>
          </cell>
        </row>
        <row r="1748">
          <cell r="A1748" t="str">
            <v>ПШ27972</v>
          </cell>
          <cell r="B1748" t="str">
            <v>Органайзер ткань мебельная Tony 14 Стеллажа Zett 500х250(h)х210</v>
          </cell>
          <cell r="D1748" t="str">
            <v>ОРГАНАЙЗЕР</v>
          </cell>
          <cell r="E1748">
            <v>0</v>
          </cell>
          <cell r="H1748">
            <v>0</v>
          </cell>
          <cell r="I1748" t="str">
            <v>Вакансия</v>
          </cell>
        </row>
        <row r="1749">
          <cell r="A1749" t="str">
            <v>ПШ28072</v>
          </cell>
          <cell r="B1749" t="str">
            <v>Органайзер ткань мебельная Tony 14 Стеллажа Hardy Лайт 2 550х270(h)х210</v>
          </cell>
          <cell r="D1749" t="str">
            <v>ОРГАНАЙЗЕР</v>
          </cell>
          <cell r="E1749">
            <v>0</v>
          </cell>
          <cell r="H1749">
            <v>0</v>
          </cell>
          <cell r="I1749" t="str">
            <v>Вакансия</v>
          </cell>
        </row>
        <row r="1750">
          <cell r="A1750" t="str">
            <v>ПШ28062</v>
          </cell>
          <cell r="B1750" t="str">
            <v>Органайзер ткань мебельная Frida 11 Стеллажа Hardy 550х270(h)х210</v>
          </cell>
          <cell r="D1750" t="str">
            <v>ОРГАНАЙЗЕР</v>
          </cell>
          <cell r="E1750">
            <v>0</v>
          </cell>
          <cell r="H1750">
            <v>0</v>
          </cell>
          <cell r="I1750" t="str">
            <v>Вакансия</v>
          </cell>
        </row>
        <row r="1751">
          <cell r="A1751" t="str">
            <v>ПШ28063</v>
          </cell>
          <cell r="B1751" t="str">
            <v>Органайзер ткань мебельная Frida 13 Стеллажа Hardy 550х270(h)х210</v>
          </cell>
          <cell r="D1751" t="str">
            <v>ОРГАНАЙЗЕР</v>
          </cell>
          <cell r="E1751">
            <v>0</v>
          </cell>
          <cell r="H1751">
            <v>0</v>
          </cell>
          <cell r="I1751" t="str">
            <v>Вакансия</v>
          </cell>
        </row>
        <row r="1752">
          <cell r="A1752" t="str">
            <v>ПШ27151</v>
          </cell>
          <cell r="B1752" t="str">
            <v>Органайзер Спанбонд черный Стеллажа Zett 250х250(h)х250</v>
          </cell>
          <cell r="D1752" t="str">
            <v>ОРГАНАЙЗЕР</v>
          </cell>
          <cell r="E1752">
            <v>0</v>
          </cell>
          <cell r="H1752">
            <v>0</v>
          </cell>
          <cell r="I1752" t="str">
            <v>Вакансия</v>
          </cell>
        </row>
        <row r="1753">
          <cell r="A1753" t="str">
            <v>ПШ27955</v>
          </cell>
          <cell r="B1753" t="str">
            <v>Органайзер ткань мебельная Alejandro 10 Стеллажа Zett 500х250(h)х210</v>
          </cell>
          <cell r="D1753" t="str">
            <v>ОРГАНАЙЗЕР</v>
          </cell>
          <cell r="E1753">
            <v>0</v>
          </cell>
          <cell r="H1753">
            <v>0</v>
          </cell>
          <cell r="I1753" t="str">
            <v>Вакансия</v>
          </cell>
        </row>
        <row r="1754">
          <cell r="A1754" t="str">
            <v>ПШ27956</v>
          </cell>
          <cell r="B1754" t="str">
            <v>Органайзер ткань NEO 2 (Рогожка) Стеллажа Zett 500х250(h)х210</v>
          </cell>
          <cell r="D1754" t="str">
            <v>ОРГАНАЙЗЕР</v>
          </cell>
          <cell r="E1754">
            <v>0</v>
          </cell>
          <cell r="H1754">
            <v>0</v>
          </cell>
          <cell r="I1754" t="str">
            <v>Вакансия</v>
          </cell>
        </row>
        <row r="1755">
          <cell r="A1755" t="str">
            <v>ПШ27957</v>
          </cell>
          <cell r="B1755" t="str">
            <v>Органайзер ткань NEO 5 (Рогожка) Стеллажа Zett 500х250(h)х210</v>
          </cell>
          <cell r="D1755" t="str">
            <v>ОРГАНАЙЗЕР</v>
          </cell>
          <cell r="E1755">
            <v>0</v>
          </cell>
          <cell r="H1755">
            <v>0</v>
          </cell>
          <cell r="I1755" t="str">
            <v>Вакансия</v>
          </cell>
        </row>
        <row r="1756">
          <cell r="A1756" t="str">
            <v>ПШ27958</v>
          </cell>
          <cell r="B1756" t="str">
            <v>Органайзер ткань NEO 8 (Рогожка) Стеллажа Zett 500х250(h)х210</v>
          </cell>
          <cell r="D1756" t="str">
            <v>ОРГАНАЙЗЕР</v>
          </cell>
          <cell r="E1756">
            <v>0</v>
          </cell>
          <cell r="H1756">
            <v>0</v>
          </cell>
          <cell r="I1756" t="str">
            <v>Вакансия</v>
          </cell>
        </row>
        <row r="1757">
          <cell r="A1757" t="str">
            <v>ПШ27959</v>
          </cell>
          <cell r="B1757" t="str">
            <v>Органайзер ткань NEO 9 (Рогожка) Стеллажа Zett 500х250(h)х210</v>
          </cell>
          <cell r="D1757" t="str">
            <v>ОРГАНАЙЗЕР</v>
          </cell>
          <cell r="E1757">
            <v>0</v>
          </cell>
          <cell r="H1757">
            <v>0</v>
          </cell>
          <cell r="I1757" t="str">
            <v>Вакансия</v>
          </cell>
        </row>
        <row r="1758">
          <cell r="A1758" t="str">
            <v>ПШ27960</v>
          </cell>
          <cell r="B1758" t="str">
            <v xml:space="preserve">Органайзер ткань NEO 12 (Рогожка) Стеллажа Zett 500х250(h)х210 </v>
          </cell>
          <cell r="D1758" t="str">
            <v>ОРГАНАЙЗЕР</v>
          </cell>
          <cell r="E1758">
            <v>0</v>
          </cell>
          <cell r="H1758">
            <v>0</v>
          </cell>
          <cell r="I1758" t="str">
            <v>Вакансия</v>
          </cell>
        </row>
        <row r="1759">
          <cell r="A1759" t="str">
            <v>ПШ28057</v>
          </cell>
          <cell r="B1759" t="str">
            <v>Органайзер ткань NEO 5 (Рогожка) Стеллажа Hardy 550х270(h)х210</v>
          </cell>
          <cell r="D1759" t="str">
            <v>ОРГАНАЙЗЕР</v>
          </cell>
          <cell r="E1759">
            <v>0</v>
          </cell>
          <cell r="H1759">
            <v>0</v>
          </cell>
          <cell r="I1759" t="str">
            <v>Вакансия</v>
          </cell>
        </row>
        <row r="1760">
          <cell r="A1760" t="str">
            <v>ПШ28058</v>
          </cell>
          <cell r="B1760" t="str">
            <v>Органайзер ткань NEO 8 (Рогожка) Стеллажа Hardy 550х270(h)х210</v>
          </cell>
          <cell r="D1760" t="str">
            <v>ОРГАНАЙЗЕР</v>
          </cell>
          <cell r="E1760">
            <v>0</v>
          </cell>
          <cell r="H1760">
            <v>0</v>
          </cell>
          <cell r="I1760" t="str">
            <v>Вакансия</v>
          </cell>
        </row>
        <row r="1761">
          <cell r="A1761" t="str">
            <v>ПШ28061</v>
          </cell>
          <cell r="B1761" t="str">
            <v>Органайзер ткань мебельная Frida 10 Стелажа Hardy 550х270(h)х210</v>
          </cell>
          <cell r="D1761" t="str">
            <v>ОРГАНАЙЗЕР</v>
          </cell>
          <cell r="E1761">
            <v>0</v>
          </cell>
          <cell r="H1761">
            <v>0</v>
          </cell>
          <cell r="I1761" t="str">
            <v>Вакансия</v>
          </cell>
        </row>
        <row r="1762">
          <cell r="A1762" t="str">
            <v>ПШ28051</v>
          </cell>
          <cell r="B1762" t="str">
            <v>Органайзер Спанбонд черный Стеллажа Hardy Лайт 2  550х270(h)х210</v>
          </cell>
          <cell r="D1762" t="str">
            <v>ОРГАНАЙЗЕР</v>
          </cell>
          <cell r="E1762">
            <v>0</v>
          </cell>
          <cell r="H1762">
            <v>0</v>
          </cell>
          <cell r="I1762" t="str">
            <v>Вакансия</v>
          </cell>
        </row>
        <row r="1763">
          <cell r="A1763" t="str">
            <v>ПШ28011</v>
          </cell>
          <cell r="B1763" t="str">
            <v>Органайзер Ткань Savanna Camel Стеллажа Hardy Лайт 2 550х270(h)х210</v>
          </cell>
          <cell r="D1763" t="str">
            <v>ОРГАНАЙЗЕР</v>
          </cell>
          <cell r="E1763">
            <v>0</v>
          </cell>
          <cell r="H1763">
            <v>0</v>
          </cell>
          <cell r="I1763" t="str">
            <v>Вакансия</v>
          </cell>
        </row>
        <row r="1764">
          <cell r="A1764" t="str">
            <v>ПШ28111</v>
          </cell>
          <cell r="B1764" t="str">
            <v>Органайзер Ткань мебельная Savanna Camel Стеллажа Quattro 280х280(h)х280</v>
          </cell>
          <cell r="D1764" t="str">
            <v>ОРГАНАЙЗЕР</v>
          </cell>
          <cell r="E1764">
            <v>0</v>
          </cell>
          <cell r="H1764">
            <v>0</v>
          </cell>
          <cell r="I1764" t="str">
            <v>Вакансия</v>
          </cell>
        </row>
        <row r="1765">
          <cell r="A1765" t="str">
            <v>ПШ28168</v>
          </cell>
          <cell r="B1765" t="str">
            <v>Органайзер Ткань мебельная желтая Стеллажа Quattro 280х280(h)х280</v>
          </cell>
          <cell r="D1765" t="str">
            <v>ОРГАНАЙЗЕР</v>
          </cell>
          <cell r="E1765">
            <v>0</v>
          </cell>
          <cell r="H1765">
            <v>0</v>
          </cell>
          <cell r="I1765" t="str">
            <v>Вакансия</v>
          </cell>
        </row>
        <row r="1766">
          <cell r="A1766" t="str">
            <v>ПШ28102</v>
          </cell>
          <cell r="B1766" t="str">
            <v>Органайзер Ткань мебельная светло-коричневая Стеллажа Quattro 280х280(h)х280</v>
          </cell>
          <cell r="D1766" t="str">
            <v>ОРГАНАЙЗЕР</v>
          </cell>
          <cell r="E1766">
            <v>0</v>
          </cell>
          <cell r="H1766">
            <v>0</v>
          </cell>
          <cell r="I1766" t="str">
            <v>Вакансия</v>
          </cell>
        </row>
        <row r="1767">
          <cell r="A1767" t="str">
            <v>ПШ28169</v>
          </cell>
          <cell r="B1767" t="str">
            <v>Органайзер Ткань мебельная фиолетовая Стеллажа Quattro 280х280(h)х280</v>
          </cell>
          <cell r="D1767" t="str">
            <v>ОРГАНАЙЗЕР</v>
          </cell>
          <cell r="E1767">
            <v>0</v>
          </cell>
          <cell r="H1767">
            <v>0</v>
          </cell>
          <cell r="I1767" t="str">
            <v>Вакансия</v>
          </cell>
        </row>
        <row r="1768">
          <cell r="A1768" t="str">
            <v>ПШ28154</v>
          </cell>
          <cell r="B1768" t="str">
            <v>Органайзер Ткань мебельная светло-серый Стеллажа Quattro 280х280(h)х280</v>
          </cell>
          <cell r="D1768" t="str">
            <v>ОРГАНАЙЗЕР</v>
          </cell>
          <cell r="E1768">
            <v>0</v>
          </cell>
          <cell r="H1768">
            <v>0</v>
          </cell>
          <cell r="I1768" t="str">
            <v>Вакансия</v>
          </cell>
        </row>
        <row r="1769">
          <cell r="A1769" t="str">
            <v>ПШ28172</v>
          </cell>
          <cell r="B1769" t="str">
            <v>Органайзер Ткань мебельная светло-сиреневая Стеллажа Quattro 280х280(h)х280</v>
          </cell>
          <cell r="D1769" t="str">
            <v>ОРГАНАЙЗЕР</v>
          </cell>
          <cell r="E1769">
            <v>0</v>
          </cell>
          <cell r="H1769">
            <v>0</v>
          </cell>
          <cell r="I1769" t="str">
            <v>Вакансия</v>
          </cell>
        </row>
        <row r="1770">
          <cell r="A1770" t="str">
            <v>ПШ28170</v>
          </cell>
          <cell r="B1770" t="str">
            <v>Органайзер Ткань мебельная бежевая Стеллажа Quattro 280х280(h)х280</v>
          </cell>
          <cell r="D1770" t="str">
            <v>ОРГАНАЙЗЕР</v>
          </cell>
          <cell r="E1770">
            <v>0</v>
          </cell>
          <cell r="H1770">
            <v>0</v>
          </cell>
          <cell r="I1770" t="str">
            <v>Вакансия</v>
          </cell>
        </row>
        <row r="1771">
          <cell r="A1771" t="str">
            <v>ПШ28163</v>
          </cell>
          <cell r="B1771" t="str">
            <v>Органайзер Ткань мебельная серо-синяя Стеллажа Quattro 280х280(h)х280</v>
          </cell>
          <cell r="D1771" t="str">
            <v>ОРГАНАЙЗЕР</v>
          </cell>
          <cell r="E1771">
            <v>0</v>
          </cell>
          <cell r="H1771">
            <v>0</v>
          </cell>
          <cell r="I1771" t="str">
            <v>Вакансия</v>
          </cell>
        </row>
        <row r="1772">
          <cell r="A1772" t="str">
            <v>ПШ28157</v>
          </cell>
          <cell r="B1772" t="str">
            <v>Органайзер ткань мебельная серо-зеленая  Стеллажа Quattro 280х280(h)х280</v>
          </cell>
          <cell r="D1772" t="str">
            <v>ОРГАНАЙЗЕР</v>
          </cell>
          <cell r="E1772">
            <v>0</v>
          </cell>
          <cell r="H1772">
            <v>0</v>
          </cell>
          <cell r="I1772" t="str">
            <v>Вакансия</v>
          </cell>
        </row>
        <row r="1773">
          <cell r="A1773" t="str">
            <v>ПШ28161</v>
          </cell>
          <cell r="B1773" t="str">
            <v>Органайзер ткань мебельная оливковая Стеллажа Quattro 280х280(h)х280</v>
          </cell>
          <cell r="D1773" t="str">
            <v>ОРГАНАЙЗЕР</v>
          </cell>
          <cell r="E1773">
            <v>0</v>
          </cell>
          <cell r="H1773">
            <v>0</v>
          </cell>
          <cell r="I1773" t="str">
            <v>Вакансия</v>
          </cell>
        </row>
        <row r="1774">
          <cell r="A1774" t="str">
            <v>ПШ35451</v>
          </cell>
          <cell r="B1774" t="str">
            <v>Комплект органайзеров 2шт для Стеллажа Zett Спанбонд черный 250х250(h)х250</v>
          </cell>
          <cell r="D1774" t="str">
            <v>ОРГАНАЙЗЕР</v>
          </cell>
          <cell r="E1774">
            <v>0</v>
          </cell>
          <cell r="H1774">
            <v>0</v>
          </cell>
          <cell r="I1774" t="str">
            <v>Вакансия</v>
          </cell>
        </row>
        <row r="1775">
          <cell r="A1775" t="str">
            <v>ПШ35453</v>
          </cell>
          <cell r="B1775" t="str">
            <v>Комплект органайзеров 2шт для Стеллажа Zett Спанбонд бежевый 250х250(h)х250</v>
          </cell>
          <cell r="D1775" t="str">
            <v>ОРГАНАЙЗЕР</v>
          </cell>
          <cell r="E1775">
            <v>0</v>
          </cell>
          <cell r="H1775">
            <v>0</v>
          </cell>
          <cell r="I1775" t="str">
            <v>Вакансия</v>
          </cell>
        </row>
        <row r="1776">
          <cell r="A1776" t="str">
            <v>ПШ35450</v>
          </cell>
          <cell r="B1776" t="str">
            <v>Комплект органайзеров 2шт для Стеллажа Zett Спанбонд серый 250х250(h)х250</v>
          </cell>
          <cell r="D1776" t="str">
            <v>ОРГАНАЙЗЕР</v>
          </cell>
          <cell r="E1776">
            <v>0</v>
          </cell>
          <cell r="H1776">
            <v>0</v>
          </cell>
          <cell r="I1776" t="str">
            <v>Вакансия</v>
          </cell>
        </row>
        <row r="1777">
          <cell r="A1777" t="str">
            <v>ПШ35550</v>
          </cell>
          <cell r="B1777" t="str">
            <v>Комплект органайзеров 2шт для Стеллажа Zett Спанбонд серый 500х250(h)х210</v>
          </cell>
          <cell r="D1777" t="str">
            <v>ОРГАНАЙЗЕР</v>
          </cell>
          <cell r="E1777">
            <v>0</v>
          </cell>
          <cell r="H1777">
            <v>0</v>
          </cell>
          <cell r="I1777" t="str">
            <v>Вакансия</v>
          </cell>
        </row>
        <row r="1778">
          <cell r="A1778" t="str">
            <v>ПШ35551</v>
          </cell>
          <cell r="B1778" t="str">
            <v>Комплект органайзеров 2шт для Стеллажа Zett Спанбонд черный 500х250(h)х210</v>
          </cell>
          <cell r="D1778" t="str">
            <v>ОРГАНАЙЗЕР</v>
          </cell>
          <cell r="E1778">
            <v>0</v>
          </cell>
          <cell r="H1778">
            <v>0</v>
          </cell>
          <cell r="I1778" t="str">
            <v>Вакансия</v>
          </cell>
        </row>
        <row r="1779">
          <cell r="A1779" t="str">
            <v>ПШ27966</v>
          </cell>
          <cell r="B1779" t="str">
            <v>Органайзер ткань мебельная голубая Стеллажа Zett 490х250(h)х210</v>
          </cell>
          <cell r="D1779" t="str">
            <v>ОРГАНАЙЗЕР</v>
          </cell>
          <cell r="E1779">
            <v>0</v>
          </cell>
          <cell r="H1779">
            <v>0</v>
          </cell>
          <cell r="I1779" t="str">
            <v>Вакансия</v>
          </cell>
        </row>
        <row r="1780">
          <cell r="A1780" t="str">
            <v>ПШ27971</v>
          </cell>
          <cell r="B1780" t="str">
            <v>Органайзер ткань мебельная светлая серо-зеленая Стеллажа Zett 490х250(h)х210</v>
          </cell>
          <cell r="D1780" t="str">
            <v>ОРГАНАЙЗЕР</v>
          </cell>
          <cell r="E1780">
            <v>0</v>
          </cell>
          <cell r="H1780">
            <v>0</v>
          </cell>
          <cell r="I1780" t="str">
            <v>Вакансия</v>
          </cell>
        </row>
        <row r="1781">
          <cell r="A1781" t="str">
            <v>ПШ35553</v>
          </cell>
          <cell r="B1781" t="str">
            <v>Комплект органайзеров 2шт для Стеллажа Zett Спанбонд бежевый 500х250(h)х210</v>
          </cell>
          <cell r="D1781" t="str">
            <v>ОРГАНАЙЗЕР</v>
          </cell>
          <cell r="E1781">
            <v>0</v>
          </cell>
          <cell r="H1781">
            <v>0</v>
          </cell>
          <cell r="I1781" t="str">
            <v>Вакансия</v>
          </cell>
        </row>
        <row r="1782">
          <cell r="A1782" t="str">
            <v>ПШ28156</v>
          </cell>
          <cell r="B1782" t="str">
            <v>Органайзер ткань мебельная светло-бежевая  Стеллажа Quattro 280х280(h)х280</v>
          </cell>
          <cell r="D1782" t="str">
            <v>ОРГАНАЙЗЕР</v>
          </cell>
          <cell r="E1782">
            <v>0</v>
          </cell>
          <cell r="H1782">
            <v>0</v>
          </cell>
          <cell r="I1782" t="str">
            <v>Вакансия</v>
          </cell>
        </row>
        <row r="1783">
          <cell r="A1783" t="str">
            <v>ПШ28171</v>
          </cell>
          <cell r="B1783" t="str">
            <v>Органайзер Ткань мебельная светлый серо-зеленая  Стеллажа Quattro 280х280(h)х280</v>
          </cell>
          <cell r="D1783" t="str">
            <v>ОРГАНАЙЗЕР</v>
          </cell>
          <cell r="E1783">
            <v>0</v>
          </cell>
          <cell r="H1783">
            <v>0</v>
          </cell>
          <cell r="I1783" t="str">
            <v>Вакансия</v>
          </cell>
        </row>
        <row r="1784">
          <cell r="A1784" t="str">
            <v>ПШ28166</v>
          </cell>
          <cell r="B1784" t="str">
            <v>Органайзер Ткань мебельная голубая Стеллажа Quattro 280х280(h)х280</v>
          </cell>
          <cell r="D1784" t="str">
            <v>ОРГАНАЙЗЕР</v>
          </cell>
          <cell r="E1784">
            <v>0</v>
          </cell>
          <cell r="H1784">
            <v>0</v>
          </cell>
          <cell r="I1784" t="str">
            <v>Вакансия</v>
          </cell>
        </row>
        <row r="1785">
          <cell r="A1785" t="str">
            <v>ПШ28150</v>
          </cell>
          <cell r="B1785" t="str">
            <v>Органайзер Спанбонд серый Стеллажа Quattro 280х280(h)х280</v>
          </cell>
          <cell r="D1785" t="str">
            <v>ОРГАНАЙЗЕР</v>
          </cell>
          <cell r="E1785">
            <v>0</v>
          </cell>
          <cell r="H1785">
            <v>0</v>
          </cell>
          <cell r="I1785" t="str">
            <v>Вакансия</v>
          </cell>
        </row>
        <row r="1786">
          <cell r="A1786" t="str">
            <v>ПШ28151</v>
          </cell>
          <cell r="B1786" t="str">
            <v>Органайзер Спанбонд черный Стеллажа Quattro 280х280(h)х280</v>
          </cell>
          <cell r="D1786" t="str">
            <v>ОРГАНАЙЗЕР</v>
          </cell>
          <cell r="E1786">
            <v>0</v>
          </cell>
          <cell r="H1786">
            <v>0</v>
          </cell>
          <cell r="I1786" t="str">
            <v>Вакансия</v>
          </cell>
        </row>
        <row r="1787">
          <cell r="A1787" t="str">
            <v>ПШ28050</v>
          </cell>
          <cell r="B1787" t="str">
            <v>Органайзер Спанбонд серый Стеллажа Hardy Лайт 2  550х270(h)х210</v>
          </cell>
          <cell r="D1787" t="str">
            <v>ОРГАНАЙЗЕР</v>
          </cell>
          <cell r="E1787">
            <v>0</v>
          </cell>
          <cell r="H1787">
            <v>0</v>
          </cell>
          <cell r="I1787" t="str">
            <v>Вакансия</v>
          </cell>
        </row>
        <row r="1788">
          <cell r="A1788" t="str">
            <v>ПШ28053</v>
          </cell>
          <cell r="B1788" t="str">
            <v>Органайзер Спанбонд бежевый Стеллажа Hardy Лайт 2 550х270(h)х210</v>
          </cell>
          <cell r="D1788" t="str">
            <v>ОРГАНАЙЗЕР</v>
          </cell>
          <cell r="E1788">
            <v>0</v>
          </cell>
          <cell r="H1788">
            <v>0</v>
          </cell>
          <cell r="I1788" t="str">
            <v>Вакансия</v>
          </cell>
        </row>
        <row r="1789">
          <cell r="A1789" t="str">
            <v>ПШ27950</v>
          </cell>
          <cell r="B1789" t="str">
            <v>Органайзер Спанбонд серый Стеллажа Zett 500х250(h)х210</v>
          </cell>
          <cell r="D1789" t="str">
            <v>ОРГАНАЙЗЕР</v>
          </cell>
          <cell r="E1789">
            <v>0</v>
          </cell>
          <cell r="H1789">
            <v>0</v>
          </cell>
          <cell r="I1789" t="str">
            <v>Вакансия</v>
          </cell>
        </row>
        <row r="1790">
          <cell r="A1790" t="str">
            <v>ПШ27951</v>
          </cell>
          <cell r="B1790" t="str">
            <v>Органайзер Спанбонд черный Стеллажа Zett 500х250(h)х210</v>
          </cell>
          <cell r="D1790" t="str">
            <v>ОРГАНАЙЗЕР</v>
          </cell>
          <cell r="E1790">
            <v>0</v>
          </cell>
          <cell r="H1790">
            <v>0</v>
          </cell>
          <cell r="I1790" t="str">
            <v>Вакансия</v>
          </cell>
        </row>
        <row r="1791">
          <cell r="A1791" t="str">
            <v>ПШ27953</v>
          </cell>
          <cell r="B1791" t="str">
            <v>Органайзер Спанбонд бежевый Стеллажа Zett 500х250(h)х210</v>
          </cell>
          <cell r="D1791" t="str">
            <v>ОРГАНАЙЗЕР</v>
          </cell>
          <cell r="E1791">
            <v>0</v>
          </cell>
          <cell r="H1791">
            <v>0</v>
          </cell>
          <cell r="I1791" t="str">
            <v>Вакансия</v>
          </cell>
        </row>
        <row r="1792">
          <cell r="A1792" t="str">
            <v>ПШ35650</v>
          </cell>
          <cell r="B1792" t="str">
            <v>Комплект органайзеров 2шт для Стеллажа Hardy Лайт 2 Спанбонд серый 550х270(h)х210</v>
          </cell>
          <cell r="D1792" t="str">
            <v>ОРГАНАЙЗЕР</v>
          </cell>
          <cell r="E1792">
            <v>0</v>
          </cell>
          <cell r="H1792">
            <v>0</v>
          </cell>
          <cell r="I1792" t="str">
            <v>Вакансия</v>
          </cell>
        </row>
        <row r="1793">
          <cell r="A1793" t="str">
            <v>ПШ35651</v>
          </cell>
          <cell r="B1793" t="str">
            <v>Комплект органайзеров 2шт для Стеллажа Hardy Лайт 2 Спанбонд черный 550х270(h)х210</v>
          </cell>
          <cell r="D1793" t="str">
            <v>ОРГАНАЙЗЕР</v>
          </cell>
          <cell r="E1793">
            <v>0</v>
          </cell>
          <cell r="H1793">
            <v>0</v>
          </cell>
          <cell r="I1793" t="str">
            <v>Вакансия</v>
          </cell>
        </row>
        <row r="1794">
          <cell r="A1794" t="str">
            <v>ПШ35653</v>
          </cell>
          <cell r="B1794" t="str">
            <v>Комплект органайзеров 2шт для Стеллажа Hardy Лайт 2 Спанбонд бежевый 550х270(h)х210</v>
          </cell>
          <cell r="D1794" t="str">
            <v>ОРГАНАЙЗЕР</v>
          </cell>
          <cell r="E1794">
            <v>0</v>
          </cell>
          <cell r="H1794">
            <v>0</v>
          </cell>
          <cell r="I1794" t="str">
            <v>Вакансия</v>
          </cell>
        </row>
        <row r="1795">
          <cell r="A1795" t="str">
            <v>ПШ35753</v>
          </cell>
          <cell r="B1795" t="str">
            <v>Комплект органайзеров 2шт для Стеллажа Quattro Спанбонд бежевый 280х280(h)х280</v>
          </cell>
          <cell r="D1795" t="str">
            <v>ОРГАНАЙЗЕР</v>
          </cell>
          <cell r="E1795">
            <v>0</v>
          </cell>
          <cell r="H1795">
            <v>0</v>
          </cell>
          <cell r="I1795" t="str">
            <v>Вакансия</v>
          </cell>
        </row>
        <row r="1796">
          <cell r="A1796" t="str">
            <v>ПШ35751</v>
          </cell>
          <cell r="B1796" t="str">
            <v>Комплект органайзеров 2шт для Стеллажа Quattro Спанбонд черный 280х280(h)х280</v>
          </cell>
          <cell r="D1796" t="str">
            <v>ОРГАНАЙЗЕР</v>
          </cell>
          <cell r="E1796">
            <v>0</v>
          </cell>
          <cell r="H1796">
            <v>0</v>
          </cell>
          <cell r="I1796" t="str">
            <v>Вакансия</v>
          </cell>
        </row>
        <row r="1797">
          <cell r="A1797" t="str">
            <v>ПШ35750</v>
          </cell>
          <cell r="B1797" t="str">
            <v>Комплект органайзеров 2шт для Стеллажа Quattro Спанбонд серый 280х280(h)х280</v>
          </cell>
          <cell r="D1797" t="str">
            <v>ОРГАНАЙЗЕР</v>
          </cell>
          <cell r="E1797">
            <v>0</v>
          </cell>
          <cell r="H1797">
            <v>0</v>
          </cell>
          <cell r="I1797" t="str">
            <v>Вакансия</v>
          </cell>
        </row>
        <row r="1798">
          <cell r="A1798" t="str">
            <v>ПШ27975</v>
          </cell>
          <cell r="B1798" t="str">
            <v>Органайзер ткань мебельная оранжевая Стеллажа Zett 500х250(h)х210</v>
          </cell>
          <cell r="D1798" t="str">
            <v>ОРГАНАЙЗЕР</v>
          </cell>
          <cell r="E1798">
            <v>0</v>
          </cell>
          <cell r="H1798">
            <v>0</v>
          </cell>
          <cell r="I1798" t="str">
            <v>Вакансия</v>
          </cell>
        </row>
        <row r="1799">
          <cell r="A1799" t="str">
            <v>ПШ27954</v>
          </cell>
          <cell r="B1799" t="str">
            <v>Органайзер ткань мебельная Tony 1 Стеллажа Zett 500х250(h)х210</v>
          </cell>
          <cell r="D1799" t="str">
            <v>ОРГАНАЙЗЕР</v>
          </cell>
          <cell r="E1799">
            <v>0</v>
          </cell>
          <cell r="H1799">
            <v>0</v>
          </cell>
          <cell r="I1799" t="str">
            <v>Вакансия</v>
          </cell>
        </row>
        <row r="1800">
          <cell r="A1800" t="str">
            <v>ПШ27154</v>
          </cell>
          <cell r="B1800" t="str">
            <v>Органайзер ткань мебельная Tony 1 Стеллажа Zett 250х250(h)х250</v>
          </cell>
          <cell r="D1800" t="str">
            <v>ОРГАНАЙЗЕР</v>
          </cell>
          <cell r="E1800">
            <v>0</v>
          </cell>
          <cell r="H1800">
            <v>0</v>
          </cell>
          <cell r="I1800" t="str">
            <v>Вакансия</v>
          </cell>
        </row>
        <row r="1801">
          <cell r="A1801" t="str">
            <v>ПШ27115</v>
          </cell>
          <cell r="B1801" t="str">
            <v>Органайзер ткань Capri №25 Стеллажа Zett 250х250(h)250</v>
          </cell>
          <cell r="D1801" t="str">
            <v>ОРГАНАЙЗЕР</v>
          </cell>
          <cell r="E1801">
            <v>0</v>
          </cell>
          <cell r="H1801">
            <v>0</v>
          </cell>
          <cell r="I1801" t="str">
            <v>Вакансия</v>
          </cell>
        </row>
        <row r="1802">
          <cell r="A1802" t="str">
            <v>ПШ14213</v>
          </cell>
          <cell r="B1802" t="str">
            <v xml:space="preserve">Органайзер ткань Capri №18 Комод Capri 6 ящ. 360х190(h)х280 </v>
          </cell>
          <cell r="D1802" t="str">
            <v>ОРГАНАЙЗЕР</v>
          </cell>
          <cell r="E1802">
            <v>0</v>
          </cell>
          <cell r="H1802">
            <v>0</v>
          </cell>
          <cell r="I1802" t="str">
            <v>Вакансия</v>
          </cell>
        </row>
        <row r="1803">
          <cell r="A1803" t="str">
            <v>ПШ27158</v>
          </cell>
          <cell r="B1803" t="str">
            <v>Органайзер ткань NEO 8 (Рогожка) Стеллажа Zett 250х250(h)х250</v>
          </cell>
          <cell r="D1803" t="str">
            <v>ОРГАНАЙЗЕР</v>
          </cell>
          <cell r="E1803">
            <v>0</v>
          </cell>
          <cell r="H1803">
            <v>0</v>
          </cell>
          <cell r="I1803" t="str">
            <v>Вакансия</v>
          </cell>
        </row>
        <row r="1804">
          <cell r="A1804" t="str">
            <v>ПШ27974</v>
          </cell>
          <cell r="B1804" t="str">
            <v>Органайзер ткань мебельная зеленая Стеллажа Zett 500х250(h)х210</v>
          </cell>
          <cell r="D1804" t="str">
            <v>ОРГАНАЙЗЕР</v>
          </cell>
          <cell r="E1804">
            <v>0</v>
          </cell>
          <cell r="H1804">
            <v>0</v>
          </cell>
          <cell r="I1804" t="str">
            <v>Вакансия</v>
          </cell>
        </row>
        <row r="1805">
          <cell r="A1805" t="str">
            <v>ПШ28075</v>
          </cell>
          <cell r="B1805" t="str">
            <v>Органайзер ткань мебельная оранжевая Стеллажа Hardy Лайт 2 550х270(h)х210</v>
          </cell>
          <cell r="D1805" t="str">
            <v>ОРГАНАЙЗЕР</v>
          </cell>
          <cell r="E1805">
            <v>0</v>
          </cell>
          <cell r="H1805">
            <v>0</v>
          </cell>
          <cell r="I1805" t="str">
            <v>Вакансия</v>
          </cell>
        </row>
        <row r="1806">
          <cell r="A1806" t="str">
            <v>ПШ28074</v>
          </cell>
          <cell r="B1806" t="str">
            <v>Органайзер ткань мебельная зеленая Стеллажа Hardy Лайт 2 550х270(h)х210</v>
          </cell>
          <cell r="D1806" t="str">
            <v>ОРГАНАЙЗЕР</v>
          </cell>
          <cell r="E1806">
            <v>0</v>
          </cell>
          <cell r="H1806">
            <v>0</v>
          </cell>
          <cell r="I1806" t="str">
            <v>Вакансия</v>
          </cell>
        </row>
        <row r="1807">
          <cell r="A1807">
            <v>2481</v>
          </cell>
          <cell r="B1807" t="str">
            <v>Полка угловая навесная Бодега темн. 250х1388х250</v>
          </cell>
          <cell r="D1807" t="str">
            <v>ПОЛКИ</v>
          </cell>
          <cell r="E1807">
            <v>0</v>
          </cell>
          <cell r="H1807">
            <v>0</v>
          </cell>
          <cell r="I1807" t="str">
            <v>Вакансия</v>
          </cell>
        </row>
        <row r="1808">
          <cell r="A1808">
            <v>2404</v>
          </cell>
          <cell r="B1808" t="str">
            <v>Стол письменный Рейн на 800 Бодега темн</v>
          </cell>
          <cell r="D1808" t="str">
            <v>СТОЛЫ</v>
          </cell>
          <cell r="E1808">
            <v>0</v>
          </cell>
          <cell r="H1808">
            <v>0</v>
          </cell>
          <cell r="I1808" t="str">
            <v>Вакансия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CCFF66"/>
  </sheetPr>
  <dimension ref="A1:AD1965"/>
  <sheetViews>
    <sheetView tabSelected="1" zoomScale="70" zoomScaleNormal="70" workbookViewId="0">
      <pane ySplit="1" topLeftCell="A2" activePane="bottomLeft" state="frozen"/>
      <selection pane="bottomLeft" activeCell="E1948" sqref="E1948"/>
    </sheetView>
  </sheetViews>
  <sheetFormatPr defaultRowHeight="12.75" outlineLevelRow="1" outlineLevelCol="3" x14ac:dyDescent="0.2"/>
  <cols>
    <col min="1" max="1" width="50.59765625" style="891" customWidth="1"/>
    <col min="2" max="2" width="12.19921875" style="891" customWidth="1"/>
    <col min="3" max="3" width="11.296875" style="891" customWidth="1"/>
    <col min="4" max="4" width="13.296875" style="892" customWidth="1"/>
    <col min="5" max="5" width="8.8984375" style="892" customWidth="1" outlineLevel="1"/>
    <col min="6" max="6" width="12.796875" style="892" customWidth="1" outlineLevel="1"/>
    <col min="7" max="7" width="13.8984375" style="892" customWidth="1" outlineLevel="2"/>
    <col min="8" max="8" width="14.3984375" style="892" customWidth="1" outlineLevel="2"/>
    <col min="9" max="10" width="14.69921875" style="892" hidden="1" customWidth="1" outlineLevel="3"/>
    <col min="11" max="11" width="11.59765625" style="892" customWidth="1" outlineLevel="2" collapsed="1"/>
    <col min="12" max="12" width="10.8984375" style="892" customWidth="1" outlineLevel="2"/>
    <col min="13" max="13" width="11" style="892" customWidth="1" outlineLevel="2"/>
    <col min="14" max="14" width="14.3984375" style="892" customWidth="1" outlineLevel="2"/>
    <col min="15" max="16" width="10.8984375" style="892" customWidth="1" outlineLevel="2"/>
    <col min="17" max="17" width="10.69921875" style="892" hidden="1" customWidth="1" outlineLevel="3"/>
    <col min="18" max="18" width="9.59765625" style="892" hidden="1" customWidth="1" outlineLevel="3"/>
    <col min="19" max="19" width="9.5" style="892" hidden="1" customWidth="1" outlineLevel="3"/>
    <col min="20" max="20" width="8.296875" style="892" hidden="1" customWidth="1" outlineLevel="3"/>
    <col min="21" max="21" width="8.8984375" style="892" hidden="1" customWidth="1" outlineLevel="3"/>
    <col min="22" max="22" width="9.3984375" style="892" hidden="1" customWidth="1" outlineLevel="3"/>
    <col min="23" max="23" width="6.296875" style="892" hidden="1" customWidth="1" outlineLevel="3"/>
    <col min="24" max="24" width="11.796875" style="892" customWidth="1" outlineLevel="2" collapsed="1"/>
    <col min="25" max="25" width="9.59765625" style="892" hidden="1" customWidth="1" outlineLevel="1"/>
    <col min="26" max="26" width="0.296875" style="891" customWidth="1" outlineLevel="2"/>
    <col min="27" max="27" width="8.69921875" style="891" customWidth="1" outlineLevel="1"/>
    <col min="28" max="28" width="9.296875" style="891" customWidth="1" outlineLevel="1"/>
    <col min="29" max="29" width="13.19921875" style="892" customWidth="1" outlineLevel="1"/>
    <col min="30" max="30" width="12.59765625" style="891" customWidth="1"/>
    <col min="31" max="211" width="8.796875" style="891"/>
    <col min="212" max="212" width="4.3984375" style="891" customWidth="1"/>
    <col min="213" max="214" width="6.796875" style="891" customWidth="1"/>
    <col min="215" max="215" width="64.796875" style="891" customWidth="1"/>
    <col min="216" max="225" width="6.796875" style="891" customWidth="1"/>
    <col min="226" max="467" width="8.796875" style="891"/>
    <col min="468" max="468" width="4.3984375" style="891" customWidth="1"/>
    <col min="469" max="470" width="6.796875" style="891" customWidth="1"/>
    <col min="471" max="471" width="64.796875" style="891" customWidth="1"/>
    <col min="472" max="481" width="6.796875" style="891" customWidth="1"/>
    <col min="482" max="723" width="8.796875" style="891"/>
    <col min="724" max="724" width="4.3984375" style="891" customWidth="1"/>
    <col min="725" max="726" width="6.796875" style="891" customWidth="1"/>
    <col min="727" max="727" width="64.796875" style="891" customWidth="1"/>
    <col min="728" max="737" width="6.796875" style="891" customWidth="1"/>
    <col min="738" max="979" width="8.796875" style="891"/>
    <col min="980" max="980" width="4.3984375" style="891" customWidth="1"/>
    <col min="981" max="982" width="6.796875" style="891" customWidth="1"/>
    <col min="983" max="983" width="64.796875" style="891" customWidth="1"/>
    <col min="984" max="993" width="6.796875" style="891" customWidth="1"/>
    <col min="994" max="1235" width="8.796875" style="891"/>
    <col min="1236" max="1236" width="4.3984375" style="891" customWidth="1"/>
    <col min="1237" max="1238" width="6.796875" style="891" customWidth="1"/>
    <col min="1239" max="1239" width="64.796875" style="891" customWidth="1"/>
    <col min="1240" max="1249" width="6.796875" style="891" customWidth="1"/>
    <col min="1250" max="1491" width="8.796875" style="891"/>
    <col min="1492" max="1492" width="4.3984375" style="891" customWidth="1"/>
    <col min="1493" max="1494" width="6.796875" style="891" customWidth="1"/>
    <col min="1495" max="1495" width="64.796875" style="891" customWidth="1"/>
    <col min="1496" max="1505" width="6.796875" style="891" customWidth="1"/>
    <col min="1506" max="1747" width="8.796875" style="891"/>
    <col min="1748" max="1748" width="4.3984375" style="891" customWidth="1"/>
    <col min="1749" max="1750" width="6.796875" style="891" customWidth="1"/>
    <col min="1751" max="1751" width="64.796875" style="891" customWidth="1"/>
    <col min="1752" max="1761" width="6.796875" style="891" customWidth="1"/>
    <col min="1762" max="2003" width="8.796875" style="891"/>
    <col min="2004" max="2004" width="4.3984375" style="891" customWidth="1"/>
    <col min="2005" max="2006" width="6.796875" style="891" customWidth="1"/>
    <col min="2007" max="2007" width="64.796875" style="891" customWidth="1"/>
    <col min="2008" max="2017" width="6.796875" style="891" customWidth="1"/>
    <col min="2018" max="2259" width="8.796875" style="891"/>
    <col min="2260" max="2260" width="4.3984375" style="891" customWidth="1"/>
    <col min="2261" max="2262" width="6.796875" style="891" customWidth="1"/>
    <col min="2263" max="2263" width="64.796875" style="891" customWidth="1"/>
    <col min="2264" max="2273" width="6.796875" style="891" customWidth="1"/>
    <col min="2274" max="2515" width="8.796875" style="891"/>
    <col min="2516" max="2516" width="4.3984375" style="891" customWidth="1"/>
    <col min="2517" max="2518" width="6.796875" style="891" customWidth="1"/>
    <col min="2519" max="2519" width="64.796875" style="891" customWidth="1"/>
    <col min="2520" max="2529" width="6.796875" style="891" customWidth="1"/>
    <col min="2530" max="2771" width="8.796875" style="891"/>
    <col min="2772" max="2772" width="4.3984375" style="891" customWidth="1"/>
    <col min="2773" max="2774" width="6.796875" style="891" customWidth="1"/>
    <col min="2775" max="2775" width="64.796875" style="891" customWidth="1"/>
    <col min="2776" max="2785" width="6.796875" style="891" customWidth="1"/>
    <col min="2786" max="3027" width="8.796875" style="891"/>
    <col min="3028" max="3028" width="4.3984375" style="891" customWidth="1"/>
    <col min="3029" max="3030" width="6.796875" style="891" customWidth="1"/>
    <col min="3031" max="3031" width="64.796875" style="891" customWidth="1"/>
    <col min="3032" max="3041" width="6.796875" style="891" customWidth="1"/>
    <col min="3042" max="3283" width="8.796875" style="891"/>
    <col min="3284" max="3284" width="4.3984375" style="891" customWidth="1"/>
    <col min="3285" max="3286" width="6.796875" style="891" customWidth="1"/>
    <col min="3287" max="3287" width="64.796875" style="891" customWidth="1"/>
    <col min="3288" max="3297" width="6.796875" style="891" customWidth="1"/>
    <col min="3298" max="3539" width="8.796875" style="891"/>
    <col min="3540" max="3540" width="4.3984375" style="891" customWidth="1"/>
    <col min="3541" max="3542" width="6.796875" style="891" customWidth="1"/>
    <col min="3543" max="3543" width="64.796875" style="891" customWidth="1"/>
    <col min="3544" max="3553" width="6.796875" style="891" customWidth="1"/>
    <col min="3554" max="3795" width="8.796875" style="891"/>
    <col min="3796" max="3796" width="4.3984375" style="891" customWidth="1"/>
    <col min="3797" max="3798" width="6.796875" style="891" customWidth="1"/>
    <col min="3799" max="3799" width="64.796875" style="891" customWidth="1"/>
    <col min="3800" max="3809" width="6.796875" style="891" customWidth="1"/>
    <col min="3810" max="4051" width="8.796875" style="891"/>
    <col min="4052" max="4052" width="4.3984375" style="891" customWidth="1"/>
    <col min="4053" max="4054" width="6.796875" style="891" customWidth="1"/>
    <col min="4055" max="4055" width="64.796875" style="891" customWidth="1"/>
    <col min="4056" max="4065" width="6.796875" style="891" customWidth="1"/>
    <col min="4066" max="4307" width="8.796875" style="891"/>
    <col min="4308" max="4308" width="4.3984375" style="891" customWidth="1"/>
    <col min="4309" max="4310" width="6.796875" style="891" customWidth="1"/>
    <col min="4311" max="4311" width="64.796875" style="891" customWidth="1"/>
    <col min="4312" max="4321" width="6.796875" style="891" customWidth="1"/>
    <col min="4322" max="4563" width="8.796875" style="891"/>
    <col min="4564" max="4564" width="4.3984375" style="891" customWidth="1"/>
    <col min="4565" max="4566" width="6.796875" style="891" customWidth="1"/>
    <col min="4567" max="4567" width="64.796875" style="891" customWidth="1"/>
    <col min="4568" max="4577" width="6.796875" style="891" customWidth="1"/>
    <col min="4578" max="4819" width="8.796875" style="891"/>
    <col min="4820" max="4820" width="4.3984375" style="891" customWidth="1"/>
    <col min="4821" max="4822" width="6.796875" style="891" customWidth="1"/>
    <col min="4823" max="4823" width="64.796875" style="891" customWidth="1"/>
    <col min="4824" max="4833" width="6.796875" style="891" customWidth="1"/>
    <col min="4834" max="5075" width="8.796875" style="891"/>
    <col min="5076" max="5076" width="4.3984375" style="891" customWidth="1"/>
    <col min="5077" max="5078" width="6.796875" style="891" customWidth="1"/>
    <col min="5079" max="5079" width="64.796875" style="891" customWidth="1"/>
    <col min="5080" max="5089" width="6.796875" style="891" customWidth="1"/>
    <col min="5090" max="5331" width="8.796875" style="891"/>
    <col min="5332" max="5332" width="4.3984375" style="891" customWidth="1"/>
    <col min="5333" max="5334" width="6.796875" style="891" customWidth="1"/>
    <col min="5335" max="5335" width="64.796875" style="891" customWidth="1"/>
    <col min="5336" max="5345" width="6.796875" style="891" customWidth="1"/>
    <col min="5346" max="5587" width="8.796875" style="891"/>
    <col min="5588" max="5588" width="4.3984375" style="891" customWidth="1"/>
    <col min="5589" max="5590" width="6.796875" style="891" customWidth="1"/>
    <col min="5591" max="5591" width="64.796875" style="891" customWidth="1"/>
    <col min="5592" max="5601" width="6.796875" style="891" customWidth="1"/>
    <col min="5602" max="5843" width="8.796875" style="891"/>
    <col min="5844" max="5844" width="4.3984375" style="891" customWidth="1"/>
    <col min="5845" max="5846" width="6.796875" style="891" customWidth="1"/>
    <col min="5847" max="5847" width="64.796875" style="891" customWidth="1"/>
    <col min="5848" max="5857" width="6.796875" style="891" customWidth="1"/>
    <col min="5858" max="6099" width="8.796875" style="891"/>
    <col min="6100" max="6100" width="4.3984375" style="891" customWidth="1"/>
    <col min="6101" max="6102" width="6.796875" style="891" customWidth="1"/>
    <col min="6103" max="6103" width="64.796875" style="891" customWidth="1"/>
    <col min="6104" max="6113" width="6.796875" style="891" customWidth="1"/>
    <col min="6114" max="6355" width="8.796875" style="891"/>
    <col min="6356" max="6356" width="4.3984375" style="891" customWidth="1"/>
    <col min="6357" max="6358" width="6.796875" style="891" customWidth="1"/>
    <col min="6359" max="6359" width="64.796875" style="891" customWidth="1"/>
    <col min="6360" max="6369" width="6.796875" style="891" customWidth="1"/>
    <col min="6370" max="6611" width="8.796875" style="891"/>
    <col min="6612" max="6612" width="4.3984375" style="891" customWidth="1"/>
    <col min="6613" max="6614" width="6.796875" style="891" customWidth="1"/>
    <col min="6615" max="6615" width="64.796875" style="891" customWidth="1"/>
    <col min="6616" max="6625" width="6.796875" style="891" customWidth="1"/>
    <col min="6626" max="6867" width="8.796875" style="891"/>
    <col min="6868" max="6868" width="4.3984375" style="891" customWidth="1"/>
    <col min="6869" max="6870" width="6.796875" style="891" customWidth="1"/>
    <col min="6871" max="6871" width="64.796875" style="891" customWidth="1"/>
    <col min="6872" max="6881" width="6.796875" style="891" customWidth="1"/>
    <col min="6882" max="7123" width="8.796875" style="891"/>
    <col min="7124" max="7124" width="4.3984375" style="891" customWidth="1"/>
    <col min="7125" max="7126" width="6.796875" style="891" customWidth="1"/>
    <col min="7127" max="7127" width="64.796875" style="891" customWidth="1"/>
    <col min="7128" max="7137" width="6.796875" style="891" customWidth="1"/>
    <col min="7138" max="7379" width="8.796875" style="891"/>
    <col min="7380" max="7380" width="4.3984375" style="891" customWidth="1"/>
    <col min="7381" max="7382" width="6.796875" style="891" customWidth="1"/>
    <col min="7383" max="7383" width="64.796875" style="891" customWidth="1"/>
    <col min="7384" max="7393" width="6.796875" style="891" customWidth="1"/>
    <col min="7394" max="7635" width="8.796875" style="891"/>
    <col min="7636" max="7636" width="4.3984375" style="891" customWidth="1"/>
    <col min="7637" max="7638" width="6.796875" style="891" customWidth="1"/>
    <col min="7639" max="7639" width="64.796875" style="891" customWidth="1"/>
    <col min="7640" max="7649" width="6.796875" style="891" customWidth="1"/>
    <col min="7650" max="7891" width="8.796875" style="891"/>
    <col min="7892" max="7892" width="4.3984375" style="891" customWidth="1"/>
    <col min="7893" max="7894" width="6.796875" style="891" customWidth="1"/>
    <col min="7895" max="7895" width="64.796875" style="891" customWidth="1"/>
    <col min="7896" max="7905" width="6.796875" style="891" customWidth="1"/>
    <col min="7906" max="8147" width="8.796875" style="891"/>
    <col min="8148" max="8148" width="4.3984375" style="891" customWidth="1"/>
    <col min="8149" max="8150" width="6.796875" style="891" customWidth="1"/>
    <col min="8151" max="8151" width="64.796875" style="891" customWidth="1"/>
    <col min="8152" max="8161" width="6.796875" style="891" customWidth="1"/>
    <col min="8162" max="8403" width="8.796875" style="891"/>
    <col min="8404" max="8404" width="4.3984375" style="891" customWidth="1"/>
    <col min="8405" max="8406" width="6.796875" style="891" customWidth="1"/>
    <col min="8407" max="8407" width="64.796875" style="891" customWidth="1"/>
    <col min="8408" max="8417" width="6.796875" style="891" customWidth="1"/>
    <col min="8418" max="8659" width="8.796875" style="891"/>
    <col min="8660" max="8660" width="4.3984375" style="891" customWidth="1"/>
    <col min="8661" max="8662" width="6.796875" style="891" customWidth="1"/>
    <col min="8663" max="8663" width="64.796875" style="891" customWidth="1"/>
    <col min="8664" max="8673" width="6.796875" style="891" customWidth="1"/>
    <col min="8674" max="8915" width="8.796875" style="891"/>
    <col min="8916" max="8916" width="4.3984375" style="891" customWidth="1"/>
    <col min="8917" max="8918" width="6.796875" style="891" customWidth="1"/>
    <col min="8919" max="8919" width="64.796875" style="891" customWidth="1"/>
    <col min="8920" max="8929" width="6.796875" style="891" customWidth="1"/>
    <col min="8930" max="9171" width="8.796875" style="891"/>
    <col min="9172" max="9172" width="4.3984375" style="891" customWidth="1"/>
    <col min="9173" max="9174" width="6.796875" style="891" customWidth="1"/>
    <col min="9175" max="9175" width="64.796875" style="891" customWidth="1"/>
    <col min="9176" max="9185" width="6.796875" style="891" customWidth="1"/>
    <col min="9186" max="9427" width="8.796875" style="891"/>
    <col min="9428" max="9428" width="4.3984375" style="891" customWidth="1"/>
    <col min="9429" max="9430" width="6.796875" style="891" customWidth="1"/>
    <col min="9431" max="9431" width="64.796875" style="891" customWidth="1"/>
    <col min="9432" max="9441" width="6.796875" style="891" customWidth="1"/>
    <col min="9442" max="9683" width="8.796875" style="891"/>
    <col min="9684" max="9684" width="4.3984375" style="891" customWidth="1"/>
    <col min="9685" max="9686" width="6.796875" style="891" customWidth="1"/>
    <col min="9687" max="9687" width="64.796875" style="891" customWidth="1"/>
    <col min="9688" max="9697" width="6.796875" style="891" customWidth="1"/>
    <col min="9698" max="9939" width="8.796875" style="891"/>
    <col min="9940" max="9940" width="4.3984375" style="891" customWidth="1"/>
    <col min="9941" max="9942" width="6.796875" style="891" customWidth="1"/>
    <col min="9943" max="9943" width="64.796875" style="891" customWidth="1"/>
    <col min="9944" max="9953" width="6.796875" style="891" customWidth="1"/>
    <col min="9954" max="10195" width="8.796875" style="891"/>
    <col min="10196" max="10196" width="4.3984375" style="891" customWidth="1"/>
    <col min="10197" max="10198" width="6.796875" style="891" customWidth="1"/>
    <col min="10199" max="10199" width="64.796875" style="891" customWidth="1"/>
    <col min="10200" max="10209" width="6.796875" style="891" customWidth="1"/>
    <col min="10210" max="10451" width="8.796875" style="891"/>
    <col min="10452" max="10452" width="4.3984375" style="891" customWidth="1"/>
    <col min="10453" max="10454" width="6.796875" style="891" customWidth="1"/>
    <col min="10455" max="10455" width="64.796875" style="891" customWidth="1"/>
    <col min="10456" max="10465" width="6.796875" style="891" customWidth="1"/>
    <col min="10466" max="10707" width="8.796875" style="891"/>
    <col min="10708" max="10708" width="4.3984375" style="891" customWidth="1"/>
    <col min="10709" max="10710" width="6.796875" style="891" customWidth="1"/>
    <col min="10711" max="10711" width="64.796875" style="891" customWidth="1"/>
    <col min="10712" max="10721" width="6.796875" style="891" customWidth="1"/>
    <col min="10722" max="10963" width="8.796875" style="891"/>
    <col min="10964" max="10964" width="4.3984375" style="891" customWidth="1"/>
    <col min="10965" max="10966" width="6.796875" style="891" customWidth="1"/>
    <col min="10967" max="10967" width="64.796875" style="891" customWidth="1"/>
    <col min="10968" max="10977" width="6.796875" style="891" customWidth="1"/>
    <col min="10978" max="11219" width="8.796875" style="891"/>
    <col min="11220" max="11220" width="4.3984375" style="891" customWidth="1"/>
    <col min="11221" max="11222" width="6.796875" style="891" customWidth="1"/>
    <col min="11223" max="11223" width="64.796875" style="891" customWidth="1"/>
    <col min="11224" max="11233" width="6.796875" style="891" customWidth="1"/>
    <col min="11234" max="11475" width="8.796875" style="891"/>
    <col min="11476" max="11476" width="4.3984375" style="891" customWidth="1"/>
    <col min="11477" max="11478" width="6.796875" style="891" customWidth="1"/>
    <col min="11479" max="11479" width="64.796875" style="891" customWidth="1"/>
    <col min="11480" max="11489" width="6.796875" style="891" customWidth="1"/>
    <col min="11490" max="11731" width="8.796875" style="891"/>
    <col min="11732" max="11732" width="4.3984375" style="891" customWidth="1"/>
    <col min="11733" max="11734" width="6.796875" style="891" customWidth="1"/>
    <col min="11735" max="11735" width="64.796875" style="891" customWidth="1"/>
    <col min="11736" max="11745" width="6.796875" style="891" customWidth="1"/>
    <col min="11746" max="11987" width="8.796875" style="891"/>
    <col min="11988" max="11988" width="4.3984375" style="891" customWidth="1"/>
    <col min="11989" max="11990" width="6.796875" style="891" customWidth="1"/>
    <col min="11991" max="11991" width="64.796875" style="891" customWidth="1"/>
    <col min="11992" max="12001" width="6.796875" style="891" customWidth="1"/>
    <col min="12002" max="12243" width="8.796875" style="891"/>
    <col min="12244" max="12244" width="4.3984375" style="891" customWidth="1"/>
    <col min="12245" max="12246" width="6.796875" style="891" customWidth="1"/>
    <col min="12247" max="12247" width="64.796875" style="891" customWidth="1"/>
    <col min="12248" max="12257" width="6.796875" style="891" customWidth="1"/>
    <col min="12258" max="12499" width="8.796875" style="891"/>
    <col min="12500" max="12500" width="4.3984375" style="891" customWidth="1"/>
    <col min="12501" max="12502" width="6.796875" style="891" customWidth="1"/>
    <col min="12503" max="12503" width="64.796875" style="891" customWidth="1"/>
    <col min="12504" max="12513" width="6.796875" style="891" customWidth="1"/>
    <col min="12514" max="12755" width="8.796875" style="891"/>
    <col min="12756" max="12756" width="4.3984375" style="891" customWidth="1"/>
    <col min="12757" max="12758" width="6.796875" style="891" customWidth="1"/>
    <col min="12759" max="12759" width="64.796875" style="891" customWidth="1"/>
    <col min="12760" max="12769" width="6.796875" style="891" customWidth="1"/>
    <col min="12770" max="13011" width="8.796875" style="891"/>
    <col min="13012" max="13012" width="4.3984375" style="891" customWidth="1"/>
    <col min="13013" max="13014" width="6.796875" style="891" customWidth="1"/>
    <col min="13015" max="13015" width="64.796875" style="891" customWidth="1"/>
    <col min="13016" max="13025" width="6.796875" style="891" customWidth="1"/>
    <col min="13026" max="13267" width="8.796875" style="891"/>
    <col min="13268" max="13268" width="4.3984375" style="891" customWidth="1"/>
    <col min="13269" max="13270" width="6.796875" style="891" customWidth="1"/>
    <col min="13271" max="13271" width="64.796875" style="891" customWidth="1"/>
    <col min="13272" max="13281" width="6.796875" style="891" customWidth="1"/>
    <col min="13282" max="13523" width="8.796875" style="891"/>
    <col min="13524" max="13524" width="4.3984375" style="891" customWidth="1"/>
    <col min="13525" max="13526" width="6.796875" style="891" customWidth="1"/>
    <col min="13527" max="13527" width="64.796875" style="891" customWidth="1"/>
    <col min="13528" max="13537" width="6.796875" style="891" customWidth="1"/>
    <col min="13538" max="13779" width="8.796875" style="891"/>
    <col min="13780" max="13780" width="4.3984375" style="891" customWidth="1"/>
    <col min="13781" max="13782" width="6.796875" style="891" customWidth="1"/>
    <col min="13783" max="13783" width="64.796875" style="891" customWidth="1"/>
    <col min="13784" max="13793" width="6.796875" style="891" customWidth="1"/>
    <col min="13794" max="14035" width="8.796875" style="891"/>
    <col min="14036" max="14036" width="4.3984375" style="891" customWidth="1"/>
    <col min="14037" max="14038" width="6.796875" style="891" customWidth="1"/>
    <col min="14039" max="14039" width="64.796875" style="891" customWidth="1"/>
    <col min="14040" max="14049" width="6.796875" style="891" customWidth="1"/>
    <col min="14050" max="14291" width="8.796875" style="891"/>
    <col min="14292" max="14292" width="4.3984375" style="891" customWidth="1"/>
    <col min="14293" max="14294" width="6.796875" style="891" customWidth="1"/>
    <col min="14295" max="14295" width="64.796875" style="891" customWidth="1"/>
    <col min="14296" max="14305" width="6.796875" style="891" customWidth="1"/>
    <col min="14306" max="14547" width="8.796875" style="891"/>
    <col min="14548" max="14548" width="4.3984375" style="891" customWidth="1"/>
    <col min="14549" max="14550" width="6.796875" style="891" customWidth="1"/>
    <col min="14551" max="14551" width="64.796875" style="891" customWidth="1"/>
    <col min="14552" max="14561" width="6.796875" style="891" customWidth="1"/>
    <col min="14562" max="14803" width="8.796875" style="891"/>
    <col min="14804" max="14804" width="4.3984375" style="891" customWidth="1"/>
    <col min="14805" max="14806" width="6.796875" style="891" customWidth="1"/>
    <col min="14807" max="14807" width="64.796875" style="891" customWidth="1"/>
    <col min="14808" max="14817" width="6.796875" style="891" customWidth="1"/>
    <col min="14818" max="15059" width="8.796875" style="891"/>
    <col min="15060" max="15060" width="4.3984375" style="891" customWidth="1"/>
    <col min="15061" max="15062" width="6.796875" style="891" customWidth="1"/>
    <col min="15063" max="15063" width="64.796875" style="891" customWidth="1"/>
    <col min="15064" max="15073" width="6.796875" style="891" customWidth="1"/>
    <col min="15074" max="15315" width="8.796875" style="891"/>
    <col min="15316" max="15316" width="4.3984375" style="891" customWidth="1"/>
    <col min="15317" max="15318" width="6.796875" style="891" customWidth="1"/>
    <col min="15319" max="15319" width="64.796875" style="891" customWidth="1"/>
    <col min="15320" max="15329" width="6.796875" style="891" customWidth="1"/>
    <col min="15330" max="15571" width="8.796875" style="891"/>
    <col min="15572" max="15572" width="4.3984375" style="891" customWidth="1"/>
    <col min="15573" max="15574" width="6.796875" style="891" customWidth="1"/>
    <col min="15575" max="15575" width="64.796875" style="891" customWidth="1"/>
    <col min="15576" max="15585" width="6.796875" style="891" customWidth="1"/>
    <col min="15586" max="15827" width="8.796875" style="891"/>
    <col min="15828" max="15828" width="4.3984375" style="891" customWidth="1"/>
    <col min="15829" max="15830" width="6.796875" style="891" customWidth="1"/>
    <col min="15831" max="15831" width="64.796875" style="891" customWidth="1"/>
    <col min="15832" max="15841" width="6.796875" style="891" customWidth="1"/>
    <col min="15842" max="16083" width="8.796875" style="891"/>
    <col min="16084" max="16084" width="4.3984375" style="891" customWidth="1"/>
    <col min="16085" max="16086" width="6.796875" style="891" customWidth="1"/>
    <col min="16087" max="16087" width="64.796875" style="891" customWidth="1"/>
    <col min="16088" max="16097" width="6.796875" style="891" customWidth="1"/>
    <col min="16098" max="16384" width="8.796875" style="891"/>
  </cols>
  <sheetData>
    <row r="1" spans="1:30" s="38" customFormat="1" ht="78.75" customHeight="1" x14ac:dyDescent="0.2">
      <c r="A1" s="890" t="s">
        <v>420</v>
      </c>
      <c r="B1" s="13" t="s">
        <v>562</v>
      </c>
      <c r="C1" s="13" t="s">
        <v>2580</v>
      </c>
      <c r="D1" s="14" t="s">
        <v>3673</v>
      </c>
      <c r="E1" s="18" t="s">
        <v>3174</v>
      </c>
      <c r="F1" s="108" t="s">
        <v>4601</v>
      </c>
      <c r="G1" s="56" t="s">
        <v>5683</v>
      </c>
      <c r="H1" s="18" t="s">
        <v>421</v>
      </c>
      <c r="I1" s="18" t="s">
        <v>422</v>
      </c>
      <c r="J1" s="18" t="s">
        <v>1828</v>
      </c>
      <c r="K1" s="53" t="s">
        <v>4602</v>
      </c>
      <c r="L1" s="56" t="s">
        <v>2089</v>
      </c>
      <c r="M1" s="56" t="s">
        <v>2090</v>
      </c>
      <c r="N1" s="18" t="s">
        <v>2672</v>
      </c>
      <c r="O1" s="18" t="s">
        <v>423</v>
      </c>
      <c r="P1" s="18" t="s">
        <v>424</v>
      </c>
      <c r="Q1" s="18" t="s">
        <v>2671</v>
      </c>
      <c r="R1" s="18" t="s">
        <v>442</v>
      </c>
      <c r="S1" s="18" t="s">
        <v>443</v>
      </c>
      <c r="T1" s="18" t="s">
        <v>2670</v>
      </c>
      <c r="U1" s="18" t="s">
        <v>1912</v>
      </c>
      <c r="V1" s="18" t="s">
        <v>1913</v>
      </c>
      <c r="W1" s="52" t="s">
        <v>2091</v>
      </c>
      <c r="X1" s="18" t="s">
        <v>802</v>
      </c>
      <c r="Y1" s="18" t="s">
        <v>985</v>
      </c>
      <c r="AA1" s="14" t="s">
        <v>3768</v>
      </c>
      <c r="AB1" s="38" t="s">
        <v>3787</v>
      </c>
      <c r="AC1" s="14" t="s">
        <v>3673</v>
      </c>
      <c r="AD1" s="13" t="s">
        <v>2580</v>
      </c>
    </row>
    <row r="2" spans="1:30" s="1" customFormat="1" ht="20.100000000000001" customHeight="1" x14ac:dyDescent="0.2">
      <c r="A2" s="752" t="s">
        <v>430</v>
      </c>
      <c r="B2" s="756" t="s">
        <v>3539</v>
      </c>
      <c r="C2" s="13"/>
      <c r="D2" s="761"/>
      <c r="E2" s="762"/>
      <c r="F2" s="763"/>
      <c r="G2" s="764"/>
      <c r="H2" s="4"/>
      <c r="I2" s="4"/>
      <c r="J2" s="4"/>
      <c r="K2" s="765"/>
      <c r="L2" s="57"/>
      <c r="M2" s="57"/>
      <c r="N2" s="766"/>
      <c r="O2" s="766"/>
      <c r="P2" s="766"/>
      <c r="Q2" s="767"/>
      <c r="R2" s="767"/>
      <c r="S2" s="766"/>
      <c r="T2" s="4"/>
      <c r="U2" s="4"/>
      <c r="V2" s="4"/>
      <c r="W2" s="4"/>
      <c r="X2" s="17"/>
      <c r="Y2" s="4"/>
      <c r="AA2" s="1" t="str">
        <f>IFERROR(VLOOKUP(D:D,[1]Габариты!$A:$I,9,0),"")</f>
        <v/>
      </c>
      <c r="AB2" s="6" t="str">
        <f>IFERROR(VLOOKUP(D:D,[1]Габариты!$A:$D,4,0),"")</f>
        <v/>
      </c>
      <c r="AC2" s="39"/>
      <c r="AD2" s="13"/>
    </row>
    <row r="3" spans="1:30" s="6" customFormat="1" ht="20.100000000000001" customHeight="1" x14ac:dyDescent="0.25">
      <c r="A3" s="743" t="s">
        <v>463</v>
      </c>
      <c r="B3" s="21"/>
      <c r="C3" s="13" t="s">
        <v>2581</v>
      </c>
      <c r="D3" s="39">
        <v>3153</v>
      </c>
      <c r="E3" s="4">
        <v>19</v>
      </c>
      <c r="F3" s="101">
        <v>3153</v>
      </c>
      <c r="G3" s="57" t="s">
        <v>5028</v>
      </c>
      <c r="H3" s="4" t="s">
        <v>6346</v>
      </c>
      <c r="I3" s="4" t="s">
        <v>3282</v>
      </c>
      <c r="J3" s="4" t="s">
        <v>1829</v>
      </c>
      <c r="K3" s="54" t="s">
        <v>2096</v>
      </c>
      <c r="L3" s="57">
        <v>387822438</v>
      </c>
      <c r="M3" s="57">
        <v>387822438</v>
      </c>
      <c r="N3" s="4" t="s">
        <v>825</v>
      </c>
      <c r="O3" s="4">
        <v>379766050</v>
      </c>
      <c r="P3" s="4">
        <v>379766049</v>
      </c>
      <c r="Q3" s="767" t="s">
        <v>2676</v>
      </c>
      <c r="R3" s="767">
        <v>379871679</v>
      </c>
      <c r="S3" s="4">
        <v>379871680</v>
      </c>
      <c r="T3" s="4"/>
      <c r="U3" s="4"/>
      <c r="V3" s="4"/>
      <c r="W3" s="4" t="s">
        <v>2096</v>
      </c>
      <c r="X3" s="4" t="s">
        <v>825</v>
      </c>
      <c r="Y3" s="4">
        <v>3153</v>
      </c>
      <c r="Z3" s="35"/>
      <c r="AA3" s="1" t="str">
        <f>IFERROR(VLOOKUP(D:D,[1]Габариты!$A:$I,9,0),"")</f>
        <v>Основной ассортимент</v>
      </c>
      <c r="AB3" s="6" t="str">
        <f>IFERROR(VLOOKUP(D:D,[1]Габариты!$A:$D,4,0),"")</f>
        <v>ВЕШАЛКИ</v>
      </c>
      <c r="AC3" s="39">
        <f>D3</f>
        <v>3153</v>
      </c>
      <c r="AD3" s="13" t="str">
        <f>C3</f>
        <v>FBS</v>
      </c>
    </row>
    <row r="4" spans="1:30" s="6" customFormat="1" ht="20.100000000000001" customHeight="1" x14ac:dyDescent="0.25">
      <c r="A4" s="743" t="s">
        <v>803</v>
      </c>
      <c r="B4" s="21"/>
      <c r="C4" s="13" t="s">
        <v>2581</v>
      </c>
      <c r="D4" s="39">
        <v>3355</v>
      </c>
      <c r="E4" s="4">
        <v>19</v>
      </c>
      <c r="F4" s="101">
        <v>3355</v>
      </c>
      <c r="G4" s="57" t="s">
        <v>5058</v>
      </c>
      <c r="H4" s="4" t="s">
        <v>6347</v>
      </c>
      <c r="I4" s="4" t="s">
        <v>3283</v>
      </c>
      <c r="J4" s="4" t="s">
        <v>1926</v>
      </c>
      <c r="K4" s="54" t="s">
        <v>2097</v>
      </c>
      <c r="L4" s="57">
        <v>1842339541</v>
      </c>
      <c r="M4" s="57">
        <v>1842339541</v>
      </c>
      <c r="N4" s="4" t="s">
        <v>826</v>
      </c>
      <c r="O4" s="4">
        <v>518641075</v>
      </c>
      <c r="P4" s="4">
        <v>518641077</v>
      </c>
      <c r="Q4" s="767"/>
      <c r="R4" s="767"/>
      <c r="S4" s="4"/>
      <c r="T4" s="4"/>
      <c r="U4" s="4"/>
      <c r="V4" s="4"/>
      <c r="W4" s="4" t="s">
        <v>2097</v>
      </c>
      <c r="X4" s="4" t="s">
        <v>826</v>
      </c>
      <c r="Y4" s="4">
        <v>3355</v>
      </c>
      <c r="Z4" s="35"/>
      <c r="AA4" s="1" t="str">
        <f>IFERROR(VLOOKUP(D:D,[1]Габариты!$A:$I,9,0),"")</f>
        <v>Основной ассортимент</v>
      </c>
      <c r="AB4" s="6" t="str">
        <f>IFERROR(VLOOKUP(D:D,[1]Габариты!$A:$D,4,0),"")</f>
        <v>ВЕШАЛКИ</v>
      </c>
      <c r="AC4" s="39">
        <f t="shared" ref="AC4:AC22" si="0">D4</f>
        <v>3355</v>
      </c>
      <c r="AD4" s="13" t="str">
        <f t="shared" ref="AD4:AD22" si="1">C4</f>
        <v>FBS</v>
      </c>
    </row>
    <row r="5" spans="1:30" s="6" customFormat="1" ht="20.100000000000001" customHeight="1" outlineLevel="1" x14ac:dyDescent="0.25">
      <c r="A5" s="743" t="s">
        <v>804</v>
      </c>
      <c r="B5" s="21"/>
      <c r="C5" s="13" t="s">
        <v>2581</v>
      </c>
      <c r="D5" s="39">
        <v>3356</v>
      </c>
      <c r="E5" s="4">
        <v>19</v>
      </c>
      <c r="F5" s="101">
        <v>3356</v>
      </c>
      <c r="G5" s="57" t="s">
        <v>5059</v>
      </c>
      <c r="H5" s="4" t="s">
        <v>6348</v>
      </c>
      <c r="I5" s="4" t="s">
        <v>3284</v>
      </c>
      <c r="J5" s="4" t="s">
        <v>1927</v>
      </c>
      <c r="K5" s="54" t="s">
        <v>2098</v>
      </c>
      <c r="L5" s="57">
        <v>1431518467</v>
      </c>
      <c r="M5" s="57">
        <v>1431518467</v>
      </c>
      <c r="N5" s="4" t="s">
        <v>827</v>
      </c>
      <c r="O5" s="4">
        <v>520590680</v>
      </c>
      <c r="P5" s="4">
        <v>520590677</v>
      </c>
      <c r="Q5" s="767"/>
      <c r="R5" s="767"/>
      <c r="S5" s="4"/>
      <c r="T5" s="4"/>
      <c r="U5" s="4"/>
      <c r="V5" s="4"/>
      <c r="W5" s="4" t="s">
        <v>2098</v>
      </c>
      <c r="X5" s="4" t="s">
        <v>827</v>
      </c>
      <c r="Y5" s="4">
        <v>3356</v>
      </c>
      <c r="Z5" s="35"/>
      <c r="AA5" s="1" t="str">
        <f>IFERROR(VLOOKUP(D:D,[1]Габариты!$A:$I,9,0),"")</f>
        <v>Основной ассортимент</v>
      </c>
      <c r="AB5" s="6" t="str">
        <f>IFERROR(VLOOKUP(D:D,[1]Габариты!$A:$D,4,0),"")</f>
        <v>ВЕШАЛКИ</v>
      </c>
      <c r="AC5" s="39">
        <f t="shared" si="0"/>
        <v>3356</v>
      </c>
      <c r="AD5" s="13" t="str">
        <f t="shared" si="1"/>
        <v>FBS</v>
      </c>
    </row>
    <row r="6" spans="1:30" s="6" customFormat="1" ht="20.100000000000001" customHeight="1" outlineLevel="1" x14ac:dyDescent="0.25">
      <c r="A6" s="743" t="s">
        <v>1027</v>
      </c>
      <c r="B6" s="21"/>
      <c r="C6" s="13" t="s">
        <v>2581</v>
      </c>
      <c r="D6" s="39">
        <v>30361</v>
      </c>
      <c r="E6" s="4">
        <v>34</v>
      </c>
      <c r="F6" s="101"/>
      <c r="G6" s="57"/>
      <c r="H6" s="4" t="s">
        <v>6349</v>
      </c>
      <c r="I6" s="4"/>
      <c r="J6" s="4" t="s">
        <v>3817</v>
      </c>
      <c r="K6" s="54"/>
      <c r="L6" s="57"/>
      <c r="M6" s="57"/>
      <c r="N6" s="4" t="s">
        <v>1036</v>
      </c>
      <c r="O6" s="4">
        <v>608852540</v>
      </c>
      <c r="P6" s="4">
        <v>608852539</v>
      </c>
      <c r="Q6" s="767"/>
      <c r="R6" s="767"/>
      <c r="S6" s="4"/>
      <c r="T6" s="4" t="s">
        <v>3821</v>
      </c>
      <c r="U6" s="4">
        <v>1341121105</v>
      </c>
      <c r="V6" s="4">
        <v>1341121105</v>
      </c>
      <c r="W6" s="4"/>
      <c r="X6" s="4" t="s">
        <v>1036</v>
      </c>
      <c r="Y6" s="4">
        <v>30361</v>
      </c>
      <c r="Z6" s="35"/>
      <c r="AA6" s="1" t="str">
        <f>IFERROR(VLOOKUP(D:D,[1]Габариты!$A:$I,9,0),"")</f>
        <v>Основной ассортимент</v>
      </c>
      <c r="AB6" s="6" t="str">
        <f>IFERROR(VLOOKUP(D:D,[1]Габариты!$A:$D,4,0),"")</f>
        <v>ВЕШАЛКИ</v>
      </c>
      <c r="AC6" s="39">
        <f t="shared" si="0"/>
        <v>30361</v>
      </c>
      <c r="AD6" s="13" t="str">
        <f t="shared" si="1"/>
        <v>FBS</v>
      </c>
    </row>
    <row r="7" spans="1:30" s="6" customFormat="1" ht="20.100000000000001" customHeight="1" outlineLevel="1" x14ac:dyDescent="0.25">
      <c r="A7" s="743" t="s">
        <v>1028</v>
      </c>
      <c r="B7" s="21"/>
      <c r="C7" s="13" t="s">
        <v>2581</v>
      </c>
      <c r="D7" s="39">
        <v>30362</v>
      </c>
      <c r="E7" s="4">
        <v>34</v>
      </c>
      <c r="F7" s="101"/>
      <c r="G7" s="57"/>
      <c r="H7" s="4" t="s">
        <v>6350</v>
      </c>
      <c r="I7" s="4"/>
      <c r="J7" s="4" t="s">
        <v>3819</v>
      </c>
      <c r="K7" s="54"/>
      <c r="L7" s="57"/>
      <c r="M7" s="57"/>
      <c r="N7" s="4" t="s">
        <v>1037</v>
      </c>
      <c r="O7" s="4">
        <v>617937053</v>
      </c>
      <c r="P7" s="4">
        <v>617937054</v>
      </c>
      <c r="Q7" s="767"/>
      <c r="R7" s="767"/>
      <c r="S7" s="4"/>
      <c r="T7" s="4" t="s">
        <v>3822</v>
      </c>
      <c r="U7" s="4">
        <v>1341126586</v>
      </c>
      <c r="V7" s="4">
        <v>1341126586</v>
      </c>
      <c r="W7" s="4"/>
      <c r="X7" s="4" t="s">
        <v>1037</v>
      </c>
      <c r="Y7" s="4">
        <v>30362</v>
      </c>
      <c r="Z7" s="35"/>
      <c r="AA7" s="1" t="str">
        <f>IFERROR(VLOOKUP(D:D,[1]Габариты!$A:$I,9,0),"")</f>
        <v>Основной ассортимент</v>
      </c>
      <c r="AB7" s="6" t="str">
        <f>IFERROR(VLOOKUP(D:D,[1]Габариты!$A:$D,4,0),"")</f>
        <v>ВЕШАЛКИ</v>
      </c>
      <c r="AC7" s="39">
        <f t="shared" si="0"/>
        <v>30362</v>
      </c>
      <c r="AD7" s="13" t="str">
        <f t="shared" si="1"/>
        <v>FBS</v>
      </c>
    </row>
    <row r="8" spans="1:30" s="6" customFormat="1" ht="20.100000000000001" customHeight="1" outlineLevel="1" x14ac:dyDescent="0.25">
      <c r="A8" s="743" t="s">
        <v>1029</v>
      </c>
      <c r="B8" s="21"/>
      <c r="C8" s="13" t="s">
        <v>2581</v>
      </c>
      <c r="D8" s="39">
        <v>30363</v>
      </c>
      <c r="E8" s="4">
        <v>34</v>
      </c>
      <c r="F8" s="101"/>
      <c r="G8" s="57"/>
      <c r="H8" s="4" t="s">
        <v>6351</v>
      </c>
      <c r="I8" s="4"/>
      <c r="J8" s="4" t="s">
        <v>3818</v>
      </c>
      <c r="K8" s="54"/>
      <c r="L8" s="57"/>
      <c r="M8" s="57"/>
      <c r="N8" s="4" t="s">
        <v>1038</v>
      </c>
      <c r="O8" s="4">
        <v>617987616</v>
      </c>
      <c r="P8" s="4">
        <v>617987620</v>
      </c>
      <c r="Q8" s="767"/>
      <c r="R8" s="767"/>
      <c r="S8" s="4"/>
      <c r="T8" s="4" t="s">
        <v>3823</v>
      </c>
      <c r="U8" s="4">
        <v>1341136272</v>
      </c>
      <c r="V8" s="4">
        <v>1341136272</v>
      </c>
      <c r="W8" s="4"/>
      <c r="X8" s="4" t="s">
        <v>1038</v>
      </c>
      <c r="Y8" s="4">
        <v>30363</v>
      </c>
      <c r="Z8" s="35"/>
      <c r="AA8" s="1" t="str">
        <f>IFERROR(VLOOKUP(D:D,[1]Габариты!$A:$I,9,0),"")</f>
        <v>Основной ассортимент</v>
      </c>
      <c r="AB8" s="6" t="str">
        <f>IFERROR(VLOOKUP(D:D,[1]Габариты!$A:$D,4,0),"")</f>
        <v>ВЕШАЛКИ</v>
      </c>
      <c r="AC8" s="39">
        <f t="shared" si="0"/>
        <v>30363</v>
      </c>
      <c r="AD8" s="13" t="str">
        <f t="shared" si="1"/>
        <v>FBS</v>
      </c>
    </row>
    <row r="9" spans="1:30" s="6" customFormat="1" ht="20.100000000000001" customHeight="1" outlineLevel="1" x14ac:dyDescent="0.25">
      <c r="A9" s="743" t="s">
        <v>3132</v>
      </c>
      <c r="B9" s="21"/>
      <c r="C9" s="13" t="s">
        <v>2582</v>
      </c>
      <c r="D9" s="39">
        <v>30364</v>
      </c>
      <c r="E9" s="4">
        <v>56</v>
      </c>
      <c r="F9" s="101"/>
      <c r="G9" s="57"/>
      <c r="H9" s="4" t="s">
        <v>6352</v>
      </c>
      <c r="I9" s="4" t="s">
        <v>3241</v>
      </c>
      <c r="J9" s="4" t="s">
        <v>3212</v>
      </c>
      <c r="K9" s="54"/>
      <c r="L9" s="57"/>
      <c r="M9" s="57"/>
      <c r="N9" s="4" t="s">
        <v>3216</v>
      </c>
      <c r="O9" s="4">
        <v>983504437</v>
      </c>
      <c r="P9" s="4">
        <v>983504436</v>
      </c>
      <c r="Q9" s="767" t="s">
        <v>3220</v>
      </c>
      <c r="R9" s="767">
        <v>983929528</v>
      </c>
      <c r="S9" s="4">
        <v>983929527</v>
      </c>
      <c r="T9" s="4" t="s">
        <v>3224</v>
      </c>
      <c r="U9" s="4">
        <v>983897205</v>
      </c>
      <c r="V9" s="4">
        <v>983897205</v>
      </c>
      <c r="W9" s="4"/>
      <c r="X9" s="4" t="s">
        <v>3216</v>
      </c>
      <c r="Y9" s="4" t="s">
        <v>4066</v>
      </c>
      <c r="Z9" s="35"/>
      <c r="AA9" s="1" t="str">
        <f>IFERROR(VLOOKUP(D:D,[1]Габариты!$A:$I,9,0),"")</f>
        <v>Основной ассортимент</v>
      </c>
      <c r="AB9" s="6" t="str">
        <f>IFERROR(VLOOKUP(D:D,[1]Габариты!$A:$D,4,0),"")</f>
        <v>ВЕШАЛКИ</v>
      </c>
      <c r="AC9" s="39">
        <f t="shared" si="0"/>
        <v>30364</v>
      </c>
      <c r="AD9" s="13" t="str">
        <f t="shared" si="1"/>
        <v>FBO</v>
      </c>
    </row>
    <row r="10" spans="1:30" s="6" customFormat="1" ht="20.100000000000001" customHeight="1" outlineLevel="1" x14ac:dyDescent="0.25">
      <c r="A10" s="743" t="s">
        <v>3133</v>
      </c>
      <c r="B10" s="21"/>
      <c r="C10" s="13" t="s">
        <v>2582</v>
      </c>
      <c r="D10" s="39">
        <v>30365</v>
      </c>
      <c r="E10" s="4">
        <v>56</v>
      </c>
      <c r="F10" s="101"/>
      <c r="G10" s="57"/>
      <c r="H10" s="4" t="s">
        <v>6353</v>
      </c>
      <c r="I10" s="4" t="s">
        <v>3242</v>
      </c>
      <c r="J10" s="4" t="s">
        <v>3213</v>
      </c>
      <c r="K10" s="54"/>
      <c r="L10" s="57"/>
      <c r="M10" s="57"/>
      <c r="N10" s="4" t="s">
        <v>3217</v>
      </c>
      <c r="O10" s="4">
        <v>983528480</v>
      </c>
      <c r="P10" s="4">
        <v>983528479</v>
      </c>
      <c r="Q10" s="767" t="s">
        <v>3221</v>
      </c>
      <c r="R10" s="767">
        <v>983939704</v>
      </c>
      <c r="S10" s="4">
        <v>983939704</v>
      </c>
      <c r="T10" s="4" t="s">
        <v>3225</v>
      </c>
      <c r="U10" s="4">
        <v>983908029</v>
      </c>
      <c r="V10" s="4">
        <v>983908029</v>
      </c>
      <c r="W10" s="4"/>
      <c r="X10" s="4" t="s">
        <v>3217</v>
      </c>
      <c r="Y10" s="4">
        <v>30365</v>
      </c>
      <c r="Z10" s="35"/>
      <c r="AA10" s="1" t="str">
        <f>IFERROR(VLOOKUP(D:D,[1]Габариты!$A:$I,9,0),"")</f>
        <v>Основной ассортимент</v>
      </c>
      <c r="AB10" s="6" t="str">
        <f>IFERROR(VLOOKUP(D:D,[1]Габариты!$A:$D,4,0),"")</f>
        <v>ВЕШАЛКИ</v>
      </c>
      <c r="AC10" s="39">
        <f t="shared" si="0"/>
        <v>30365</v>
      </c>
      <c r="AD10" s="13" t="str">
        <f t="shared" si="1"/>
        <v>FBO</v>
      </c>
    </row>
    <row r="11" spans="1:30" s="6" customFormat="1" ht="20.100000000000001" customHeight="1" outlineLevel="1" x14ac:dyDescent="0.25">
      <c r="A11" s="743" t="s">
        <v>3134</v>
      </c>
      <c r="B11" s="21"/>
      <c r="C11" s="13" t="s">
        <v>2582</v>
      </c>
      <c r="D11" s="39">
        <v>30366</v>
      </c>
      <c r="E11" s="4">
        <v>56</v>
      </c>
      <c r="F11" s="101"/>
      <c r="G11" s="57"/>
      <c r="H11" s="4" t="s">
        <v>6354</v>
      </c>
      <c r="I11" s="4" t="s">
        <v>3243</v>
      </c>
      <c r="J11" s="4" t="s">
        <v>3214</v>
      </c>
      <c r="K11" s="54"/>
      <c r="L11" s="57"/>
      <c r="M11" s="57"/>
      <c r="N11" s="4" t="s">
        <v>3218</v>
      </c>
      <c r="O11" s="4">
        <v>983535347</v>
      </c>
      <c r="P11" s="4">
        <v>983535348</v>
      </c>
      <c r="Q11" s="767" t="s">
        <v>3222</v>
      </c>
      <c r="R11" s="767">
        <v>983950283</v>
      </c>
      <c r="S11" s="4">
        <v>983950283</v>
      </c>
      <c r="T11" s="4" t="s">
        <v>3226</v>
      </c>
      <c r="U11" s="4">
        <v>983915077</v>
      </c>
      <c r="V11" s="4">
        <v>983915077</v>
      </c>
      <c r="W11" s="4"/>
      <c r="X11" s="4" t="s">
        <v>3218</v>
      </c>
      <c r="Y11" s="4">
        <v>30366</v>
      </c>
      <c r="Z11" s="35"/>
      <c r="AA11" s="1" t="str">
        <f>IFERROR(VLOOKUP(D:D,[1]Габариты!$A:$I,9,0),"")</f>
        <v>Основной ассортимент</v>
      </c>
      <c r="AB11" s="6" t="str">
        <f>IFERROR(VLOOKUP(D:D,[1]Габариты!$A:$D,4,0),"")</f>
        <v>ВЕШАЛКИ</v>
      </c>
      <c r="AC11" s="39">
        <f t="shared" si="0"/>
        <v>30366</v>
      </c>
      <c r="AD11" s="13" t="str">
        <f t="shared" si="1"/>
        <v>FBO</v>
      </c>
    </row>
    <row r="12" spans="1:30" s="6" customFormat="1" ht="20.100000000000001" customHeight="1" outlineLevel="1" x14ac:dyDescent="0.25">
      <c r="A12" s="743" t="s">
        <v>3135</v>
      </c>
      <c r="B12" s="21"/>
      <c r="C12" s="13" t="s">
        <v>2582</v>
      </c>
      <c r="D12" s="39">
        <v>30367</v>
      </c>
      <c r="E12" s="4">
        <v>56</v>
      </c>
      <c r="F12" s="101"/>
      <c r="G12" s="57"/>
      <c r="H12" s="4" t="s">
        <v>6355</v>
      </c>
      <c r="I12" s="4" t="s">
        <v>3244</v>
      </c>
      <c r="J12" s="4" t="s">
        <v>3215</v>
      </c>
      <c r="K12" s="54"/>
      <c r="L12" s="57"/>
      <c r="M12" s="57"/>
      <c r="N12" s="4" t="s">
        <v>3219</v>
      </c>
      <c r="O12" s="4">
        <v>983544102</v>
      </c>
      <c r="P12" s="4">
        <v>983544103</v>
      </c>
      <c r="Q12" s="767" t="s">
        <v>3223</v>
      </c>
      <c r="R12" s="767">
        <v>983961580</v>
      </c>
      <c r="S12" s="4">
        <v>983961579</v>
      </c>
      <c r="T12" s="4" t="s">
        <v>3227</v>
      </c>
      <c r="U12" s="4">
        <v>983920551</v>
      </c>
      <c r="V12" s="4">
        <v>983920551</v>
      </c>
      <c r="W12" s="4"/>
      <c r="X12" s="4" t="s">
        <v>3219</v>
      </c>
      <c r="Y12" s="4">
        <v>30367</v>
      </c>
      <c r="Z12" s="35"/>
      <c r="AA12" s="1" t="str">
        <f>IFERROR(VLOOKUP(D:D,[1]Габариты!$A:$I,9,0),"")</f>
        <v>Основной ассортимент</v>
      </c>
      <c r="AB12" s="6" t="str">
        <f>IFERROR(VLOOKUP(D:D,[1]Габариты!$A:$D,4,0),"")</f>
        <v>ВЕШАЛКИ</v>
      </c>
      <c r="AC12" s="39">
        <f t="shared" si="0"/>
        <v>30367</v>
      </c>
      <c r="AD12" s="13" t="str">
        <f t="shared" si="1"/>
        <v>FBO</v>
      </c>
    </row>
    <row r="13" spans="1:30" s="6" customFormat="1" ht="20.100000000000001" customHeight="1" outlineLevel="1" x14ac:dyDescent="0.25">
      <c r="A13" s="743" t="s">
        <v>3176</v>
      </c>
      <c r="B13" s="21"/>
      <c r="C13" s="13" t="s">
        <v>2582</v>
      </c>
      <c r="D13" s="39">
        <v>30368</v>
      </c>
      <c r="E13" s="4">
        <v>56</v>
      </c>
      <c r="F13" s="101"/>
      <c r="G13" s="57"/>
      <c r="H13" s="4" t="s">
        <v>6356</v>
      </c>
      <c r="I13" s="4" t="s">
        <v>3351</v>
      </c>
      <c r="J13" s="4" t="s">
        <v>3289</v>
      </c>
      <c r="K13" s="54"/>
      <c r="L13" s="57"/>
      <c r="M13" s="57"/>
      <c r="N13" s="4" t="s">
        <v>3287</v>
      </c>
      <c r="O13" s="4">
        <v>1004344667</v>
      </c>
      <c r="P13" s="4">
        <v>1004344666</v>
      </c>
      <c r="Q13" s="767" t="s">
        <v>3382</v>
      </c>
      <c r="R13" s="767">
        <v>1020335184</v>
      </c>
      <c r="S13" s="4">
        <v>1020335184</v>
      </c>
      <c r="T13" s="4" t="s">
        <v>3373</v>
      </c>
      <c r="U13" s="4">
        <v>1020289773</v>
      </c>
      <c r="V13" s="4">
        <v>1020289773</v>
      </c>
      <c r="W13" s="4"/>
      <c r="X13" s="4" t="s">
        <v>3287</v>
      </c>
      <c r="Y13" s="4" t="s">
        <v>4066</v>
      </c>
      <c r="Z13" s="35"/>
      <c r="AA13" s="1" t="str">
        <f>IFERROR(VLOOKUP(D:D,[1]Габариты!$A:$I,9,0),"")</f>
        <v>Основной ассортимент</v>
      </c>
      <c r="AB13" s="6" t="str">
        <f>IFERROR(VLOOKUP(D:D,[1]Габариты!$A:$D,4,0),"")</f>
        <v>ВЕШАЛКИ</v>
      </c>
      <c r="AC13" s="39">
        <f t="shared" si="0"/>
        <v>30368</v>
      </c>
      <c r="AD13" s="13" t="str">
        <f t="shared" si="1"/>
        <v>FBO</v>
      </c>
    </row>
    <row r="14" spans="1:30" s="6" customFormat="1" ht="20.100000000000001" customHeight="1" outlineLevel="1" x14ac:dyDescent="0.25">
      <c r="A14" s="743" t="s">
        <v>1453</v>
      </c>
      <c r="B14" s="21"/>
      <c r="C14" s="13" t="s">
        <v>2581</v>
      </c>
      <c r="D14" s="39" t="s">
        <v>1476</v>
      </c>
      <c r="E14" s="4">
        <v>26</v>
      </c>
      <c r="F14" s="101" t="s">
        <v>4721</v>
      </c>
      <c r="G14" s="57" t="s">
        <v>5210</v>
      </c>
      <c r="H14" s="4" t="s">
        <v>6357</v>
      </c>
      <c r="I14" s="4"/>
      <c r="J14" s="4" t="s">
        <v>1928</v>
      </c>
      <c r="K14" s="54" t="s">
        <v>4721</v>
      </c>
      <c r="L14" s="57">
        <v>1361820562</v>
      </c>
      <c r="M14" s="57">
        <v>1361820562</v>
      </c>
      <c r="N14" s="4" t="s">
        <v>1577</v>
      </c>
      <c r="O14" s="4">
        <v>733280296</v>
      </c>
      <c r="P14" s="4">
        <v>733280297</v>
      </c>
      <c r="Q14" s="767"/>
      <c r="R14" s="767"/>
      <c r="S14" s="4"/>
      <c r="T14" s="4"/>
      <c r="U14" s="4"/>
      <c r="V14" s="4"/>
      <c r="W14" s="4"/>
      <c r="X14" s="4" t="s">
        <v>1577</v>
      </c>
      <c r="Y14" s="4" t="s">
        <v>4066</v>
      </c>
      <c r="Z14" s="35"/>
      <c r="AA14" s="1" t="str">
        <f>IFERROR(VLOOKUP(D:D,[1]Габариты!$A:$I,9,0),"")</f>
        <v>Основной ассортимент</v>
      </c>
      <c r="AB14" s="6" t="str">
        <f>IFERROR(VLOOKUP(D:D,[1]Габариты!$A:$D,4,0),"")</f>
        <v>ВЕШАЛКИ</v>
      </c>
      <c r="AC14" s="39" t="str">
        <f t="shared" si="0"/>
        <v>MK1370101</v>
      </c>
      <c r="AD14" s="13" t="str">
        <f t="shared" si="1"/>
        <v>FBS</v>
      </c>
    </row>
    <row r="15" spans="1:30" s="6" customFormat="1" ht="20.100000000000001" customHeight="1" outlineLevel="1" x14ac:dyDescent="0.25">
      <c r="A15" s="630" t="s">
        <v>5862</v>
      </c>
      <c r="B15" s="197"/>
      <c r="C15" s="13" t="s">
        <v>2581</v>
      </c>
      <c r="D15" s="196" t="s">
        <v>5747</v>
      </c>
      <c r="E15" s="4">
        <v>26</v>
      </c>
      <c r="F15" s="194" t="s">
        <v>5734</v>
      </c>
      <c r="G15" s="195" t="s">
        <v>5818</v>
      </c>
      <c r="H15" s="193" t="s">
        <v>7739</v>
      </c>
      <c r="I15" s="193"/>
      <c r="J15" s="193"/>
      <c r="K15" s="194" t="s">
        <v>5734</v>
      </c>
      <c r="L15" s="195">
        <v>1378174624</v>
      </c>
      <c r="M15" s="195">
        <v>1378174624</v>
      </c>
      <c r="N15" s="193" t="s">
        <v>8063</v>
      </c>
      <c r="O15" s="193"/>
      <c r="P15" s="193"/>
      <c r="Q15" s="768"/>
      <c r="R15" s="768"/>
      <c r="S15" s="193"/>
      <c r="T15" s="193"/>
      <c r="U15" s="193"/>
      <c r="V15" s="193"/>
      <c r="W15" s="193"/>
      <c r="X15" s="193" t="s">
        <v>8063</v>
      </c>
      <c r="Y15" s="193"/>
      <c r="Z15" s="35"/>
      <c r="AA15" s="1" t="str">
        <f>IFERROR(VLOOKUP(D:D,[1]Габариты!$A:$I,9,0),"")</f>
        <v>Основной ассортимент</v>
      </c>
      <c r="AB15" s="6" t="str">
        <f>IFERROR(VLOOKUP(D:D,[1]Габариты!$A:$D,4,0),"")</f>
        <v>ВЕШАЛКИ</v>
      </c>
      <c r="AC15" s="39" t="str">
        <f t="shared" si="0"/>
        <v>MK1370201</v>
      </c>
      <c r="AD15" s="13" t="str">
        <f t="shared" si="1"/>
        <v>FBS</v>
      </c>
    </row>
    <row r="16" spans="1:30" s="6" customFormat="1" ht="20.100000000000001" customHeight="1" x14ac:dyDescent="0.25">
      <c r="A16" s="631" t="s">
        <v>5865</v>
      </c>
      <c r="B16" s="76"/>
      <c r="C16" s="383" t="s">
        <v>2582</v>
      </c>
      <c r="D16" s="196" t="s">
        <v>5750</v>
      </c>
      <c r="E16" s="4">
        <v>26</v>
      </c>
      <c r="F16" s="101" t="s">
        <v>5737</v>
      </c>
      <c r="G16" s="75" t="s">
        <v>5821</v>
      </c>
      <c r="H16" s="4" t="s">
        <v>5821</v>
      </c>
      <c r="I16" s="73"/>
      <c r="J16" s="73"/>
      <c r="K16" s="54" t="s">
        <v>5737</v>
      </c>
      <c r="L16" s="57">
        <v>1284359767</v>
      </c>
      <c r="M16" s="57">
        <v>1284359767</v>
      </c>
      <c r="N16" s="769" t="s">
        <v>8373</v>
      </c>
      <c r="O16" s="73"/>
      <c r="P16" s="73"/>
      <c r="Q16" s="73"/>
      <c r="R16" s="73"/>
      <c r="S16" s="73"/>
      <c r="T16" s="73"/>
      <c r="U16" s="73"/>
      <c r="V16" s="73"/>
      <c r="W16" s="73"/>
      <c r="X16" s="73" t="s">
        <v>8373</v>
      </c>
      <c r="Y16" s="73"/>
      <c r="Z16" s="67"/>
      <c r="AA16" s="1" t="str">
        <f>IFERROR(VLOOKUP(D:D,[1]Габариты!$A:$I,9,0),"")</f>
        <v>Основной ассортимент</v>
      </c>
      <c r="AB16" s="6" t="str">
        <f>IFERROR(VLOOKUP(D:D,[1]Габариты!$A:$D,4,0),"")</f>
        <v>ВЕШАЛКИ</v>
      </c>
      <c r="AC16" s="39" t="str">
        <f t="shared" si="0"/>
        <v>MK2170101</v>
      </c>
      <c r="AD16" s="13" t="str">
        <f t="shared" si="1"/>
        <v>FBO</v>
      </c>
    </row>
    <row r="17" spans="1:30" s="6" customFormat="1" ht="20.100000000000001" customHeight="1" x14ac:dyDescent="0.25">
      <c r="A17" s="631" t="s">
        <v>5864</v>
      </c>
      <c r="B17" s="76"/>
      <c r="C17" s="383" t="s">
        <v>2582</v>
      </c>
      <c r="D17" s="196" t="s">
        <v>5749</v>
      </c>
      <c r="E17" s="4">
        <v>36</v>
      </c>
      <c r="F17" s="101" t="s">
        <v>5736</v>
      </c>
      <c r="G17" s="75" t="s">
        <v>5820</v>
      </c>
      <c r="H17" s="4" t="s">
        <v>5820</v>
      </c>
      <c r="I17" s="73"/>
      <c r="J17" s="73"/>
      <c r="K17" s="54" t="s">
        <v>5736</v>
      </c>
      <c r="L17" s="57">
        <v>1316850035</v>
      </c>
      <c r="M17" s="57">
        <v>1316850035</v>
      </c>
      <c r="N17" s="4" t="s">
        <v>8294</v>
      </c>
      <c r="O17" s="73">
        <v>1849368561</v>
      </c>
      <c r="P17" s="73">
        <v>1849368561</v>
      </c>
      <c r="Q17" s="73"/>
      <c r="R17" s="73"/>
      <c r="S17" s="73"/>
      <c r="T17" s="73"/>
      <c r="U17" s="73"/>
      <c r="V17" s="73"/>
      <c r="W17" s="73"/>
      <c r="X17" s="73" t="s">
        <v>8294</v>
      </c>
      <c r="Y17" s="73"/>
      <c r="Z17" s="67"/>
      <c r="AA17" s="1" t="str">
        <f>IFERROR(VLOOKUP(D:D,[1]Габариты!$A:$I,9,0),"")</f>
        <v>Основной ассортимент</v>
      </c>
      <c r="AB17" s="6" t="str">
        <f>IFERROR(VLOOKUP(D:D,[1]Габариты!$A:$D,4,0),"")</f>
        <v>ВЕШАЛКИ</v>
      </c>
      <c r="AC17" s="39" t="str">
        <f t="shared" si="0"/>
        <v>MK2470101</v>
      </c>
      <c r="AD17" s="13" t="str">
        <f t="shared" si="1"/>
        <v>FBO</v>
      </c>
    </row>
    <row r="18" spans="1:30" s="1" customFormat="1" ht="20.100000000000001" customHeight="1" x14ac:dyDescent="0.2">
      <c r="A18" s="752" t="s">
        <v>430</v>
      </c>
      <c r="B18" s="756" t="s">
        <v>3877</v>
      </c>
      <c r="C18" s="13"/>
      <c r="D18" s="761"/>
      <c r="E18" s="762"/>
      <c r="F18" s="763"/>
      <c r="G18" s="764"/>
      <c r="H18" s="4"/>
      <c r="I18" s="4"/>
      <c r="J18" s="4"/>
      <c r="K18" s="765"/>
      <c r="L18" s="57"/>
      <c r="M18" s="57"/>
      <c r="N18" s="766"/>
      <c r="O18" s="766"/>
      <c r="P18" s="766"/>
      <c r="Q18" s="767"/>
      <c r="R18" s="767"/>
      <c r="S18" s="766"/>
      <c r="T18" s="4"/>
      <c r="U18" s="4"/>
      <c r="V18" s="4"/>
      <c r="W18" s="4"/>
      <c r="X18" s="17"/>
      <c r="Y18" s="4"/>
      <c r="AA18" s="1" t="str">
        <f>IFERROR(VLOOKUP(D:D,[1]Габариты!$A:$I,9,0),"")</f>
        <v/>
      </c>
      <c r="AB18" s="6" t="str">
        <f>IFERROR(VLOOKUP(D:D,[1]Габариты!$A:$D,4,0),"")</f>
        <v/>
      </c>
      <c r="AC18" s="39"/>
      <c r="AD18" s="13"/>
    </row>
    <row r="19" spans="1:30" s="6" customFormat="1" ht="20.100000000000001" customHeight="1" x14ac:dyDescent="0.25">
      <c r="A19" s="631" t="s">
        <v>5399</v>
      </c>
      <c r="B19" s="3"/>
      <c r="C19" s="13" t="s">
        <v>4050</v>
      </c>
      <c r="D19" s="196" t="s">
        <v>5389</v>
      </c>
      <c r="E19" s="4">
        <v>15</v>
      </c>
      <c r="F19" s="101" t="s">
        <v>6298</v>
      </c>
      <c r="G19" s="57" t="s">
        <v>5380</v>
      </c>
      <c r="H19" s="4" t="s">
        <v>5380</v>
      </c>
      <c r="I19" s="4"/>
      <c r="J19" s="4"/>
      <c r="K19" s="54" t="s">
        <v>6298</v>
      </c>
      <c r="L19" s="57">
        <v>1617713319</v>
      </c>
      <c r="M19" s="57">
        <v>1617713319</v>
      </c>
      <c r="N19" s="4" t="s">
        <v>8423</v>
      </c>
      <c r="O19" s="4">
        <v>1906460228</v>
      </c>
      <c r="P19" s="4">
        <v>1906460228</v>
      </c>
      <c r="Q19" s="4"/>
      <c r="R19" s="4"/>
      <c r="S19" s="4"/>
      <c r="T19" s="4"/>
      <c r="U19" s="4"/>
      <c r="V19" s="4"/>
      <c r="W19" s="4"/>
      <c r="X19" s="4"/>
      <c r="Y19" s="4"/>
      <c r="Z19" s="3"/>
      <c r="AA19" s="1" t="str">
        <f>IFERROR(VLOOKUP(D:D,[1]Габариты!$A:$I,9,0),"")</f>
        <v>Основной ассортимент</v>
      </c>
      <c r="AB19" s="6" t="str">
        <f>IFERROR(VLOOKUP(D:D,[1]Габариты!$A:$D,4,0),"")</f>
        <v>ВЕШАЛКИ</v>
      </c>
      <c r="AC19" s="39" t="str">
        <f t="shared" si="0"/>
        <v>MK2180101</v>
      </c>
      <c r="AD19" s="13" t="str">
        <f t="shared" si="1"/>
        <v>СКГТ (ОЗОН)</v>
      </c>
    </row>
    <row r="20" spans="1:30" s="6" customFormat="1" ht="20.100000000000001" customHeight="1" outlineLevel="1" x14ac:dyDescent="0.25">
      <c r="A20" s="632" t="s">
        <v>7537</v>
      </c>
      <c r="B20" s="151"/>
      <c r="C20" s="13" t="s">
        <v>4328</v>
      </c>
      <c r="D20" s="147" t="s">
        <v>7536</v>
      </c>
      <c r="E20" s="4">
        <v>10</v>
      </c>
      <c r="F20" s="144" t="s">
        <v>8183</v>
      </c>
      <c r="G20" s="145" t="s">
        <v>7542</v>
      </c>
      <c r="H20" s="143" t="s">
        <v>7552</v>
      </c>
      <c r="I20" s="143"/>
      <c r="J20" s="143"/>
      <c r="K20" s="144" t="s">
        <v>8183</v>
      </c>
      <c r="L20" s="145">
        <v>1781379276</v>
      </c>
      <c r="M20" s="145">
        <v>1781379276</v>
      </c>
      <c r="N20" s="143" t="s">
        <v>8048</v>
      </c>
      <c r="O20" s="143"/>
      <c r="P20" s="143"/>
      <c r="Q20" s="770"/>
      <c r="R20" s="770"/>
      <c r="S20" s="143"/>
      <c r="T20" s="143"/>
      <c r="U20" s="143"/>
      <c r="V20" s="143"/>
      <c r="W20" s="143"/>
      <c r="X20" s="143" t="s">
        <v>8048</v>
      </c>
      <c r="Y20" s="143"/>
      <c r="Z20" s="35"/>
      <c r="AA20" s="1" t="str">
        <f>IFERROR(VLOOKUP(D:D,[1]Габариты!$A:$I,9,0),"")</f>
        <v>Вакансия</v>
      </c>
      <c r="AB20" s="6" t="str">
        <f>IFERROR(VLOOKUP(D:D,[1]Габариты!$A:$D,4,0),"")</f>
        <v>ВЕШАЛКИ</v>
      </c>
      <c r="AC20" s="39" t="str">
        <f t="shared" si="0"/>
        <v>MK1612501</v>
      </c>
      <c r="AD20" s="13" t="str">
        <f t="shared" si="1"/>
        <v>СКГТ</v>
      </c>
    </row>
    <row r="21" spans="1:30" s="6" customFormat="1" ht="20.100000000000001" customHeight="1" outlineLevel="1" x14ac:dyDescent="0.25">
      <c r="A21" s="633" t="s">
        <v>4776</v>
      </c>
      <c r="B21" s="21"/>
      <c r="C21" s="13" t="s">
        <v>3172</v>
      </c>
      <c r="D21" s="39" t="s">
        <v>6130</v>
      </c>
      <c r="E21" s="4">
        <v>7</v>
      </c>
      <c r="F21" s="101" t="s">
        <v>6333</v>
      </c>
      <c r="G21" s="57" t="s">
        <v>5379</v>
      </c>
      <c r="H21" s="4"/>
      <c r="I21" s="4"/>
      <c r="J21" s="4"/>
      <c r="K21" s="54" t="s">
        <v>6130</v>
      </c>
      <c r="L21" s="57">
        <v>1589045509</v>
      </c>
      <c r="M21" s="57">
        <v>1589045509</v>
      </c>
      <c r="N21" s="766"/>
      <c r="O21" s="4"/>
      <c r="P21" s="4"/>
      <c r="Q21" s="767"/>
      <c r="R21" s="767"/>
      <c r="S21" s="4"/>
      <c r="T21" s="4"/>
      <c r="U21" s="4"/>
      <c r="V21" s="4"/>
      <c r="W21" s="4"/>
      <c r="X21" s="4"/>
      <c r="Y21" s="4"/>
      <c r="Z21" s="35"/>
      <c r="AA21" s="1" t="str">
        <f>IFERROR(VLOOKUP(D:D,[1]Габариты!$A:$I,9,0),"")</f>
        <v>Основной ассортимент</v>
      </c>
      <c r="AB21" s="6" t="str">
        <f>IFERROR(VLOOKUP(D:D,[1]Габариты!$A:$D,4,0),"")</f>
        <v>ВЕШАЛКИ</v>
      </c>
      <c r="AC21" s="39" t="str">
        <f t="shared" si="0"/>
        <v>MK167010121</v>
      </c>
      <c r="AD21" s="13" t="str">
        <f t="shared" si="1"/>
        <v xml:space="preserve">СКГТ </v>
      </c>
    </row>
    <row r="22" spans="1:30" s="6" customFormat="1" ht="20.100000000000001" customHeight="1" x14ac:dyDescent="0.25">
      <c r="A22" s="631" t="s">
        <v>5897</v>
      </c>
      <c r="B22" s="76"/>
      <c r="C22" s="383" t="s">
        <v>2582</v>
      </c>
      <c r="D22" s="39" t="s">
        <v>5751</v>
      </c>
      <c r="E22" s="4">
        <v>10</v>
      </c>
      <c r="F22" s="101" t="s">
        <v>5738</v>
      </c>
      <c r="G22" s="75" t="s">
        <v>5822</v>
      </c>
      <c r="H22" s="4" t="s">
        <v>5822</v>
      </c>
      <c r="I22" s="73"/>
      <c r="J22" s="73"/>
      <c r="K22" s="54" t="s">
        <v>5738</v>
      </c>
      <c r="L22" s="57">
        <v>1284552089</v>
      </c>
      <c r="M22" s="57">
        <v>1284552089</v>
      </c>
      <c r="N22" s="771" t="s">
        <v>8426</v>
      </c>
      <c r="O22" s="73">
        <v>1911237641</v>
      </c>
      <c r="P22" s="73">
        <v>1911237641</v>
      </c>
      <c r="Q22" s="73"/>
      <c r="R22" s="73"/>
      <c r="S22" s="73"/>
      <c r="T22" s="73"/>
      <c r="U22" s="73"/>
      <c r="V22" s="73"/>
      <c r="W22" s="73"/>
      <c r="X22" s="73" t="s">
        <v>8426</v>
      </c>
      <c r="Y22" s="73"/>
      <c r="Z22" s="67"/>
      <c r="AA22" s="1" t="str">
        <f>IFERROR(VLOOKUP(D:D,[1]Габариты!$A:$I,9,0),"")</f>
        <v>Основной ассортимент</v>
      </c>
      <c r="AB22" s="6" t="str">
        <f>IFERROR(VLOOKUP(D:D,[1]Габариты!$A:$D,4,0),"")</f>
        <v>ВЕШАЛКИ</v>
      </c>
      <c r="AC22" s="39" t="str">
        <f t="shared" si="0"/>
        <v>MK1690101</v>
      </c>
      <c r="AD22" s="13" t="str">
        <f t="shared" si="1"/>
        <v>FBO</v>
      </c>
    </row>
    <row r="23" spans="1:30" s="6" customFormat="1" ht="20.100000000000001" customHeight="1" outlineLevel="1" x14ac:dyDescent="0.2">
      <c r="A23" s="753" t="s">
        <v>428</v>
      </c>
      <c r="B23" s="753" t="s">
        <v>8829</v>
      </c>
      <c r="C23" s="13"/>
      <c r="D23" s="40"/>
      <c r="E23" s="4"/>
      <c r="F23" s="101"/>
      <c r="G23" s="57"/>
      <c r="H23" s="4"/>
      <c r="I23" s="4"/>
      <c r="J23" s="4"/>
      <c r="K23" s="54"/>
      <c r="L23" s="57"/>
      <c r="M23" s="57"/>
      <c r="N23" s="766"/>
      <c r="O23" s="4"/>
      <c r="P23" s="4"/>
      <c r="Q23" s="767"/>
      <c r="R23" s="767"/>
      <c r="S23" s="4"/>
      <c r="T23" s="4"/>
      <c r="U23" s="4"/>
      <c r="V23" s="4"/>
      <c r="W23" s="4"/>
      <c r="X23" s="4"/>
      <c r="Y23" s="4" t="s">
        <v>4066</v>
      </c>
      <c r="Z23" s="35"/>
      <c r="AA23" s="1" t="str">
        <f>IFERROR(VLOOKUP(D:D,[1]Габариты!$A:$I,9,0),"")</f>
        <v/>
      </c>
      <c r="AB23" s="6" t="str">
        <f>IFERROR(VLOOKUP(D:D,[1]Габариты!$A:$D,4,0),"")</f>
        <v/>
      </c>
      <c r="AC23" s="39"/>
      <c r="AD23" s="3"/>
    </row>
    <row r="24" spans="1:30" s="6" customFormat="1" ht="20.100000000000001" customHeight="1" outlineLevel="1" x14ac:dyDescent="0.25">
      <c r="A24" s="633" t="s">
        <v>3941</v>
      </c>
      <c r="B24" s="29"/>
      <c r="C24" s="13" t="s">
        <v>4050</v>
      </c>
      <c r="D24" s="40">
        <v>3750</v>
      </c>
      <c r="E24" s="4">
        <v>8</v>
      </c>
      <c r="F24" s="101">
        <v>3750</v>
      </c>
      <c r="G24" s="57" t="s">
        <v>6182</v>
      </c>
      <c r="H24" s="4" t="s">
        <v>6454</v>
      </c>
      <c r="I24" s="4"/>
      <c r="J24" s="4" t="s">
        <v>4167</v>
      </c>
      <c r="K24" s="54" t="s">
        <v>7876</v>
      </c>
      <c r="L24" s="57">
        <v>1841667736</v>
      </c>
      <c r="M24" s="57">
        <v>1841667736</v>
      </c>
      <c r="N24" s="4" t="s">
        <v>3958</v>
      </c>
      <c r="O24" s="4">
        <v>1463663376</v>
      </c>
      <c r="P24" s="4">
        <v>1463663376</v>
      </c>
      <c r="Q24" s="767"/>
      <c r="R24" s="767"/>
      <c r="S24" s="4"/>
      <c r="T24" s="4"/>
      <c r="U24" s="4"/>
      <c r="V24" s="4"/>
      <c r="W24" s="4"/>
      <c r="X24" s="4" t="s">
        <v>3958</v>
      </c>
      <c r="Y24" s="4" t="s">
        <v>4066</v>
      </c>
      <c r="Z24" s="35"/>
      <c r="AA24" s="1" t="str">
        <f>IFERROR(VLOOKUP(D:D,[1]Габариты!$A:$I,9,0),"")</f>
        <v>Основной ассортимент</v>
      </c>
      <c r="AB24" s="6" t="str">
        <f>IFERROR(VLOOKUP(D:D,[1]Габариты!$A:$D,4,0),"")</f>
        <v>КОМОДЫ</v>
      </c>
      <c r="AC24" s="39">
        <f t="shared" ref="AC24" si="2">D24</f>
        <v>3750</v>
      </c>
      <c r="AD24" s="13" t="str">
        <f t="shared" ref="AD24" si="3">C24</f>
        <v>СКГТ (ОЗОН)</v>
      </c>
    </row>
    <row r="25" spans="1:30" s="6" customFormat="1" ht="20.100000000000001" customHeight="1" outlineLevel="1" x14ac:dyDescent="0.25">
      <c r="A25" s="634" t="s">
        <v>5427</v>
      </c>
      <c r="B25" s="29"/>
      <c r="C25" s="13" t="s">
        <v>4050</v>
      </c>
      <c r="D25" s="46" t="s">
        <v>5426</v>
      </c>
      <c r="E25" s="4">
        <v>8</v>
      </c>
      <c r="F25" s="106" t="s">
        <v>6179</v>
      </c>
      <c r="G25" s="57" t="s">
        <v>5652</v>
      </c>
      <c r="H25" s="4" t="s">
        <v>6457</v>
      </c>
      <c r="I25" s="4"/>
      <c r="J25" s="4"/>
      <c r="K25" s="54" t="s">
        <v>6179</v>
      </c>
      <c r="L25" s="57">
        <v>1525323206</v>
      </c>
      <c r="M25" s="57">
        <v>1525323206</v>
      </c>
      <c r="N25" s="4" t="s">
        <v>7987</v>
      </c>
      <c r="O25" s="4">
        <v>1763863520</v>
      </c>
      <c r="P25" s="4">
        <v>1763863520</v>
      </c>
      <c r="Q25" s="767"/>
      <c r="R25" s="767"/>
      <c r="S25" s="4"/>
      <c r="T25" s="4"/>
      <c r="U25" s="4"/>
      <c r="V25" s="4"/>
      <c r="W25" s="4"/>
      <c r="X25" s="4" t="s">
        <v>7987</v>
      </c>
      <c r="Y25" s="4"/>
      <c r="Z25" s="35"/>
      <c r="AA25" s="1" t="str">
        <f>IFERROR(VLOOKUP(D:D,[1]Габариты!$A:$I,9,0),"")</f>
        <v>Основной ассортимент</v>
      </c>
      <c r="AB25" s="6" t="str">
        <f>IFERROR(VLOOKUP(D:D,[1]Габариты!$A:$D,4,0),"")</f>
        <v>КОМОДЫ</v>
      </c>
      <c r="AC25" s="39" t="str">
        <f t="shared" ref="AC25:AC74" si="4">D25</f>
        <v>3750.01/01</v>
      </c>
      <c r="AD25" s="13" t="str">
        <f t="shared" ref="AD25:AD74" si="5">C25</f>
        <v>СКГТ (ОЗОН)</v>
      </c>
    </row>
    <row r="26" spans="1:30" s="6" customFormat="1" ht="20.100000000000001" customHeight="1" outlineLevel="1" x14ac:dyDescent="0.25">
      <c r="A26" s="634" t="s">
        <v>4109</v>
      </c>
      <c r="B26" s="29"/>
      <c r="C26" s="13" t="s">
        <v>4050</v>
      </c>
      <c r="D26" s="46" t="s">
        <v>4108</v>
      </c>
      <c r="E26" s="4">
        <v>8</v>
      </c>
      <c r="F26" s="106" t="s">
        <v>6181</v>
      </c>
      <c r="G26" s="57" t="s">
        <v>7797</v>
      </c>
      <c r="H26" s="4" t="s">
        <v>6456</v>
      </c>
      <c r="I26" s="4"/>
      <c r="J26" s="4"/>
      <c r="K26" s="54" t="s">
        <v>6181</v>
      </c>
      <c r="L26" s="57">
        <v>1841646924</v>
      </c>
      <c r="M26" s="57">
        <v>1841646924</v>
      </c>
      <c r="N26" s="4" t="s">
        <v>4126</v>
      </c>
      <c r="O26" s="4">
        <v>1552181842</v>
      </c>
      <c r="P26" s="4">
        <v>1552181842</v>
      </c>
      <c r="Q26" s="767"/>
      <c r="R26" s="767"/>
      <c r="S26" s="4"/>
      <c r="T26" s="4"/>
      <c r="U26" s="4"/>
      <c r="V26" s="4"/>
      <c r="W26" s="4"/>
      <c r="X26" s="4" t="s">
        <v>4126</v>
      </c>
      <c r="Y26" s="4" t="s">
        <v>4108</v>
      </c>
      <c r="Z26" s="35"/>
      <c r="AA26" s="1" t="str">
        <f>IFERROR(VLOOKUP(D:D,[1]Габариты!$A:$I,9,0),"")</f>
        <v>Основной ассортимент</v>
      </c>
      <c r="AB26" s="6" t="str">
        <f>IFERROR(VLOOKUP(D:D,[1]Габариты!$A:$D,4,0),"")</f>
        <v>КОМОДЫ</v>
      </c>
      <c r="AC26" s="39" t="str">
        <f t="shared" si="4"/>
        <v>3750.03/01</v>
      </c>
      <c r="AD26" s="13" t="str">
        <f t="shared" si="5"/>
        <v>СКГТ (ОЗОН)</v>
      </c>
    </row>
    <row r="27" spans="1:30" s="6" customFormat="1" ht="20.100000000000001" customHeight="1" outlineLevel="1" x14ac:dyDescent="0.25">
      <c r="A27" s="634" t="s">
        <v>7528</v>
      </c>
      <c r="B27" s="29"/>
      <c r="C27" s="13" t="s">
        <v>4050</v>
      </c>
      <c r="D27" s="150" t="s">
        <v>7529</v>
      </c>
      <c r="E27" s="4">
        <v>8</v>
      </c>
      <c r="F27" s="149" t="s">
        <v>7541</v>
      </c>
      <c r="G27" s="145" t="s">
        <v>7540</v>
      </c>
      <c r="H27" s="143" t="s">
        <v>7554</v>
      </c>
      <c r="I27" s="143"/>
      <c r="J27" s="143"/>
      <c r="K27" s="144" t="s">
        <v>7541</v>
      </c>
      <c r="L27" s="145">
        <v>1781379288</v>
      </c>
      <c r="M27" s="145">
        <v>1781379288</v>
      </c>
      <c r="N27" s="143" t="s">
        <v>7646</v>
      </c>
      <c r="O27" s="143">
        <v>1731338296</v>
      </c>
      <c r="P27" s="143">
        <v>1731338296</v>
      </c>
      <c r="Q27" s="770"/>
      <c r="R27" s="770"/>
      <c r="S27" s="143"/>
      <c r="T27" s="143"/>
      <c r="U27" s="143"/>
      <c r="V27" s="143"/>
      <c r="W27" s="143"/>
      <c r="X27" s="143" t="s">
        <v>7646</v>
      </c>
      <c r="Y27" s="143"/>
      <c r="Z27" s="35"/>
      <c r="AA27" s="1" t="str">
        <f>IFERROR(VLOOKUP(D:D,[1]Габариты!$A:$I,9,0),"")</f>
        <v>Основной ассортимент</v>
      </c>
      <c r="AB27" s="6" t="str">
        <f>IFERROR(VLOOKUP(D:D,[1]Габариты!$A:$D,4,0),"")</f>
        <v>КОМОДЫ</v>
      </c>
      <c r="AC27" s="39" t="str">
        <f t="shared" si="4"/>
        <v>3750.05/01</v>
      </c>
      <c r="AD27" s="13" t="str">
        <f t="shared" si="5"/>
        <v>СКГТ (ОЗОН)</v>
      </c>
    </row>
    <row r="28" spans="1:30" s="6" customFormat="1" ht="20.100000000000001" customHeight="1" outlineLevel="1" x14ac:dyDescent="0.25">
      <c r="A28" s="633" t="s">
        <v>4095</v>
      </c>
      <c r="B28" s="29"/>
      <c r="C28" s="13" t="s">
        <v>4050</v>
      </c>
      <c r="D28" s="40" t="s">
        <v>4094</v>
      </c>
      <c r="E28" s="4">
        <v>8</v>
      </c>
      <c r="F28" s="106" t="s">
        <v>6180</v>
      </c>
      <c r="G28" s="57" t="s">
        <v>5142</v>
      </c>
      <c r="H28" s="4" t="s">
        <v>6455</v>
      </c>
      <c r="I28" s="4"/>
      <c r="J28" s="4"/>
      <c r="K28" s="54" t="s">
        <v>6180</v>
      </c>
      <c r="L28" s="57">
        <v>1559844522</v>
      </c>
      <c r="M28" s="57">
        <v>1559844522</v>
      </c>
      <c r="N28" s="4" t="s">
        <v>4110</v>
      </c>
      <c r="O28" s="4">
        <v>1546032780</v>
      </c>
      <c r="P28" s="4">
        <v>1546032780</v>
      </c>
      <c r="Q28" s="767"/>
      <c r="R28" s="767"/>
      <c r="S28" s="4"/>
      <c r="T28" s="4"/>
      <c r="U28" s="4"/>
      <c r="V28" s="4"/>
      <c r="W28" s="4"/>
      <c r="X28" s="4" t="s">
        <v>4110</v>
      </c>
      <c r="Y28" s="4" t="s">
        <v>4094</v>
      </c>
      <c r="Z28" s="35"/>
      <c r="AA28" s="1" t="str">
        <f>IFERROR(VLOOKUP(D:D,[1]Габариты!$A:$I,9,0),"")</f>
        <v>Основной ассортимент</v>
      </c>
      <c r="AB28" s="6" t="str">
        <f>IFERROR(VLOOKUP(D:D,[1]Габариты!$A:$D,4,0),"")</f>
        <v>КОМОДЫ</v>
      </c>
      <c r="AC28" s="39" t="str">
        <f t="shared" si="4"/>
        <v>3750.09/01</v>
      </c>
      <c r="AD28" s="13" t="str">
        <f t="shared" si="5"/>
        <v>СКГТ (ОЗОН)</v>
      </c>
    </row>
    <row r="29" spans="1:30" s="6" customFormat="1" ht="20.100000000000001" customHeight="1" outlineLevel="1" x14ac:dyDescent="0.25">
      <c r="A29" s="635" t="s">
        <v>3878</v>
      </c>
      <c r="B29" s="3"/>
      <c r="C29" s="13" t="s">
        <v>2582</v>
      </c>
      <c r="D29" s="40">
        <v>41101</v>
      </c>
      <c r="E29" s="4">
        <v>18</v>
      </c>
      <c r="F29" s="101"/>
      <c r="G29" s="57"/>
      <c r="H29" s="4" t="s">
        <v>6396</v>
      </c>
      <c r="I29" s="4"/>
      <c r="J29" s="4" t="s">
        <v>4286</v>
      </c>
      <c r="K29" s="54"/>
      <c r="L29" s="57"/>
      <c r="M29" s="57"/>
      <c r="N29" s="4" t="s">
        <v>3888</v>
      </c>
      <c r="O29" s="4">
        <v>1410736304</v>
      </c>
      <c r="P29" s="4">
        <v>1410736304</v>
      </c>
      <c r="Q29" s="4"/>
      <c r="R29" s="4"/>
      <c r="S29" s="4"/>
      <c r="T29" s="4" t="s">
        <v>4298</v>
      </c>
      <c r="U29" s="4">
        <v>1608606050</v>
      </c>
      <c r="V29" s="4">
        <v>1608606050</v>
      </c>
      <c r="W29" s="4"/>
      <c r="X29" s="4" t="s">
        <v>3888</v>
      </c>
      <c r="Y29" s="4" t="s">
        <v>4066</v>
      </c>
      <c r="AA29" s="1" t="str">
        <f>IFERROR(VLOOKUP(D:D,[1]Габариты!$A:$I,9,0),"")</f>
        <v>Основной ассортимент</v>
      </c>
      <c r="AB29" s="6" t="str">
        <f>IFERROR(VLOOKUP(D:D,[1]Габариты!$A:$D,4,0),"")</f>
        <v>КОМОДЫ</v>
      </c>
      <c r="AC29" s="39">
        <f t="shared" si="4"/>
        <v>41101</v>
      </c>
      <c r="AD29" s="13" t="str">
        <f t="shared" si="5"/>
        <v>FBO</v>
      </c>
    </row>
    <row r="30" spans="1:30" s="6" customFormat="1" ht="20.100000000000001" customHeight="1" outlineLevel="1" x14ac:dyDescent="0.25">
      <c r="A30" s="635" t="s">
        <v>3879</v>
      </c>
      <c r="B30" s="3"/>
      <c r="C30" s="13" t="s">
        <v>2582</v>
      </c>
      <c r="D30" s="39">
        <v>41103</v>
      </c>
      <c r="E30" s="4">
        <v>18</v>
      </c>
      <c r="F30" s="101"/>
      <c r="G30" s="57"/>
      <c r="H30" s="4" t="s">
        <v>6397</v>
      </c>
      <c r="I30" s="4"/>
      <c r="J30" s="4" t="s">
        <v>4285</v>
      </c>
      <c r="K30" s="54"/>
      <c r="L30" s="57"/>
      <c r="M30" s="57"/>
      <c r="N30" s="4" t="s">
        <v>3889</v>
      </c>
      <c r="O30" s="4">
        <v>1413558701</v>
      </c>
      <c r="P30" s="4">
        <v>1413558701</v>
      </c>
      <c r="Q30" s="4"/>
      <c r="R30" s="4"/>
      <c r="S30" s="4"/>
      <c r="T30" s="4" t="s">
        <v>4299</v>
      </c>
      <c r="U30" s="4">
        <v>1608611824</v>
      </c>
      <c r="V30" s="4">
        <v>1608611824</v>
      </c>
      <c r="W30" s="4"/>
      <c r="X30" s="4" t="s">
        <v>3889</v>
      </c>
      <c r="Y30" s="4" t="s">
        <v>4066</v>
      </c>
      <c r="AA30" s="1" t="str">
        <f>IFERROR(VLOOKUP(D:D,[1]Габариты!$A:$I,9,0),"")</f>
        <v>Основной ассортимент</v>
      </c>
      <c r="AB30" s="6" t="str">
        <f>IFERROR(VLOOKUP(D:D,[1]Габариты!$A:$D,4,0),"")</f>
        <v>КОМОДЫ</v>
      </c>
      <c r="AC30" s="39">
        <f t="shared" si="4"/>
        <v>41103</v>
      </c>
      <c r="AD30" s="13" t="str">
        <f t="shared" si="5"/>
        <v>FBO</v>
      </c>
    </row>
    <row r="31" spans="1:30" s="6" customFormat="1" ht="20.100000000000001" customHeight="1" outlineLevel="1" x14ac:dyDescent="0.25">
      <c r="A31" s="635" t="s">
        <v>3880</v>
      </c>
      <c r="B31" s="3"/>
      <c r="C31" s="13" t="s">
        <v>2582</v>
      </c>
      <c r="D31" s="39">
        <v>41104</v>
      </c>
      <c r="E31" s="4">
        <v>18</v>
      </c>
      <c r="F31" s="101"/>
      <c r="G31" s="57"/>
      <c r="H31" s="4" t="s">
        <v>6398</v>
      </c>
      <c r="I31" s="4"/>
      <c r="J31" s="4" t="s">
        <v>4284</v>
      </c>
      <c r="K31" s="54"/>
      <c r="L31" s="57"/>
      <c r="M31" s="57"/>
      <c r="N31" s="4" t="s">
        <v>3890</v>
      </c>
      <c r="O31" s="4">
        <v>1413581472</v>
      </c>
      <c r="P31" s="4">
        <v>1413581472</v>
      </c>
      <c r="Q31" s="4"/>
      <c r="R31" s="4"/>
      <c r="S31" s="4"/>
      <c r="T31" s="4" t="s">
        <v>4305</v>
      </c>
      <c r="U31" s="4">
        <v>1608623053</v>
      </c>
      <c r="V31" s="4">
        <v>1608623053</v>
      </c>
      <c r="W31" s="4"/>
      <c r="X31" s="4" t="s">
        <v>3890</v>
      </c>
      <c r="Y31" s="4" t="s">
        <v>4066</v>
      </c>
      <c r="AA31" s="1" t="str">
        <f>IFERROR(VLOOKUP(D:D,[1]Габариты!$A:$I,9,0),"")</f>
        <v>Основной ассортимент</v>
      </c>
      <c r="AB31" s="6" t="str">
        <f>IFERROR(VLOOKUP(D:D,[1]Габариты!$A:$D,4,0),"")</f>
        <v>КОМОДЫ</v>
      </c>
      <c r="AC31" s="39">
        <f>D31</f>
        <v>41104</v>
      </c>
      <c r="AD31" s="13" t="str">
        <f>C31</f>
        <v>FBO</v>
      </c>
    </row>
    <row r="32" spans="1:30" s="6" customFormat="1" ht="20.100000000000001" customHeight="1" outlineLevel="1" x14ac:dyDescent="0.25">
      <c r="A32" s="635" t="s">
        <v>3881</v>
      </c>
      <c r="B32" s="3"/>
      <c r="C32" s="13" t="s">
        <v>2582</v>
      </c>
      <c r="D32" s="39">
        <v>41105</v>
      </c>
      <c r="E32" s="4">
        <v>18</v>
      </c>
      <c r="F32" s="101"/>
      <c r="G32" s="57"/>
      <c r="H32" s="4" t="s">
        <v>6399</v>
      </c>
      <c r="I32" s="4"/>
      <c r="J32" s="4" t="s">
        <v>4283</v>
      </c>
      <c r="K32" s="54"/>
      <c r="L32" s="57"/>
      <c r="M32" s="57"/>
      <c r="N32" s="4" t="s">
        <v>3891</v>
      </c>
      <c r="O32" s="4">
        <v>1417302190</v>
      </c>
      <c r="P32" s="4">
        <v>1417302190</v>
      </c>
      <c r="Q32" s="4"/>
      <c r="R32" s="4"/>
      <c r="S32" s="4"/>
      <c r="T32" s="4" t="s">
        <v>4306</v>
      </c>
      <c r="U32" s="4">
        <v>1608632247</v>
      </c>
      <c r="V32" s="4">
        <v>1608632247</v>
      </c>
      <c r="W32" s="4"/>
      <c r="X32" s="4" t="s">
        <v>3891</v>
      </c>
      <c r="Y32" s="4" t="s">
        <v>4066</v>
      </c>
      <c r="AA32" s="1" t="str">
        <f>IFERROR(VLOOKUP(D:D,[1]Габариты!$A:$I,9,0),"")</f>
        <v>Основной ассортимент</v>
      </c>
      <c r="AB32" s="6" t="str">
        <f>IFERROR(VLOOKUP(D:D,[1]Габариты!$A:$D,4,0),"")</f>
        <v>КОМОДЫ</v>
      </c>
      <c r="AC32" s="39">
        <f>D32</f>
        <v>41105</v>
      </c>
      <c r="AD32" s="13" t="str">
        <f>C32</f>
        <v>FBO</v>
      </c>
    </row>
    <row r="33" spans="1:30" s="6" customFormat="1" ht="20.100000000000001" customHeight="1" outlineLevel="1" x14ac:dyDescent="0.25">
      <c r="A33" s="631" t="s">
        <v>3169</v>
      </c>
      <c r="B33" s="29"/>
      <c r="C33" s="13" t="s">
        <v>2582</v>
      </c>
      <c r="D33" s="40">
        <v>4114</v>
      </c>
      <c r="E33" s="4">
        <v>27</v>
      </c>
      <c r="F33" s="101"/>
      <c r="G33" s="57"/>
      <c r="H33" s="4" t="s">
        <v>6400</v>
      </c>
      <c r="I33" s="4" t="s">
        <v>3515</v>
      </c>
      <c r="J33" s="4" t="s">
        <v>3517</v>
      </c>
      <c r="K33" s="54"/>
      <c r="L33" s="57"/>
      <c r="M33" s="57"/>
      <c r="N33" s="4" t="s">
        <v>3360</v>
      </c>
      <c r="O33" s="4">
        <v>989102420</v>
      </c>
      <c r="P33" s="4">
        <v>989102419</v>
      </c>
      <c r="Q33" s="767" t="s">
        <v>3525</v>
      </c>
      <c r="R33" s="767">
        <v>1052860791</v>
      </c>
      <c r="S33" s="4">
        <v>1052860790</v>
      </c>
      <c r="T33" s="4" t="s">
        <v>3537</v>
      </c>
      <c r="U33" s="4">
        <v>1052847785</v>
      </c>
      <c r="V33" s="4">
        <v>1052847785</v>
      </c>
      <c r="W33" s="4"/>
      <c r="X33" s="4" t="s">
        <v>3360</v>
      </c>
      <c r="Y33" s="4">
        <v>4114</v>
      </c>
      <c r="Z33" s="35"/>
      <c r="AA33" s="1" t="str">
        <f>IFERROR(VLOOKUP(D:D,[1]Габариты!$A:$I,9,0),"")</f>
        <v>Основной ассортимент</v>
      </c>
      <c r="AB33" s="6" t="str">
        <f>IFERROR(VLOOKUP(D:D,[1]Габариты!$A:$D,4,0),"")</f>
        <v>КОМОДЫ</v>
      </c>
      <c r="AC33" s="39">
        <f t="shared" si="4"/>
        <v>4114</v>
      </c>
      <c r="AD33" s="13" t="str">
        <f t="shared" si="5"/>
        <v>FBO</v>
      </c>
    </row>
    <row r="34" spans="1:30" s="6" customFormat="1" ht="20.100000000000001" customHeight="1" outlineLevel="1" x14ac:dyDescent="0.25">
      <c r="A34" s="635" t="s">
        <v>3882</v>
      </c>
      <c r="B34" s="3"/>
      <c r="C34" s="13" t="s">
        <v>2582</v>
      </c>
      <c r="D34" s="39">
        <v>41141</v>
      </c>
      <c r="E34" s="4">
        <v>27</v>
      </c>
      <c r="F34" s="101"/>
      <c r="G34" s="57"/>
      <c r="H34" s="4" t="s">
        <v>6401</v>
      </c>
      <c r="I34" s="4"/>
      <c r="J34" s="4" t="s">
        <v>4287</v>
      </c>
      <c r="K34" s="54"/>
      <c r="L34" s="57"/>
      <c r="M34" s="57"/>
      <c r="N34" s="4" t="s">
        <v>3892</v>
      </c>
      <c r="O34" s="4">
        <v>1416718953</v>
      </c>
      <c r="P34" s="4">
        <v>1416718953</v>
      </c>
      <c r="Q34" s="4"/>
      <c r="R34" s="4"/>
      <c r="S34" s="4"/>
      <c r="T34" s="4" t="s">
        <v>4244</v>
      </c>
      <c r="U34" s="4">
        <v>1597560045</v>
      </c>
      <c r="V34" s="4">
        <v>1597560045</v>
      </c>
      <c r="W34" s="4"/>
      <c r="X34" s="4" t="s">
        <v>3892</v>
      </c>
      <c r="Y34" s="4" t="s">
        <v>4066</v>
      </c>
      <c r="AA34" s="1" t="str">
        <f>IFERROR(VLOOKUP(D:D,[1]Габариты!$A:$I,9,0),"")</f>
        <v>Основной ассортимент</v>
      </c>
      <c r="AB34" s="6" t="str">
        <f>IFERROR(VLOOKUP(D:D,[1]Габариты!$A:$D,4,0),"")</f>
        <v>КОМОДЫ</v>
      </c>
      <c r="AC34" s="39">
        <f t="shared" si="4"/>
        <v>41141</v>
      </c>
      <c r="AD34" s="13" t="str">
        <f t="shared" si="5"/>
        <v>FBO</v>
      </c>
    </row>
    <row r="35" spans="1:30" s="6" customFormat="1" ht="20.100000000000001" customHeight="1" outlineLevel="1" x14ac:dyDescent="0.25">
      <c r="A35" s="635" t="s">
        <v>3883</v>
      </c>
      <c r="B35" s="3"/>
      <c r="C35" s="13" t="s">
        <v>2582</v>
      </c>
      <c r="D35" s="39">
        <v>41143</v>
      </c>
      <c r="E35" s="4">
        <v>27</v>
      </c>
      <c r="F35" s="101"/>
      <c r="G35" s="57"/>
      <c r="H35" s="4" t="s">
        <v>6402</v>
      </c>
      <c r="I35" s="4"/>
      <c r="J35" s="4" t="s">
        <v>4288</v>
      </c>
      <c r="K35" s="54"/>
      <c r="L35" s="57"/>
      <c r="M35" s="57"/>
      <c r="N35" s="4" t="s">
        <v>3893</v>
      </c>
      <c r="O35" s="4">
        <v>1416722338</v>
      </c>
      <c r="P35" s="4">
        <v>1416722338</v>
      </c>
      <c r="Q35" s="4"/>
      <c r="R35" s="4"/>
      <c r="S35" s="4"/>
      <c r="T35" s="4" t="s">
        <v>4245</v>
      </c>
      <c r="U35" s="4">
        <v>1597591181</v>
      </c>
      <c r="V35" s="4">
        <v>1597591181</v>
      </c>
      <c r="W35" s="4"/>
      <c r="X35" s="4" t="s">
        <v>3893</v>
      </c>
      <c r="Y35" s="4" t="s">
        <v>4066</v>
      </c>
      <c r="AA35" s="1" t="str">
        <f>IFERROR(VLOOKUP(D:D,[1]Габариты!$A:$I,9,0),"")</f>
        <v>Основной ассортимент</v>
      </c>
      <c r="AB35" s="6" t="str">
        <f>IFERROR(VLOOKUP(D:D,[1]Габариты!$A:$D,4,0),"")</f>
        <v>КОМОДЫ</v>
      </c>
      <c r="AC35" s="39">
        <f t="shared" si="4"/>
        <v>41143</v>
      </c>
      <c r="AD35" s="13" t="str">
        <f t="shared" si="5"/>
        <v>FBO</v>
      </c>
    </row>
    <row r="36" spans="1:30" s="6" customFormat="1" ht="20.100000000000001" customHeight="1" outlineLevel="1" x14ac:dyDescent="0.25">
      <c r="A36" s="635" t="s">
        <v>3884</v>
      </c>
      <c r="B36" s="3"/>
      <c r="C36" s="13" t="s">
        <v>2582</v>
      </c>
      <c r="D36" s="39">
        <v>41144</v>
      </c>
      <c r="E36" s="4">
        <v>27</v>
      </c>
      <c r="F36" s="101"/>
      <c r="G36" s="57"/>
      <c r="H36" s="4" t="s">
        <v>6403</v>
      </c>
      <c r="I36" s="4"/>
      <c r="J36" s="4" t="s">
        <v>4289</v>
      </c>
      <c r="K36" s="54"/>
      <c r="L36" s="57"/>
      <c r="M36" s="57"/>
      <c r="N36" s="4" t="s">
        <v>3894</v>
      </c>
      <c r="O36" s="4">
        <v>1416729517</v>
      </c>
      <c r="P36" s="4">
        <v>1416729517</v>
      </c>
      <c r="Q36" s="4"/>
      <c r="R36" s="4"/>
      <c r="S36" s="4"/>
      <c r="T36" s="4" t="s">
        <v>4246</v>
      </c>
      <c r="U36" s="4">
        <v>1597594093</v>
      </c>
      <c r="V36" s="4">
        <v>1597594093</v>
      </c>
      <c r="W36" s="4"/>
      <c r="X36" s="4" t="s">
        <v>3894</v>
      </c>
      <c r="Y36" s="4" t="s">
        <v>4066</v>
      </c>
      <c r="AA36" s="1" t="str">
        <f>IFERROR(VLOOKUP(D:D,[1]Габариты!$A:$I,9,0),"")</f>
        <v>Основной ассортимент</v>
      </c>
      <c r="AB36" s="6" t="str">
        <f>IFERROR(VLOOKUP(D:D,[1]Габариты!$A:$D,4,0),"")</f>
        <v>КОМОДЫ</v>
      </c>
      <c r="AC36" s="39">
        <f t="shared" si="4"/>
        <v>41144</v>
      </c>
      <c r="AD36" s="13" t="str">
        <f t="shared" si="5"/>
        <v>FBO</v>
      </c>
    </row>
    <row r="37" spans="1:30" s="6" customFormat="1" ht="20.100000000000001" customHeight="1" outlineLevel="1" x14ac:dyDescent="0.25">
      <c r="A37" s="635" t="s">
        <v>3885</v>
      </c>
      <c r="B37" s="3"/>
      <c r="C37" s="13" t="s">
        <v>2582</v>
      </c>
      <c r="D37" s="39">
        <v>41145</v>
      </c>
      <c r="E37" s="4">
        <v>27</v>
      </c>
      <c r="F37" s="101"/>
      <c r="G37" s="57"/>
      <c r="H37" s="4" t="s">
        <v>6404</v>
      </c>
      <c r="I37" s="4"/>
      <c r="J37" s="4" t="s">
        <v>4290</v>
      </c>
      <c r="K37" s="54"/>
      <c r="L37" s="57"/>
      <c r="M37" s="57"/>
      <c r="N37" s="4" t="s">
        <v>3895</v>
      </c>
      <c r="O37" s="4">
        <v>1416731164</v>
      </c>
      <c r="P37" s="4">
        <v>1416731164</v>
      </c>
      <c r="Q37" s="4"/>
      <c r="R37" s="4"/>
      <c r="S37" s="4"/>
      <c r="T37" s="4" t="s">
        <v>4247</v>
      </c>
      <c r="U37" s="4">
        <v>1597597442</v>
      </c>
      <c r="V37" s="4">
        <v>1597597442</v>
      </c>
      <c r="W37" s="4"/>
      <c r="X37" s="4" t="s">
        <v>3895</v>
      </c>
      <c r="Y37" s="4" t="s">
        <v>4066</v>
      </c>
      <c r="AA37" s="1" t="str">
        <f>IFERROR(VLOOKUP(D:D,[1]Габариты!$A:$I,9,0),"")</f>
        <v>Основной ассортимент</v>
      </c>
      <c r="AB37" s="6" t="str">
        <f>IFERROR(VLOOKUP(D:D,[1]Габариты!$A:$D,4,0),"")</f>
        <v>КОМОДЫ</v>
      </c>
      <c r="AC37" s="39">
        <f t="shared" si="4"/>
        <v>41145</v>
      </c>
      <c r="AD37" s="13" t="str">
        <f t="shared" si="5"/>
        <v>FBO</v>
      </c>
    </row>
    <row r="38" spans="1:30" s="6" customFormat="1" ht="20.100000000000001" customHeight="1" outlineLevel="1" x14ac:dyDescent="0.25">
      <c r="A38" s="631" t="s">
        <v>3131</v>
      </c>
      <c r="B38" s="29"/>
      <c r="C38" s="13" t="s">
        <v>2582</v>
      </c>
      <c r="D38" s="40">
        <v>4040</v>
      </c>
      <c r="E38" s="4">
        <v>23</v>
      </c>
      <c r="F38" s="101"/>
      <c r="G38" s="57"/>
      <c r="H38" s="4" t="s">
        <v>6390</v>
      </c>
      <c r="I38" s="4" t="s">
        <v>3271</v>
      </c>
      <c r="J38" s="4" t="s">
        <v>3252</v>
      </c>
      <c r="K38" s="54"/>
      <c r="L38" s="57"/>
      <c r="M38" s="57"/>
      <c r="N38" s="4" t="s">
        <v>3358</v>
      </c>
      <c r="O38" s="4">
        <v>985855939</v>
      </c>
      <c r="P38" s="4">
        <v>985855938</v>
      </c>
      <c r="Q38" s="767" t="s">
        <v>3359</v>
      </c>
      <c r="R38" s="767">
        <v>985863116</v>
      </c>
      <c r="S38" s="4">
        <v>985863115</v>
      </c>
      <c r="T38" s="4" t="s">
        <v>3311</v>
      </c>
      <c r="U38" s="4">
        <v>985858458</v>
      </c>
      <c r="V38" s="4">
        <v>985858458</v>
      </c>
      <c r="W38" s="4"/>
      <c r="X38" s="4" t="s">
        <v>3358</v>
      </c>
      <c r="Y38" s="4" t="s">
        <v>4066</v>
      </c>
      <c r="Z38" s="35"/>
      <c r="AA38" s="1" t="str">
        <f>IFERROR(VLOOKUP(D:D,[1]Габариты!$A:$I,9,0),"")</f>
        <v>Основной ассортимент</v>
      </c>
      <c r="AB38" s="6" t="str">
        <f>IFERROR(VLOOKUP(D:D,[1]Габариты!$A:$D,4,0),"")</f>
        <v>КОМОДЫ</v>
      </c>
      <c r="AC38" s="39">
        <f t="shared" si="4"/>
        <v>4040</v>
      </c>
      <c r="AD38" s="13" t="str">
        <f t="shared" si="5"/>
        <v>FBO</v>
      </c>
    </row>
    <row r="39" spans="1:30" s="6" customFormat="1" ht="20.100000000000001" customHeight="1" outlineLevel="1" x14ac:dyDescent="0.25">
      <c r="A39" s="631" t="s">
        <v>3493</v>
      </c>
      <c r="B39" s="29"/>
      <c r="C39" s="13" t="s">
        <v>2582</v>
      </c>
      <c r="D39" s="40">
        <v>4041</v>
      </c>
      <c r="E39" s="4">
        <v>23</v>
      </c>
      <c r="F39" s="101"/>
      <c r="G39" s="57"/>
      <c r="H39" s="4" t="s">
        <v>6391</v>
      </c>
      <c r="I39" s="4"/>
      <c r="J39" s="4" t="s">
        <v>4279</v>
      </c>
      <c r="K39" s="54"/>
      <c r="L39" s="57"/>
      <c r="M39" s="57"/>
      <c r="N39" s="4" t="s">
        <v>3645</v>
      </c>
      <c r="O39" s="4">
        <v>1103006728</v>
      </c>
      <c r="P39" s="4">
        <v>1103006727</v>
      </c>
      <c r="Q39" s="767"/>
      <c r="R39" s="767"/>
      <c r="S39" s="4"/>
      <c r="T39" s="4" t="s">
        <v>4241</v>
      </c>
      <c r="U39" s="4">
        <v>1597532535</v>
      </c>
      <c r="V39" s="4">
        <v>1597532535</v>
      </c>
      <c r="W39" s="4"/>
      <c r="X39" s="4" t="s">
        <v>3645</v>
      </c>
      <c r="Y39" s="4" t="s">
        <v>4066</v>
      </c>
      <c r="Z39" s="35"/>
      <c r="AA39" s="1" t="str">
        <f>IFERROR(VLOOKUP(D:D,[1]Габариты!$A:$I,9,0),"")</f>
        <v>Основной ассортимент</v>
      </c>
      <c r="AB39" s="6" t="str">
        <f>IFERROR(VLOOKUP(D:D,[1]Габариты!$A:$D,4,0),"")</f>
        <v>КОМОДЫ</v>
      </c>
      <c r="AC39" s="39">
        <f t="shared" si="4"/>
        <v>4041</v>
      </c>
      <c r="AD39" s="13" t="str">
        <f t="shared" si="5"/>
        <v>FBO</v>
      </c>
    </row>
    <row r="40" spans="1:30" s="6" customFormat="1" ht="20.100000000000001" customHeight="1" outlineLevel="1" x14ac:dyDescent="0.25">
      <c r="A40" s="631" t="s">
        <v>3495</v>
      </c>
      <c r="B40" s="29"/>
      <c r="C40" s="13" t="s">
        <v>2582</v>
      </c>
      <c r="D40" s="40">
        <v>4042</v>
      </c>
      <c r="E40" s="4">
        <v>23</v>
      </c>
      <c r="F40" s="101"/>
      <c r="G40" s="57"/>
      <c r="H40" s="4" t="s">
        <v>6392</v>
      </c>
      <c r="I40" s="4" t="s">
        <v>4140</v>
      </c>
      <c r="J40" s="4" t="s">
        <v>4280</v>
      </c>
      <c r="K40" s="54"/>
      <c r="L40" s="57"/>
      <c r="M40" s="57"/>
      <c r="N40" s="4" t="s">
        <v>3647</v>
      </c>
      <c r="O40" s="4">
        <v>1103015578</v>
      </c>
      <c r="P40" s="4">
        <v>1103015581</v>
      </c>
      <c r="Q40" s="767"/>
      <c r="R40" s="767"/>
      <c r="S40" s="4"/>
      <c r="T40" s="4" t="s">
        <v>4242</v>
      </c>
      <c r="U40" s="4">
        <v>1597536850</v>
      </c>
      <c r="V40" s="4">
        <v>1597536850</v>
      </c>
      <c r="W40" s="4"/>
      <c r="X40" s="4" t="s">
        <v>3647</v>
      </c>
      <c r="Y40" s="4" t="s">
        <v>4066</v>
      </c>
      <c r="Z40" s="35"/>
      <c r="AA40" s="1" t="str">
        <f>IFERROR(VLOOKUP(D:D,[1]Габариты!$A:$I,9,0),"")</f>
        <v>Основной ассортимент</v>
      </c>
      <c r="AB40" s="6" t="str">
        <f>IFERROR(VLOOKUP(D:D,[1]Габариты!$A:$D,4,0),"")</f>
        <v>КОМОДЫ</v>
      </c>
      <c r="AC40" s="39">
        <f t="shared" si="4"/>
        <v>4042</v>
      </c>
      <c r="AD40" s="13" t="str">
        <f t="shared" si="5"/>
        <v>FBO</v>
      </c>
    </row>
    <row r="41" spans="1:30" s="6" customFormat="1" ht="20.100000000000001" customHeight="1" outlineLevel="1" x14ac:dyDescent="0.25">
      <c r="A41" s="631" t="s">
        <v>3494</v>
      </c>
      <c r="B41" s="29"/>
      <c r="C41" s="13" t="s">
        <v>2582</v>
      </c>
      <c r="D41" s="40">
        <v>4043</v>
      </c>
      <c r="E41" s="4">
        <v>23</v>
      </c>
      <c r="F41" s="101"/>
      <c r="G41" s="57"/>
      <c r="H41" s="4" t="s">
        <v>6393</v>
      </c>
      <c r="I41" s="4"/>
      <c r="J41" s="4" t="s">
        <v>4281</v>
      </c>
      <c r="K41" s="54"/>
      <c r="L41" s="57"/>
      <c r="M41" s="57"/>
      <c r="N41" s="4" t="s">
        <v>3646</v>
      </c>
      <c r="O41" s="4">
        <v>1103021868</v>
      </c>
      <c r="P41" s="4">
        <v>1103021869</v>
      </c>
      <c r="Q41" s="767"/>
      <c r="R41" s="767"/>
      <c r="S41" s="4"/>
      <c r="T41" s="4" t="s">
        <v>4243</v>
      </c>
      <c r="U41" s="4">
        <v>1597540254</v>
      </c>
      <c r="V41" s="4">
        <v>1597540254</v>
      </c>
      <c r="W41" s="4"/>
      <c r="X41" s="4" t="s">
        <v>3646</v>
      </c>
      <c r="Y41" s="4" t="s">
        <v>4066</v>
      </c>
      <c r="Z41" s="35"/>
      <c r="AA41" s="1" t="str">
        <f>IFERROR(VLOOKUP(D:D,[1]Габариты!$A:$I,9,0),"")</f>
        <v>Основной ассортимент</v>
      </c>
      <c r="AB41" s="6" t="str">
        <f>IFERROR(VLOOKUP(D:D,[1]Габариты!$A:$D,4,0),"")</f>
        <v>КОМОДЫ</v>
      </c>
      <c r="AC41" s="39">
        <f t="shared" si="4"/>
        <v>4043</v>
      </c>
      <c r="AD41" s="13" t="str">
        <f t="shared" si="5"/>
        <v>FBO</v>
      </c>
    </row>
    <row r="42" spans="1:30" s="6" customFormat="1" ht="20.100000000000001" customHeight="1" outlineLevel="1" x14ac:dyDescent="0.25">
      <c r="A42" s="631" t="s">
        <v>1770</v>
      </c>
      <c r="B42" s="29"/>
      <c r="C42" s="13" t="s">
        <v>2582</v>
      </c>
      <c r="D42" s="40">
        <v>130130</v>
      </c>
      <c r="E42" s="4">
        <v>21</v>
      </c>
      <c r="F42" s="101"/>
      <c r="G42" s="57"/>
      <c r="H42" s="4" t="s">
        <v>6382</v>
      </c>
      <c r="I42" s="4"/>
      <c r="J42" s="4" t="s">
        <v>2024</v>
      </c>
      <c r="K42" s="54"/>
      <c r="L42" s="57"/>
      <c r="M42" s="57"/>
      <c r="N42" s="4" t="s">
        <v>1793</v>
      </c>
      <c r="O42" s="4">
        <v>881718304</v>
      </c>
      <c r="P42" s="4">
        <v>881718305</v>
      </c>
      <c r="Q42" s="767"/>
      <c r="R42" s="767"/>
      <c r="S42" s="4"/>
      <c r="T42" s="4" t="s">
        <v>3006</v>
      </c>
      <c r="U42" s="4">
        <v>955317392</v>
      </c>
      <c r="V42" s="4">
        <v>955317392</v>
      </c>
      <c r="W42" s="4"/>
      <c r="X42" s="4" t="s">
        <v>1793</v>
      </c>
      <c r="Y42" s="4">
        <v>130130</v>
      </c>
      <c r="Z42" s="35"/>
      <c r="AA42" s="1" t="str">
        <f>IFERROR(VLOOKUP(D:D,[1]Габариты!$A:$I,9,0),"")</f>
        <v>Основной ассортимент</v>
      </c>
      <c r="AB42" s="6" t="str">
        <f>IFERROR(VLOOKUP(D:D,[1]Габариты!$A:$D,4,0),"")</f>
        <v>КОМОДЫ</v>
      </c>
      <c r="AC42" s="39">
        <f t="shared" si="4"/>
        <v>130130</v>
      </c>
      <c r="AD42" s="13" t="str">
        <f t="shared" si="5"/>
        <v>FBO</v>
      </c>
    </row>
    <row r="43" spans="1:30" s="6" customFormat="1" ht="20.100000000000001" customHeight="1" outlineLevel="1" x14ac:dyDescent="0.25">
      <c r="A43" s="631" t="s">
        <v>3489</v>
      </c>
      <c r="B43" s="29"/>
      <c r="C43" s="13" t="s">
        <v>2582</v>
      </c>
      <c r="D43" s="40">
        <v>130131</v>
      </c>
      <c r="E43" s="4">
        <v>21</v>
      </c>
      <c r="F43" s="101"/>
      <c r="G43" s="57"/>
      <c r="H43" s="4" t="s">
        <v>6383</v>
      </c>
      <c r="I43" s="4"/>
      <c r="J43" s="4" t="s">
        <v>3625</v>
      </c>
      <c r="K43" s="54"/>
      <c r="L43" s="57"/>
      <c r="M43" s="57"/>
      <c r="N43" s="4" t="s">
        <v>3618</v>
      </c>
      <c r="O43" s="4">
        <v>1088916090</v>
      </c>
      <c r="P43" s="4">
        <v>1088916089</v>
      </c>
      <c r="Q43" s="767"/>
      <c r="R43" s="767"/>
      <c r="S43" s="4"/>
      <c r="T43" s="4" t="s">
        <v>3656</v>
      </c>
      <c r="U43" s="4">
        <v>1090912569</v>
      </c>
      <c r="V43" s="4">
        <v>1090912569</v>
      </c>
      <c r="W43" s="4"/>
      <c r="X43" s="4" t="s">
        <v>3618</v>
      </c>
      <c r="Y43" s="4" t="s">
        <v>4066</v>
      </c>
      <c r="Z43" s="35"/>
      <c r="AA43" s="1" t="str">
        <f>IFERROR(VLOOKUP(D:D,[1]Габариты!$A:$I,9,0),"")</f>
        <v>Основной ассортимент</v>
      </c>
      <c r="AB43" s="6" t="str">
        <f>IFERROR(VLOOKUP(D:D,[1]Габариты!$A:$D,4,0),"")</f>
        <v>КОМОДЫ</v>
      </c>
      <c r="AC43" s="39">
        <f t="shared" si="4"/>
        <v>130131</v>
      </c>
      <c r="AD43" s="13" t="str">
        <f t="shared" si="5"/>
        <v>FBO</v>
      </c>
    </row>
    <row r="44" spans="1:30" s="6" customFormat="1" ht="20.100000000000001" customHeight="1" outlineLevel="1" x14ac:dyDescent="0.25">
      <c r="A44" s="631" t="s">
        <v>3490</v>
      </c>
      <c r="B44" s="29"/>
      <c r="C44" s="13" t="s">
        <v>2582</v>
      </c>
      <c r="D44" s="40">
        <v>130132</v>
      </c>
      <c r="E44" s="4">
        <v>21</v>
      </c>
      <c r="F44" s="101"/>
      <c r="G44" s="57"/>
      <c r="H44" s="4" t="s">
        <v>6384</v>
      </c>
      <c r="I44" s="4"/>
      <c r="J44" s="4" t="s">
        <v>3631</v>
      </c>
      <c r="K44" s="54"/>
      <c r="L44" s="57"/>
      <c r="M44" s="57"/>
      <c r="N44" s="4" t="s">
        <v>3617</v>
      </c>
      <c r="O44" s="4">
        <v>1087873876</v>
      </c>
      <c r="P44" s="4">
        <v>1087873875</v>
      </c>
      <c r="Q44" s="767"/>
      <c r="R44" s="767"/>
      <c r="S44" s="4"/>
      <c r="T44" s="4" t="s">
        <v>3690</v>
      </c>
      <c r="U44" s="4">
        <v>1090924348</v>
      </c>
      <c r="V44" s="4">
        <v>1090924348</v>
      </c>
      <c r="W44" s="4"/>
      <c r="X44" s="4" t="s">
        <v>3617</v>
      </c>
      <c r="Y44" s="4" t="s">
        <v>4066</v>
      </c>
      <c r="Z44" s="35"/>
      <c r="AA44" s="1" t="str">
        <f>IFERROR(VLOOKUP(D:D,[1]Габариты!$A:$I,9,0),"")</f>
        <v>Основной ассортимент</v>
      </c>
      <c r="AB44" s="6" t="str">
        <f>IFERROR(VLOOKUP(D:D,[1]Габариты!$A:$D,4,0),"")</f>
        <v>КОМОДЫ</v>
      </c>
      <c r="AC44" s="39">
        <f t="shared" si="4"/>
        <v>130132</v>
      </c>
      <c r="AD44" s="13" t="str">
        <f t="shared" si="5"/>
        <v>FBO</v>
      </c>
    </row>
    <row r="45" spans="1:30" s="6" customFormat="1" ht="20.100000000000001" customHeight="1" outlineLevel="1" x14ac:dyDescent="0.25">
      <c r="A45" s="631" t="s">
        <v>3491</v>
      </c>
      <c r="B45" s="29"/>
      <c r="C45" s="13" t="s">
        <v>2582</v>
      </c>
      <c r="D45" s="40">
        <v>130133</v>
      </c>
      <c r="E45" s="4">
        <v>21</v>
      </c>
      <c r="F45" s="101"/>
      <c r="G45" s="57"/>
      <c r="H45" s="4" t="s">
        <v>6385</v>
      </c>
      <c r="I45" s="4"/>
      <c r="J45" s="4" t="s">
        <v>3626</v>
      </c>
      <c r="K45" s="54"/>
      <c r="L45" s="57"/>
      <c r="M45" s="57"/>
      <c r="N45" s="4" t="s">
        <v>3619</v>
      </c>
      <c r="O45" s="4">
        <v>1089033447</v>
      </c>
      <c r="P45" s="4">
        <v>1089033442</v>
      </c>
      <c r="Q45" s="767"/>
      <c r="R45" s="767"/>
      <c r="S45" s="4"/>
      <c r="T45" s="4" t="s">
        <v>3657</v>
      </c>
      <c r="U45" s="4">
        <v>1090939513</v>
      </c>
      <c r="V45" s="4">
        <v>1090939513</v>
      </c>
      <c r="W45" s="4"/>
      <c r="X45" s="4" t="s">
        <v>3619</v>
      </c>
      <c r="Y45" s="4" t="s">
        <v>4066</v>
      </c>
      <c r="Z45" s="35"/>
      <c r="AA45" s="1" t="str">
        <f>IFERROR(VLOOKUP(D:D,[1]Габариты!$A:$I,9,0),"")</f>
        <v>Основной ассортимент</v>
      </c>
      <c r="AB45" s="6" t="str">
        <f>IFERROR(VLOOKUP(D:D,[1]Габариты!$A:$D,4,0),"")</f>
        <v>КОМОДЫ</v>
      </c>
      <c r="AC45" s="39">
        <f t="shared" si="4"/>
        <v>130133</v>
      </c>
      <c r="AD45" s="13" t="str">
        <f t="shared" si="5"/>
        <v>FBO</v>
      </c>
    </row>
    <row r="46" spans="1:30" s="6" customFormat="1" ht="20.100000000000001" customHeight="1" outlineLevel="1" x14ac:dyDescent="0.25">
      <c r="A46" s="631" t="s">
        <v>3910</v>
      </c>
      <c r="B46" s="29"/>
      <c r="C46" s="13" t="s">
        <v>4050</v>
      </c>
      <c r="D46" s="40">
        <v>3751</v>
      </c>
      <c r="E46" s="4">
        <v>8</v>
      </c>
      <c r="F46" s="101">
        <v>3751</v>
      </c>
      <c r="G46" s="57" t="s">
        <v>5117</v>
      </c>
      <c r="H46" s="4" t="s">
        <v>6459</v>
      </c>
      <c r="I46" s="4"/>
      <c r="J46" s="4"/>
      <c r="K46" s="54" t="s">
        <v>7943</v>
      </c>
      <c r="L46" s="57">
        <v>1327054904</v>
      </c>
      <c r="M46" s="57">
        <v>1327054904</v>
      </c>
      <c r="N46" s="4" t="s">
        <v>3959</v>
      </c>
      <c r="O46" s="4">
        <v>1463718987</v>
      </c>
      <c r="P46" s="4">
        <v>1463718987</v>
      </c>
      <c r="Q46" s="767"/>
      <c r="R46" s="767"/>
      <c r="S46" s="4"/>
      <c r="T46" s="4"/>
      <c r="U46" s="4"/>
      <c r="V46" s="4"/>
      <c r="W46" s="4"/>
      <c r="X46" s="4" t="s">
        <v>3959</v>
      </c>
      <c r="Y46" s="4" t="s">
        <v>4066</v>
      </c>
      <c r="Z46" s="35"/>
      <c r="AA46" s="1" t="str">
        <f>IFERROR(VLOOKUP(D:D,[1]Габариты!$A:$I,9,0),"")</f>
        <v>Основной ассортимент</v>
      </c>
      <c r="AB46" s="6" t="str">
        <f>IFERROR(VLOOKUP(D:D,[1]Габариты!$A:$D,4,0),"")</f>
        <v>КОМОДЫ</v>
      </c>
      <c r="AC46" s="39">
        <f>D46</f>
        <v>3751</v>
      </c>
      <c r="AD46" s="13" t="str">
        <f>C46</f>
        <v>СКГТ (ОЗОН)</v>
      </c>
    </row>
    <row r="47" spans="1:30" s="6" customFormat="1" ht="20.100000000000001" customHeight="1" outlineLevel="1" x14ac:dyDescent="0.25">
      <c r="A47" s="633" t="s">
        <v>3935</v>
      </c>
      <c r="B47" s="29"/>
      <c r="C47" s="13" t="s">
        <v>4050</v>
      </c>
      <c r="D47" s="58" t="s">
        <v>3936</v>
      </c>
      <c r="E47" s="4">
        <v>8</v>
      </c>
      <c r="F47" s="101" t="s">
        <v>6193</v>
      </c>
      <c r="G47" s="57" t="s">
        <v>7797</v>
      </c>
      <c r="H47" s="4" t="s">
        <v>6460</v>
      </c>
      <c r="I47" s="4"/>
      <c r="J47" s="4"/>
      <c r="K47" s="54" t="s">
        <v>6193</v>
      </c>
      <c r="L47" s="57">
        <v>1841890375</v>
      </c>
      <c r="M47" s="57">
        <v>1841890375</v>
      </c>
      <c r="N47" s="4" t="s">
        <v>4006</v>
      </c>
      <c r="O47" s="4">
        <v>1470622303</v>
      </c>
      <c r="P47" s="4">
        <v>1470622303</v>
      </c>
      <c r="Q47" s="767"/>
      <c r="R47" s="767"/>
      <c r="S47" s="4"/>
      <c r="T47" s="4"/>
      <c r="U47" s="4"/>
      <c r="V47" s="4"/>
      <c r="W47" s="4"/>
      <c r="X47" s="4" t="s">
        <v>4006</v>
      </c>
      <c r="Y47" s="4" t="s">
        <v>4066</v>
      </c>
      <c r="Z47" s="35"/>
      <c r="AA47" s="1" t="str">
        <f>IFERROR(VLOOKUP(D:D,[1]Габариты!$A:$I,9,0),"")</f>
        <v>Основной ассортимент</v>
      </c>
      <c r="AB47" s="6" t="str">
        <f>IFERROR(VLOOKUP(D:D,[1]Габариты!$A:$D,4,0),"")</f>
        <v>КОМОДЫ</v>
      </c>
      <c r="AC47" s="39" t="str">
        <f t="shared" si="4"/>
        <v>3751.03/01</v>
      </c>
      <c r="AD47" s="13" t="str">
        <f t="shared" si="5"/>
        <v>СКГТ (ОЗОН)</v>
      </c>
    </row>
    <row r="48" spans="1:30" s="6" customFormat="1" ht="20.100000000000001" customHeight="1" outlineLevel="1" x14ac:dyDescent="0.25">
      <c r="A48" s="633" t="s">
        <v>4193</v>
      </c>
      <c r="B48" s="29"/>
      <c r="C48" s="13" t="s">
        <v>4050</v>
      </c>
      <c r="D48" s="40" t="s">
        <v>4194</v>
      </c>
      <c r="E48" s="4">
        <v>8</v>
      </c>
      <c r="F48" s="101" t="s">
        <v>6304</v>
      </c>
      <c r="G48" s="57" t="s">
        <v>5144</v>
      </c>
      <c r="H48" s="4" t="s">
        <v>6461</v>
      </c>
      <c r="I48" s="4"/>
      <c r="J48" s="4"/>
      <c r="K48" s="54" t="s">
        <v>6304</v>
      </c>
      <c r="L48" s="57">
        <v>1564154147</v>
      </c>
      <c r="M48" s="57">
        <v>1564154147</v>
      </c>
      <c r="N48" s="4" t="s">
        <v>4217</v>
      </c>
      <c r="O48" s="4">
        <v>1594508901</v>
      </c>
      <c r="P48" s="4">
        <v>1594508901</v>
      </c>
      <c r="Q48" s="767"/>
      <c r="R48" s="767"/>
      <c r="S48" s="4"/>
      <c r="T48" s="4"/>
      <c r="U48" s="4"/>
      <c r="V48" s="4"/>
      <c r="W48" s="4"/>
      <c r="X48" s="4" t="s">
        <v>4217</v>
      </c>
      <c r="Y48" s="4"/>
      <c r="Z48" s="35"/>
      <c r="AA48" s="1" t="str">
        <f>IFERROR(VLOOKUP(D:D,[1]Габариты!$A:$I,9,0),"")</f>
        <v>Основной ассортимент</v>
      </c>
      <c r="AB48" s="6" t="str">
        <f>IFERROR(VLOOKUP(D:D,[1]Габариты!$A:$D,4,0),"")</f>
        <v>КОМОДЫ</v>
      </c>
      <c r="AC48" s="39" t="str">
        <f t="shared" si="4"/>
        <v>3751.05/01</v>
      </c>
      <c r="AD48" s="13" t="str">
        <f t="shared" si="5"/>
        <v>СКГТ (ОЗОН)</v>
      </c>
    </row>
    <row r="49" spans="1:30" s="6" customFormat="1" ht="20.100000000000001" customHeight="1" outlineLevel="1" x14ac:dyDescent="0.25">
      <c r="A49" s="636" t="s">
        <v>8117</v>
      </c>
      <c r="B49" s="29"/>
      <c r="C49" s="13" t="s">
        <v>4050</v>
      </c>
      <c r="D49" s="46" t="s">
        <v>8116</v>
      </c>
      <c r="E49" s="4">
        <v>8</v>
      </c>
      <c r="F49" s="323" t="s">
        <v>8193</v>
      </c>
      <c r="G49" s="324"/>
      <c r="H49" s="322" t="s">
        <v>8147</v>
      </c>
      <c r="I49" s="322"/>
      <c r="J49" s="322"/>
      <c r="K49" s="323" t="s">
        <v>8193</v>
      </c>
      <c r="L49" s="324">
        <v>1841898055</v>
      </c>
      <c r="M49" s="324">
        <v>1841898055</v>
      </c>
      <c r="N49" s="322" t="s">
        <v>8135</v>
      </c>
      <c r="O49" s="322">
        <v>1823229940</v>
      </c>
      <c r="P49" s="322">
        <v>1823229940</v>
      </c>
      <c r="Q49" s="772"/>
      <c r="R49" s="772"/>
      <c r="S49" s="322"/>
      <c r="T49" s="322"/>
      <c r="U49" s="322"/>
      <c r="V49" s="322"/>
      <c r="W49" s="322"/>
      <c r="X49" s="322" t="s">
        <v>8135</v>
      </c>
      <c r="Y49" s="322"/>
      <c r="Z49" s="35"/>
      <c r="AA49" s="1" t="str">
        <f>IFERROR(VLOOKUP(D:D,[1]Габариты!$A:$I,9,0),"")</f>
        <v>Основной ассортимент</v>
      </c>
      <c r="AB49" s="6" t="str">
        <f>IFERROR(VLOOKUP(D:D,[1]Габариты!$A:$D,4,0),"")</f>
        <v>КОМОДЫ</v>
      </c>
      <c r="AC49" s="39" t="str">
        <f t="shared" si="4"/>
        <v>3751.06/01</v>
      </c>
      <c r="AD49" s="13" t="str">
        <f t="shared" si="5"/>
        <v>СКГТ (ОЗОН)</v>
      </c>
    </row>
    <row r="50" spans="1:30" s="6" customFormat="1" ht="20.100000000000001" customHeight="1" outlineLevel="1" x14ac:dyDescent="0.25">
      <c r="A50" s="633" t="s">
        <v>3974</v>
      </c>
      <c r="B50" s="29"/>
      <c r="C50" s="13" t="s">
        <v>4050</v>
      </c>
      <c r="D50" s="40" t="s">
        <v>4749</v>
      </c>
      <c r="E50" s="4">
        <v>8</v>
      </c>
      <c r="F50" s="101" t="s">
        <v>6305</v>
      </c>
      <c r="G50" s="57" t="s">
        <v>5654</v>
      </c>
      <c r="H50" s="4" t="s">
        <v>6473</v>
      </c>
      <c r="I50" s="4"/>
      <c r="J50" s="4"/>
      <c r="K50" s="54" t="s">
        <v>6305</v>
      </c>
      <c r="L50" s="57">
        <v>1559825686</v>
      </c>
      <c r="M50" s="57">
        <v>1559825686</v>
      </c>
      <c r="N50" s="4" t="s">
        <v>4028</v>
      </c>
      <c r="O50" s="4">
        <v>1485335543</v>
      </c>
      <c r="P50" s="4">
        <v>1485335543</v>
      </c>
      <c r="Q50" s="767"/>
      <c r="R50" s="767"/>
      <c r="S50" s="4"/>
      <c r="T50" s="4"/>
      <c r="U50" s="4"/>
      <c r="V50" s="4"/>
      <c r="W50" s="4"/>
      <c r="X50" s="4" t="s">
        <v>4028</v>
      </c>
      <c r="Y50" s="4"/>
      <c r="Z50" s="35"/>
      <c r="AA50" s="1" t="str">
        <f>IFERROR(VLOOKUP(D:D,[1]Габариты!$A:$I,9,0),"")</f>
        <v>Основной ассортимент</v>
      </c>
      <c r="AB50" s="6" t="str">
        <f>IFERROR(VLOOKUP(D:D,[1]Габариты!$A:$D,4,0),"")</f>
        <v>КОМОДЫ</v>
      </c>
      <c r="AC50" s="39" t="str">
        <f t="shared" si="4"/>
        <v>3751.09/01</v>
      </c>
      <c r="AD50" s="13" t="str">
        <f t="shared" si="5"/>
        <v>СКГТ (ОЗОН)</v>
      </c>
    </row>
    <row r="51" spans="1:30" s="6" customFormat="1" ht="20.100000000000001" customHeight="1" outlineLevel="1" x14ac:dyDescent="0.25">
      <c r="A51" s="633" t="s">
        <v>3965</v>
      </c>
      <c r="B51" s="29"/>
      <c r="C51" s="13" t="s">
        <v>4050</v>
      </c>
      <c r="D51" s="40" t="s">
        <v>3964</v>
      </c>
      <c r="E51" s="4">
        <v>8</v>
      </c>
      <c r="F51" s="101" t="s">
        <v>7621</v>
      </c>
      <c r="G51" s="57"/>
      <c r="H51" s="4" t="s">
        <v>6462</v>
      </c>
      <c r="I51" s="4"/>
      <c r="J51" s="4"/>
      <c r="K51" s="54"/>
      <c r="L51" s="57"/>
      <c r="M51" s="57"/>
      <c r="N51" s="4" t="s">
        <v>4007</v>
      </c>
      <c r="O51" s="4">
        <v>1479207035</v>
      </c>
      <c r="P51" s="4">
        <v>1479207035</v>
      </c>
      <c r="Q51" s="767"/>
      <c r="R51" s="767"/>
      <c r="S51" s="4"/>
      <c r="T51" s="4"/>
      <c r="U51" s="4"/>
      <c r="V51" s="4"/>
      <c r="W51" s="4"/>
      <c r="X51" s="4" t="s">
        <v>4007</v>
      </c>
      <c r="Y51" s="4" t="s">
        <v>4066</v>
      </c>
      <c r="Z51" s="35"/>
      <c r="AA51" s="1" t="str">
        <f>IFERROR(VLOOKUP(D:D,[1]Габариты!$A:$I,9,0),"")</f>
        <v>Основной ассортимент</v>
      </c>
      <c r="AB51" s="6" t="str">
        <f>IFERROR(VLOOKUP(D:D,[1]Габариты!$A:$D,4,0),"")</f>
        <v>КОМОДЫ</v>
      </c>
      <c r="AC51" s="39" t="str">
        <f t="shared" si="4"/>
        <v>3751.11/01</v>
      </c>
      <c r="AD51" s="13" t="str">
        <f t="shared" si="5"/>
        <v>СКГТ (ОЗОН)</v>
      </c>
    </row>
    <row r="52" spans="1:30" s="6" customFormat="1" ht="20.100000000000001" customHeight="1" outlineLevel="1" x14ac:dyDescent="0.25">
      <c r="A52" s="633" t="s">
        <v>3952</v>
      </c>
      <c r="B52" s="29"/>
      <c r="C52" s="13" t="s">
        <v>4050</v>
      </c>
      <c r="D52" s="40" t="s">
        <v>3953</v>
      </c>
      <c r="E52" s="4">
        <v>8</v>
      </c>
      <c r="F52" s="101" t="s">
        <v>4741</v>
      </c>
      <c r="G52" s="57" t="s">
        <v>5726</v>
      </c>
      <c r="H52" s="4" t="s">
        <v>6463</v>
      </c>
      <c r="I52" s="4"/>
      <c r="J52" s="4"/>
      <c r="K52" s="54" t="s">
        <v>4741</v>
      </c>
      <c r="L52" s="57">
        <v>1841910869</v>
      </c>
      <c r="M52" s="57">
        <v>1841910869</v>
      </c>
      <c r="N52" s="4" t="s">
        <v>4036</v>
      </c>
      <c r="O52" s="4">
        <v>1488243147</v>
      </c>
      <c r="P52" s="4">
        <v>1488243147</v>
      </c>
      <c r="Q52" s="767"/>
      <c r="R52" s="767"/>
      <c r="S52" s="4"/>
      <c r="T52" s="4"/>
      <c r="U52" s="4"/>
      <c r="V52" s="4"/>
      <c r="W52" s="4"/>
      <c r="X52" s="4" t="s">
        <v>4036</v>
      </c>
      <c r="Y52" s="4" t="s">
        <v>4066</v>
      </c>
      <c r="Z52" s="35"/>
      <c r="AA52" s="1" t="str">
        <f>IFERROR(VLOOKUP(D:D,[1]Габариты!$A:$I,9,0),"")</f>
        <v>Основной ассортимент</v>
      </c>
      <c r="AB52" s="6" t="str">
        <f>IFERROR(VLOOKUP(D:D,[1]Габариты!$A:$D,4,0),"")</f>
        <v>КОМОДЫ</v>
      </c>
      <c r="AC52" s="39" t="str">
        <f t="shared" si="4"/>
        <v>3751.12/01</v>
      </c>
      <c r="AD52" s="13" t="str">
        <f t="shared" si="5"/>
        <v>СКГТ (ОЗОН)</v>
      </c>
    </row>
    <row r="53" spans="1:30" s="6" customFormat="1" ht="20.100000000000001" customHeight="1" outlineLevel="1" x14ac:dyDescent="0.25">
      <c r="A53" s="637" t="s">
        <v>7551</v>
      </c>
      <c r="B53" s="29"/>
      <c r="C53" s="13" t="s">
        <v>4050</v>
      </c>
      <c r="D53" s="162" t="s">
        <v>7550</v>
      </c>
      <c r="E53" s="4">
        <v>8</v>
      </c>
      <c r="F53" s="160" t="s">
        <v>8243</v>
      </c>
      <c r="G53" s="161" t="s">
        <v>7573</v>
      </c>
      <c r="H53" s="159" t="s">
        <v>7558</v>
      </c>
      <c r="I53" s="159"/>
      <c r="J53" s="159"/>
      <c r="K53" s="160" t="s">
        <v>7621</v>
      </c>
      <c r="L53" s="161">
        <v>1781379265</v>
      </c>
      <c r="M53" s="161">
        <v>1781379265</v>
      </c>
      <c r="N53" s="159" t="s">
        <v>7647</v>
      </c>
      <c r="O53" s="159">
        <v>1731397255</v>
      </c>
      <c r="P53" s="159">
        <v>1731397255</v>
      </c>
      <c r="Q53" s="773"/>
      <c r="R53" s="773"/>
      <c r="S53" s="159"/>
      <c r="T53" s="159"/>
      <c r="U53" s="159"/>
      <c r="V53" s="159"/>
      <c r="W53" s="159"/>
      <c r="X53" s="159" t="s">
        <v>7647</v>
      </c>
      <c r="Y53" s="159"/>
      <c r="Z53" s="35"/>
      <c r="AA53" s="1" t="str">
        <f>IFERROR(VLOOKUP(D:D,[1]Габариты!$A:$I,9,0),"")</f>
        <v>Основной ассортимент</v>
      </c>
      <c r="AB53" s="6" t="str">
        <f>IFERROR(VLOOKUP(D:D,[1]Габариты!$A:$D,4,0),"")</f>
        <v>КОМОДЫ</v>
      </c>
      <c r="AC53" s="39" t="str">
        <f t="shared" si="4"/>
        <v>3751.17/01</v>
      </c>
      <c r="AD53" s="13" t="str">
        <f t="shared" si="5"/>
        <v>СКГТ (ОЗОН)</v>
      </c>
    </row>
    <row r="54" spans="1:30" s="6" customFormat="1" ht="20.100000000000001" customHeight="1" outlineLevel="1" x14ac:dyDescent="0.25">
      <c r="A54" s="638" t="s">
        <v>6267</v>
      </c>
      <c r="B54" s="29"/>
      <c r="C54" s="13" t="s">
        <v>4050</v>
      </c>
      <c r="D54" s="111" t="s">
        <v>5431</v>
      </c>
      <c r="E54" s="4">
        <v>8</v>
      </c>
      <c r="F54" s="101" t="s">
        <v>5306</v>
      </c>
      <c r="G54" s="102" t="s">
        <v>5663</v>
      </c>
      <c r="H54" s="100"/>
      <c r="I54" s="100"/>
      <c r="J54" s="100"/>
      <c r="K54" s="101" t="s">
        <v>5306</v>
      </c>
      <c r="L54" s="102">
        <v>1525267538</v>
      </c>
      <c r="M54" s="102">
        <v>1525267538</v>
      </c>
      <c r="N54" s="100"/>
      <c r="O54" s="100"/>
      <c r="P54" s="100"/>
      <c r="Q54" s="774"/>
      <c r="R54" s="774"/>
      <c r="S54" s="100"/>
      <c r="T54" s="100"/>
      <c r="U54" s="100"/>
      <c r="V54" s="100"/>
      <c r="W54" s="100"/>
      <c r="X54" s="100"/>
      <c r="Y54" s="100"/>
      <c r="Z54" s="35"/>
      <c r="AA54" s="1" t="str">
        <f>IFERROR(VLOOKUP(D:D,[1]Габариты!$A:$I,9,0),"")</f>
        <v>Основной ассортимент</v>
      </c>
      <c r="AB54" s="6" t="str">
        <f>IFERROR(VLOOKUP(D:D,[1]Габариты!$A:$D,4,0),"")</f>
        <v>КОМОДЫ</v>
      </c>
      <c r="AC54" s="39" t="str">
        <f t="shared" si="4"/>
        <v>3751.25/01</v>
      </c>
      <c r="AD54" s="13" t="str">
        <f t="shared" si="5"/>
        <v>СКГТ (ОЗОН)</v>
      </c>
    </row>
    <row r="55" spans="1:30" s="6" customFormat="1" ht="20.100000000000001" customHeight="1" outlineLevel="1" x14ac:dyDescent="0.25">
      <c r="A55" s="633" t="s">
        <v>3972</v>
      </c>
      <c r="B55" s="29"/>
      <c r="C55" s="13" t="s">
        <v>4050</v>
      </c>
      <c r="D55" s="40" t="s">
        <v>3986</v>
      </c>
      <c r="E55" s="4">
        <v>8</v>
      </c>
      <c r="F55" s="101" t="s">
        <v>7622</v>
      </c>
      <c r="G55" s="57" t="s">
        <v>5143</v>
      </c>
      <c r="H55" s="4" t="s">
        <v>6464</v>
      </c>
      <c r="I55" s="4"/>
      <c r="J55" s="4"/>
      <c r="K55" s="54" t="s">
        <v>7622</v>
      </c>
      <c r="L55" s="57">
        <v>1781379205</v>
      </c>
      <c r="M55" s="57">
        <v>1781379205</v>
      </c>
      <c r="N55" s="4" t="s">
        <v>4030</v>
      </c>
      <c r="O55" s="4">
        <v>1485668640</v>
      </c>
      <c r="P55" s="4">
        <v>1485668640</v>
      </c>
      <c r="Q55" s="767"/>
      <c r="R55" s="767"/>
      <c r="S55" s="4"/>
      <c r="T55" s="4"/>
      <c r="U55" s="4"/>
      <c r="V55" s="4"/>
      <c r="W55" s="4"/>
      <c r="X55" s="4" t="s">
        <v>4030</v>
      </c>
      <c r="Y55" s="4" t="s">
        <v>4066</v>
      </c>
      <c r="Z55" s="35"/>
      <c r="AA55" s="1" t="str">
        <f>IFERROR(VLOOKUP(D:D,[1]Габариты!$A:$I,9,0),"")</f>
        <v>Основной ассортимент</v>
      </c>
      <c r="AB55" s="6" t="str">
        <f>IFERROR(VLOOKUP(D:D,[1]Габариты!$A:$D,4,0),"")</f>
        <v>КОМОДЫ</v>
      </c>
      <c r="AC55" s="39" t="str">
        <f t="shared" si="4"/>
        <v>3751.03.17/01</v>
      </c>
      <c r="AD55" s="13" t="str">
        <f t="shared" si="5"/>
        <v>СКГТ (ОЗОН)</v>
      </c>
    </row>
    <row r="56" spans="1:30" s="6" customFormat="1" ht="20.100000000000001" customHeight="1" outlineLevel="1" x14ac:dyDescent="0.25">
      <c r="A56" s="633" t="s">
        <v>3973</v>
      </c>
      <c r="B56" s="29"/>
      <c r="C56" s="13" t="s">
        <v>4050</v>
      </c>
      <c r="D56" s="40" t="s">
        <v>3971</v>
      </c>
      <c r="E56" s="4">
        <v>8</v>
      </c>
      <c r="F56" s="101" t="s">
        <v>4742</v>
      </c>
      <c r="G56" s="57" t="s">
        <v>5727</v>
      </c>
      <c r="H56" s="4" t="s">
        <v>6465</v>
      </c>
      <c r="I56" s="4"/>
      <c r="J56" s="4"/>
      <c r="K56" s="54"/>
      <c r="L56" s="57"/>
      <c r="M56" s="57"/>
      <c r="N56" s="4" t="s">
        <v>4029</v>
      </c>
      <c r="O56" s="4">
        <v>1485633948</v>
      </c>
      <c r="P56" s="4">
        <v>1485633948</v>
      </c>
      <c r="Q56" s="767"/>
      <c r="R56" s="767"/>
      <c r="S56" s="4"/>
      <c r="T56" s="4"/>
      <c r="U56" s="4"/>
      <c r="V56" s="4"/>
      <c r="W56" s="4"/>
      <c r="X56" s="4" t="s">
        <v>4029</v>
      </c>
      <c r="Y56" s="4" t="s">
        <v>4066</v>
      </c>
      <c r="Z56" s="35"/>
      <c r="AA56" s="1" t="str">
        <f>IFERROR(VLOOKUP(D:D,[1]Габариты!$A:$I,9,0),"")</f>
        <v>Основной ассортимент</v>
      </c>
      <c r="AB56" s="6" t="str">
        <f>IFERROR(VLOOKUP(D:D,[1]Габариты!$A:$D,4,0),"")</f>
        <v>КОМОДЫ</v>
      </c>
      <c r="AC56" s="39" t="str">
        <f t="shared" si="4"/>
        <v>3751.04.09/01</v>
      </c>
      <c r="AD56" s="13" t="str">
        <f t="shared" si="5"/>
        <v>СКГТ (ОЗОН)</v>
      </c>
    </row>
    <row r="57" spans="1:30" s="6" customFormat="1" ht="20.100000000000001" customHeight="1" outlineLevel="1" x14ac:dyDescent="0.25">
      <c r="A57" s="633" t="s">
        <v>4232</v>
      </c>
      <c r="B57" s="29"/>
      <c r="C57" s="13" t="s">
        <v>3172</v>
      </c>
      <c r="D57" s="40">
        <v>3286</v>
      </c>
      <c r="E57" s="4">
        <v>12</v>
      </c>
      <c r="F57" s="101">
        <v>3286</v>
      </c>
      <c r="G57" s="57" t="s">
        <v>5653</v>
      </c>
      <c r="H57" s="4" t="s">
        <v>6466</v>
      </c>
      <c r="I57" s="4"/>
      <c r="J57" s="4" t="s">
        <v>7586</v>
      </c>
      <c r="K57" s="54" t="s">
        <v>7871</v>
      </c>
      <c r="L57" s="57">
        <v>1589718470</v>
      </c>
      <c r="M57" s="57">
        <v>1589718470</v>
      </c>
      <c r="N57" s="4" t="s">
        <v>4254</v>
      </c>
      <c r="O57" s="4">
        <v>1603664212</v>
      </c>
      <c r="P57" s="4">
        <v>1603664212</v>
      </c>
      <c r="Q57" s="767"/>
      <c r="R57" s="767"/>
      <c r="S57" s="4"/>
      <c r="T57" s="4"/>
      <c r="U57" s="4"/>
      <c r="V57" s="4"/>
      <c r="W57" s="4"/>
      <c r="X57" s="4" t="s">
        <v>4254</v>
      </c>
      <c r="Y57" s="4">
        <v>3286</v>
      </c>
      <c r="Z57" s="35"/>
      <c r="AA57" s="1" t="str">
        <f>IFERROR(VLOOKUP(D:D,[1]Габариты!$A:$I,9,0),"")</f>
        <v>Основной ассортимент</v>
      </c>
      <c r="AB57" s="6" t="str">
        <f>IFERROR(VLOOKUP(D:D,[1]Габариты!$A:$D,4,0),"")</f>
        <v>КОМОДЫ</v>
      </c>
      <c r="AC57" s="39">
        <f t="shared" si="4"/>
        <v>3286</v>
      </c>
      <c r="AD57" s="13" t="str">
        <f t="shared" si="5"/>
        <v xml:space="preserve">СКГТ </v>
      </c>
    </row>
    <row r="58" spans="1:30" s="6" customFormat="1" ht="20.100000000000001" customHeight="1" outlineLevel="1" x14ac:dyDescent="0.25">
      <c r="A58" s="631" t="s">
        <v>984</v>
      </c>
      <c r="B58" s="29"/>
      <c r="C58" s="13" t="s">
        <v>2581</v>
      </c>
      <c r="D58" s="40" t="s">
        <v>1477</v>
      </c>
      <c r="E58" s="4">
        <v>16</v>
      </c>
      <c r="F58" s="101" t="s">
        <v>4713</v>
      </c>
      <c r="G58" s="57" t="s">
        <v>5186</v>
      </c>
      <c r="H58" s="4" t="s">
        <v>6416</v>
      </c>
      <c r="I58" s="4"/>
      <c r="J58" s="4"/>
      <c r="K58" s="54" t="s">
        <v>4713</v>
      </c>
      <c r="L58" s="57">
        <v>934045437</v>
      </c>
      <c r="M58" s="57">
        <v>934045437</v>
      </c>
      <c r="N58" s="4" t="s">
        <v>1405</v>
      </c>
      <c r="O58" s="4">
        <v>578373070</v>
      </c>
      <c r="P58" s="4">
        <v>578373071</v>
      </c>
      <c r="Q58" s="767"/>
      <c r="R58" s="767"/>
      <c r="S58" s="4"/>
      <c r="T58" s="4"/>
      <c r="U58" s="4"/>
      <c r="V58" s="4"/>
      <c r="W58" s="4"/>
      <c r="X58" s="4" t="s">
        <v>1405</v>
      </c>
      <c r="Y58" s="4" t="s">
        <v>1477</v>
      </c>
      <c r="Z58" s="35"/>
      <c r="AA58" s="1" t="str">
        <f>IFERROR(VLOOKUP(D:D,[1]Габариты!$A:$I,9,0),"")</f>
        <v>Основной ассортимент</v>
      </c>
      <c r="AB58" s="6" t="str">
        <f>IFERROR(VLOOKUP(D:D,[1]Габариты!$A:$D,4,0),"")</f>
        <v>КОМОДЫ</v>
      </c>
      <c r="AC58" s="39" t="str">
        <f t="shared" si="4"/>
        <v>MK02221</v>
      </c>
      <c r="AD58" s="13" t="str">
        <f t="shared" si="5"/>
        <v>FBS</v>
      </c>
    </row>
    <row r="59" spans="1:30" s="6" customFormat="1" ht="20.100000000000001" customHeight="1" outlineLevel="1" x14ac:dyDescent="0.25">
      <c r="A59" s="639" t="s">
        <v>5692</v>
      </c>
      <c r="B59" s="29"/>
      <c r="C59" s="71" t="s">
        <v>2582</v>
      </c>
      <c r="D59" s="72" t="s">
        <v>5690</v>
      </c>
      <c r="E59" s="73">
        <v>21</v>
      </c>
      <c r="F59" s="101" t="s">
        <v>5694</v>
      </c>
      <c r="G59" s="75" t="s">
        <v>5695</v>
      </c>
      <c r="H59" s="73" t="s">
        <v>6478</v>
      </c>
      <c r="I59" s="73"/>
      <c r="J59" s="73"/>
      <c r="K59" s="54" t="s">
        <v>5694</v>
      </c>
      <c r="L59" s="57">
        <v>1343007663</v>
      </c>
      <c r="M59" s="57">
        <v>1343007663</v>
      </c>
      <c r="N59" s="73" t="s">
        <v>7794</v>
      </c>
      <c r="O59" s="73">
        <v>1758908354</v>
      </c>
      <c r="P59" s="73">
        <v>1758908354</v>
      </c>
      <c r="Q59" s="775"/>
      <c r="R59" s="775"/>
      <c r="S59" s="73"/>
      <c r="T59" s="73"/>
      <c r="U59" s="73"/>
      <c r="V59" s="73"/>
      <c r="W59" s="73"/>
      <c r="X59" s="73" t="s">
        <v>7794</v>
      </c>
      <c r="Y59" s="73"/>
      <c r="Z59" s="35"/>
      <c r="AA59" s="1" t="str">
        <f>IFERROR(VLOOKUP(D:D,[1]Габариты!$A:$I,9,0),"")</f>
        <v>Вакансия</v>
      </c>
      <c r="AB59" s="6" t="str">
        <f>IFERROR(VLOOKUP(D:D,[1]Габариты!$A:$D,4,0),"")</f>
        <v>КОМОДЫ</v>
      </c>
      <c r="AC59" s="39" t="str">
        <f t="shared" si="4"/>
        <v>MK1862001</v>
      </c>
      <c r="AD59" s="13" t="str">
        <f t="shared" si="5"/>
        <v>FBO</v>
      </c>
    </row>
    <row r="60" spans="1:30" s="6" customFormat="1" ht="20.100000000000001" customHeight="1" outlineLevel="1" x14ac:dyDescent="0.25">
      <c r="A60" s="639" t="s">
        <v>5693</v>
      </c>
      <c r="B60" s="29"/>
      <c r="C60" s="71" t="s">
        <v>2582</v>
      </c>
      <c r="D60" s="72" t="s">
        <v>5691</v>
      </c>
      <c r="E60" s="73">
        <v>21</v>
      </c>
      <c r="F60" s="101" t="s">
        <v>5696</v>
      </c>
      <c r="G60" s="75" t="s">
        <v>6136</v>
      </c>
      <c r="H60" s="73" t="s">
        <v>6479</v>
      </c>
      <c r="I60" s="73"/>
      <c r="J60" s="73"/>
      <c r="K60" s="54" t="s">
        <v>5696</v>
      </c>
      <c r="L60" s="57">
        <v>1198541902</v>
      </c>
      <c r="M60" s="57">
        <v>1198541908</v>
      </c>
      <c r="N60" s="73" t="s">
        <v>7790</v>
      </c>
      <c r="O60" s="73">
        <v>1757557627</v>
      </c>
      <c r="P60" s="73">
        <v>1757557627</v>
      </c>
      <c r="Q60" s="775"/>
      <c r="R60" s="775"/>
      <c r="S60" s="73"/>
      <c r="T60" s="73"/>
      <c r="U60" s="73"/>
      <c r="V60" s="73"/>
      <c r="W60" s="73"/>
      <c r="X60" s="73" t="s">
        <v>7790</v>
      </c>
      <c r="Y60" s="73"/>
      <c r="Z60" s="35"/>
      <c r="AA60" s="1" t="str">
        <f>IFERROR(VLOOKUP(D:D,[1]Габариты!$A:$I,9,0),"")</f>
        <v>Основной ассортимент</v>
      </c>
      <c r="AB60" s="6" t="str">
        <f>IFERROR(VLOOKUP(D:D,[1]Габариты!$A:$D,4,0),"")</f>
        <v>КОМОДЫ</v>
      </c>
      <c r="AC60" s="39" t="str">
        <f t="shared" si="4"/>
        <v>MK1860101</v>
      </c>
      <c r="AD60" s="13" t="str">
        <f t="shared" si="5"/>
        <v>FBO</v>
      </c>
    </row>
    <row r="61" spans="1:30" s="6" customFormat="1" ht="20.100000000000001" customHeight="1" outlineLevel="1" x14ac:dyDescent="0.25">
      <c r="A61" s="638" t="s">
        <v>6344</v>
      </c>
      <c r="B61" s="110"/>
      <c r="C61" s="13" t="s">
        <v>2582</v>
      </c>
      <c r="D61" s="111" t="s">
        <v>6345</v>
      </c>
      <c r="E61" s="100">
        <v>30</v>
      </c>
      <c r="F61" s="101" t="s">
        <v>7428</v>
      </c>
      <c r="G61" s="102" t="s">
        <v>7423</v>
      </c>
      <c r="H61" s="100" t="s">
        <v>7422</v>
      </c>
      <c r="I61" s="100"/>
      <c r="J61" s="100"/>
      <c r="K61" s="101" t="s">
        <v>7428</v>
      </c>
      <c r="L61" s="102">
        <v>1781379235</v>
      </c>
      <c r="M61" s="102">
        <v>1781379235</v>
      </c>
      <c r="N61" s="100" t="s">
        <v>7796</v>
      </c>
      <c r="O61" s="100">
        <v>1759076035</v>
      </c>
      <c r="P61" s="100">
        <v>1759076035</v>
      </c>
      <c r="Q61" s="774"/>
      <c r="R61" s="774"/>
      <c r="S61" s="100"/>
      <c r="T61" s="100"/>
      <c r="U61" s="100"/>
      <c r="V61" s="100"/>
      <c r="W61" s="100"/>
      <c r="X61" s="100" t="s">
        <v>7796</v>
      </c>
      <c r="Y61" s="100"/>
      <c r="Z61" s="35"/>
      <c r="AA61" s="1" t="str">
        <f>IFERROR(VLOOKUP(D:D,[1]Габариты!$A:$I,9,0),"")</f>
        <v>Основной ассортимент</v>
      </c>
      <c r="AB61" s="6" t="str">
        <f>IFERROR(VLOOKUP(D:D,[1]Габариты!$A:$D,4,0),"")</f>
        <v>КОМОДЫ</v>
      </c>
      <c r="AC61" s="39" t="str">
        <f t="shared" si="4"/>
        <v>MK000182501</v>
      </c>
      <c r="AD61" s="13" t="str">
        <f t="shared" si="5"/>
        <v>FBO</v>
      </c>
    </row>
    <row r="62" spans="1:30" s="6" customFormat="1" ht="20.100000000000001" customHeight="1" outlineLevel="1" x14ac:dyDescent="0.25">
      <c r="A62" s="633" t="s">
        <v>4150</v>
      </c>
      <c r="B62" s="29"/>
      <c r="C62" s="13" t="s">
        <v>2582</v>
      </c>
      <c r="D62" s="40" t="s">
        <v>4748</v>
      </c>
      <c r="E62" s="4">
        <v>30</v>
      </c>
      <c r="F62" s="101" t="s">
        <v>6183</v>
      </c>
      <c r="G62" s="57" t="s">
        <v>6338</v>
      </c>
      <c r="H62" s="4" t="s">
        <v>6472</v>
      </c>
      <c r="I62" s="4"/>
      <c r="J62" s="4" t="s">
        <v>7583</v>
      </c>
      <c r="K62" s="54" t="s">
        <v>6183</v>
      </c>
      <c r="L62" s="57">
        <v>1555834148</v>
      </c>
      <c r="M62" s="57">
        <v>1555834148</v>
      </c>
      <c r="N62" s="4" t="s">
        <v>4177</v>
      </c>
      <c r="O62" s="4">
        <v>1580224299</v>
      </c>
      <c r="P62" s="4">
        <v>1580224299</v>
      </c>
      <c r="Q62" s="767"/>
      <c r="R62" s="767"/>
      <c r="S62" s="4"/>
      <c r="T62" s="4"/>
      <c r="U62" s="4"/>
      <c r="V62" s="4"/>
      <c r="W62" s="4"/>
      <c r="X62" s="4" t="s">
        <v>4177</v>
      </c>
      <c r="Y62" s="4" t="s">
        <v>4748</v>
      </c>
      <c r="Z62" s="35"/>
      <c r="AA62" s="1" t="str">
        <f>IFERROR(VLOOKUP(D:D,[1]Габариты!$A:$I,9,0),"")</f>
        <v>Основной ассортимент</v>
      </c>
      <c r="AB62" s="6" t="str">
        <f>IFERROR(VLOOKUP(D:D,[1]Габариты!$A:$D,4,0),"")</f>
        <v>КОМОДЫ</v>
      </c>
      <c r="AC62" s="39" t="str">
        <f t="shared" si="4"/>
        <v>3890.09/01</v>
      </c>
      <c r="AD62" s="13" t="str">
        <f t="shared" si="5"/>
        <v>FBO</v>
      </c>
    </row>
    <row r="63" spans="1:30" s="6" customFormat="1" ht="20.100000000000001" customHeight="1" outlineLevel="1" x14ac:dyDescent="0.25">
      <c r="A63" s="633" t="s">
        <v>4161</v>
      </c>
      <c r="B63" s="21"/>
      <c r="C63" s="13" t="s">
        <v>2582</v>
      </c>
      <c r="D63" s="44" t="s">
        <v>4162</v>
      </c>
      <c r="E63" s="4">
        <v>30</v>
      </c>
      <c r="F63" s="101" t="s">
        <v>4642</v>
      </c>
      <c r="G63" s="57" t="s">
        <v>5148</v>
      </c>
      <c r="H63" s="4" t="s">
        <v>6414</v>
      </c>
      <c r="I63" s="4"/>
      <c r="J63" s="4" t="s">
        <v>7582</v>
      </c>
      <c r="K63" s="54" t="s">
        <v>4642</v>
      </c>
      <c r="L63" s="57">
        <v>1559881435</v>
      </c>
      <c r="M63" s="57">
        <v>1559881435</v>
      </c>
      <c r="N63" s="4" t="s">
        <v>4178</v>
      </c>
      <c r="O63" s="4">
        <v>1581643811</v>
      </c>
      <c r="P63" s="4">
        <v>1581643811</v>
      </c>
      <c r="Q63" s="767"/>
      <c r="R63" s="767"/>
      <c r="S63" s="4"/>
      <c r="T63" s="4"/>
      <c r="U63" s="4"/>
      <c r="V63" s="4"/>
      <c r="W63" s="4"/>
      <c r="X63" s="4" t="s">
        <v>4178</v>
      </c>
      <c r="Y63" s="4" t="s">
        <v>4162</v>
      </c>
      <c r="Z63" s="35"/>
      <c r="AA63" s="1" t="str">
        <f>IFERROR(VLOOKUP(D:D,[1]Габариты!$A:$I,9,0),"")</f>
        <v>Основной ассортимент</v>
      </c>
      <c r="AB63" s="6" t="str">
        <f>IFERROR(VLOOKUP(D:D,[1]Габариты!$A:$D,4,0),"")</f>
        <v>КОМОДЫ</v>
      </c>
      <c r="AC63" s="39" t="str">
        <f t="shared" si="4"/>
        <v>3890.17/01</v>
      </c>
      <c r="AD63" s="13" t="str">
        <f t="shared" si="5"/>
        <v>FBO</v>
      </c>
    </row>
    <row r="64" spans="1:30" s="6" customFormat="1" ht="20.100000000000001" customHeight="1" outlineLevel="1" x14ac:dyDescent="0.25">
      <c r="A64" s="633" t="s">
        <v>4148</v>
      </c>
      <c r="B64" s="21"/>
      <c r="C64" s="13" t="s">
        <v>2582</v>
      </c>
      <c r="D64" s="44" t="s">
        <v>4149</v>
      </c>
      <c r="E64" s="4">
        <v>30</v>
      </c>
      <c r="F64" s="101" t="s">
        <v>4641</v>
      </c>
      <c r="G64" s="57" t="s">
        <v>5149</v>
      </c>
      <c r="H64" s="4" t="s">
        <v>6415</v>
      </c>
      <c r="I64" s="4"/>
      <c r="J64" s="4" t="s">
        <v>7584</v>
      </c>
      <c r="K64" s="54" t="s">
        <v>4641</v>
      </c>
      <c r="L64" s="57">
        <v>1408172785</v>
      </c>
      <c r="M64" s="57">
        <v>1408172785</v>
      </c>
      <c r="N64" s="4" t="s">
        <v>4179</v>
      </c>
      <c r="O64" s="4">
        <v>1581657056</v>
      </c>
      <c r="P64" s="4">
        <v>1581657056</v>
      </c>
      <c r="Q64" s="767"/>
      <c r="R64" s="767"/>
      <c r="S64" s="4"/>
      <c r="T64" s="4"/>
      <c r="U64" s="4"/>
      <c r="V64" s="4"/>
      <c r="W64" s="4"/>
      <c r="X64" s="4" t="s">
        <v>4179</v>
      </c>
      <c r="Y64" s="4" t="s">
        <v>4149</v>
      </c>
      <c r="Z64" s="35"/>
      <c r="AA64" s="1" t="str">
        <f>IFERROR(VLOOKUP(D:D,[1]Габариты!$A:$I,9,0),"")</f>
        <v>Основной ассортимент</v>
      </c>
      <c r="AB64" s="6" t="str">
        <f>IFERROR(VLOOKUP(D:D,[1]Габариты!$A:$D,4,0),"")</f>
        <v>КОМОДЫ</v>
      </c>
      <c r="AC64" s="39" t="str">
        <f t="shared" si="4"/>
        <v>3890.20/01</v>
      </c>
      <c r="AD64" s="13" t="str">
        <f t="shared" si="5"/>
        <v>FBO</v>
      </c>
    </row>
    <row r="65" spans="1:30" s="6" customFormat="1" ht="20.100000000000001" customHeight="1" outlineLevel="1" x14ac:dyDescent="0.25">
      <c r="A65" s="631" t="s">
        <v>4337</v>
      </c>
      <c r="B65" s="29"/>
      <c r="C65" s="13" t="s">
        <v>4050</v>
      </c>
      <c r="D65" s="47" t="s">
        <v>4336</v>
      </c>
      <c r="E65" s="48">
        <v>8</v>
      </c>
      <c r="F65" s="101" t="s">
        <v>4740</v>
      </c>
      <c r="G65" s="57" t="s">
        <v>5725</v>
      </c>
      <c r="H65" s="48" t="s">
        <v>6423</v>
      </c>
      <c r="I65" s="48"/>
      <c r="J65" s="48"/>
      <c r="K65" s="54"/>
      <c r="L65" s="57"/>
      <c r="M65" s="57"/>
      <c r="N65" s="48" t="s">
        <v>4357</v>
      </c>
      <c r="O65" s="48">
        <v>1615381247</v>
      </c>
      <c r="P65" s="48">
        <v>1615381247</v>
      </c>
      <c r="Q65" s="776"/>
      <c r="R65" s="776"/>
      <c r="S65" s="48"/>
      <c r="T65" s="48"/>
      <c r="U65" s="48"/>
      <c r="V65" s="48"/>
      <c r="W65" s="48"/>
      <c r="X65" s="4" t="s">
        <v>4357</v>
      </c>
      <c r="Y65" s="48"/>
      <c r="Z65" s="35"/>
      <c r="AA65" s="1" t="str">
        <f>IFERROR(VLOOKUP(D:D,[1]Габариты!$A:$I,9,0),"")</f>
        <v>Основной ассортимент</v>
      </c>
      <c r="AB65" s="6" t="str">
        <f>IFERROR(VLOOKUP(D:D,[1]Габариты!$A:$D,4,0),"")</f>
        <v>КОМОДЫ</v>
      </c>
      <c r="AC65" s="39" t="str">
        <f t="shared" si="4"/>
        <v>3818.17/01</v>
      </c>
      <c r="AD65" s="13" t="str">
        <f t="shared" si="5"/>
        <v>СКГТ (ОЗОН)</v>
      </c>
    </row>
    <row r="66" spans="1:30" s="6" customFormat="1" ht="20.100000000000001" customHeight="1" outlineLevel="1" x14ac:dyDescent="0.25">
      <c r="A66" s="633" t="s">
        <v>4745</v>
      </c>
      <c r="B66" s="29"/>
      <c r="C66" s="13" t="s">
        <v>4328</v>
      </c>
      <c r="D66" s="40" t="s">
        <v>4750</v>
      </c>
      <c r="E66" s="4">
        <v>12</v>
      </c>
      <c r="F66" s="101" t="s">
        <v>7874</v>
      </c>
      <c r="G66" s="57"/>
      <c r="H66" s="4" t="s">
        <v>6474</v>
      </c>
      <c r="I66" s="4"/>
      <c r="J66" s="4"/>
      <c r="K66" s="54"/>
      <c r="L66" s="57"/>
      <c r="M66" s="57"/>
      <c r="N66" s="4" t="s">
        <v>4753</v>
      </c>
      <c r="O66" s="4">
        <v>1670354499</v>
      </c>
      <c r="P66" s="4">
        <v>1670354499</v>
      </c>
      <c r="Q66" s="767"/>
      <c r="R66" s="767"/>
      <c r="S66" s="4"/>
      <c r="T66" s="4"/>
      <c r="U66" s="4"/>
      <c r="V66" s="4"/>
      <c r="W66" s="4"/>
      <c r="X66" s="4" t="s">
        <v>4753</v>
      </c>
      <c r="Y66" s="4"/>
      <c r="Z66" s="35"/>
      <c r="AA66" s="1" t="str">
        <f>IFERROR(VLOOKUP(D:D,[1]Габариты!$A:$I,9,0),"")</f>
        <v>Основной ассортимент</v>
      </c>
      <c r="AB66" s="6" t="str">
        <f>IFERROR(VLOOKUP(D:D,[1]Габариты!$A:$D,4,0),"")</f>
        <v>КОМОДЫ</v>
      </c>
      <c r="AC66" s="39" t="str">
        <f t="shared" si="4"/>
        <v>3957.17/01</v>
      </c>
      <c r="AD66" s="13" t="str">
        <f t="shared" si="5"/>
        <v>СКГТ</v>
      </c>
    </row>
    <row r="67" spans="1:30" s="6" customFormat="1" ht="20.100000000000001" customHeight="1" outlineLevel="1" x14ac:dyDescent="0.25">
      <c r="A67" s="633" t="s">
        <v>4746</v>
      </c>
      <c r="B67" s="29"/>
      <c r="C67" s="13" t="s">
        <v>4328</v>
      </c>
      <c r="D67" s="40" t="s">
        <v>4751</v>
      </c>
      <c r="E67" s="4">
        <v>14</v>
      </c>
      <c r="F67" s="101" t="s">
        <v>7875</v>
      </c>
      <c r="G67" s="57"/>
      <c r="H67" s="4" t="s">
        <v>6475</v>
      </c>
      <c r="I67" s="4"/>
      <c r="J67" s="4"/>
      <c r="K67" s="54"/>
      <c r="L67" s="57"/>
      <c r="M67" s="57"/>
      <c r="N67" s="4" t="s">
        <v>4754</v>
      </c>
      <c r="O67" s="4">
        <v>1670383227</v>
      </c>
      <c r="P67" s="4">
        <v>1670383227</v>
      </c>
      <c r="Q67" s="767"/>
      <c r="R67" s="767"/>
      <c r="S67" s="4"/>
      <c r="T67" s="4"/>
      <c r="U67" s="4"/>
      <c r="V67" s="4"/>
      <c r="W67" s="4"/>
      <c r="X67" s="4" t="s">
        <v>4754</v>
      </c>
      <c r="Y67" s="4"/>
      <c r="Z67" s="35"/>
      <c r="AA67" s="1" t="str">
        <f>IFERROR(VLOOKUP(D:D,[1]Габариты!$A:$I,9,0),"")</f>
        <v>Основной ассортимент</v>
      </c>
      <c r="AB67" s="6" t="str">
        <f>IFERROR(VLOOKUP(D:D,[1]Габариты!$A:$D,4,0),"")</f>
        <v>КОМОДЫ</v>
      </c>
      <c r="AC67" s="39" t="str">
        <f t="shared" si="4"/>
        <v>3958.17/01</v>
      </c>
      <c r="AD67" s="13" t="str">
        <f t="shared" si="5"/>
        <v>СКГТ</v>
      </c>
    </row>
    <row r="68" spans="1:30" s="6" customFormat="1" ht="20.100000000000001" customHeight="1" outlineLevel="1" x14ac:dyDescent="0.25">
      <c r="A68" s="640" t="s">
        <v>5698</v>
      </c>
      <c r="B68" s="77"/>
      <c r="C68" s="13" t="s">
        <v>2582</v>
      </c>
      <c r="D68" s="79" t="s">
        <v>5697</v>
      </c>
      <c r="E68" s="73">
        <v>30</v>
      </c>
      <c r="F68" s="101" t="s">
        <v>6314</v>
      </c>
      <c r="G68" s="75" t="s">
        <v>5700</v>
      </c>
      <c r="H68" s="73" t="s">
        <v>6613</v>
      </c>
      <c r="I68" s="73"/>
      <c r="J68" s="73"/>
      <c r="K68" s="54" t="s">
        <v>5697</v>
      </c>
      <c r="L68" s="57">
        <v>1383427979</v>
      </c>
      <c r="M68" s="57">
        <v>1383427979</v>
      </c>
      <c r="N68" s="73" t="s">
        <v>7603</v>
      </c>
      <c r="O68" s="73">
        <v>1759011431</v>
      </c>
      <c r="P68" s="73">
        <v>1759011431</v>
      </c>
      <c r="Q68" s="775"/>
      <c r="R68" s="775"/>
      <c r="S68" s="73"/>
      <c r="T68" s="73"/>
      <c r="U68" s="73"/>
      <c r="V68" s="73"/>
      <c r="W68" s="73"/>
      <c r="X68" s="73" t="s">
        <v>7603</v>
      </c>
      <c r="Y68" s="73"/>
      <c r="Z68" s="35"/>
      <c r="AA68" s="1" t="str">
        <f>IFERROR(VLOOKUP(D:D,[1]Габариты!$A:$I,9,0),"")</f>
        <v>Основной ассортимент</v>
      </c>
      <c r="AB68" s="6" t="str">
        <f>IFERROR(VLOOKUP(D:D,[1]Габариты!$A:$D,4,0),"")</f>
        <v>КОМОДЫ</v>
      </c>
      <c r="AC68" s="39" t="str">
        <f t="shared" si="4"/>
        <v>MK00018</v>
      </c>
      <c r="AD68" s="13" t="str">
        <f t="shared" si="5"/>
        <v>FBO</v>
      </c>
    </row>
    <row r="69" spans="1:30" s="6" customFormat="1" ht="20.100000000000001" customHeight="1" outlineLevel="1" x14ac:dyDescent="0.25">
      <c r="A69" s="631" t="s">
        <v>563</v>
      </c>
      <c r="B69" s="29"/>
      <c r="C69" s="13" t="s">
        <v>2581</v>
      </c>
      <c r="D69" s="40">
        <v>3201</v>
      </c>
      <c r="E69" s="4">
        <v>18</v>
      </c>
      <c r="F69" s="101"/>
      <c r="G69" s="57"/>
      <c r="H69" s="4" t="s">
        <v>6381</v>
      </c>
      <c r="I69" s="4" t="s">
        <v>2057</v>
      </c>
      <c r="J69" s="4" t="s">
        <v>1929</v>
      </c>
      <c r="K69" s="54"/>
      <c r="L69" s="57"/>
      <c r="M69" s="57"/>
      <c r="N69" s="4" t="s">
        <v>851</v>
      </c>
      <c r="O69" s="4">
        <v>510424629</v>
      </c>
      <c r="P69" s="4">
        <v>510424628</v>
      </c>
      <c r="Q69" s="767" t="s">
        <v>2715</v>
      </c>
      <c r="R69" s="767">
        <v>956486386</v>
      </c>
      <c r="S69" s="4">
        <v>956486385</v>
      </c>
      <c r="T69" s="4" t="s">
        <v>2990</v>
      </c>
      <c r="U69" s="4">
        <v>955316413</v>
      </c>
      <c r="V69" s="4">
        <v>955316413</v>
      </c>
      <c r="W69" s="4" t="s">
        <v>2159</v>
      </c>
      <c r="X69" s="4" t="s">
        <v>851</v>
      </c>
      <c r="Y69" s="4">
        <v>3201</v>
      </c>
      <c r="Z69" s="35"/>
      <c r="AA69" s="1" t="str">
        <f>IFERROR(VLOOKUP(D:D,[1]Габариты!$A:$I,9,0),"")</f>
        <v>Основной ассортимент</v>
      </c>
      <c r="AB69" s="6" t="str">
        <f>IFERROR(VLOOKUP(D:D,[1]Габариты!$A:$D,4,0),"")</f>
        <v>КОМОДЫ</v>
      </c>
      <c r="AC69" s="39">
        <f t="shared" si="4"/>
        <v>3201</v>
      </c>
      <c r="AD69" s="13" t="str">
        <f t="shared" si="5"/>
        <v>FBS</v>
      </c>
    </row>
    <row r="70" spans="1:30" s="6" customFormat="1" ht="20.100000000000001" customHeight="1" x14ac:dyDescent="0.25">
      <c r="A70" s="631" t="s">
        <v>8128</v>
      </c>
      <c r="B70" s="327"/>
      <c r="C70" s="351" t="s">
        <v>2582</v>
      </c>
      <c r="D70" s="40" t="s">
        <v>8124</v>
      </c>
      <c r="E70" s="4">
        <v>18</v>
      </c>
      <c r="F70" s="330" t="s">
        <v>8120</v>
      </c>
      <c r="G70" s="331" t="s">
        <v>8126</v>
      </c>
      <c r="H70" s="329"/>
      <c r="I70" s="329"/>
      <c r="J70" s="329"/>
      <c r="K70" s="54" t="s">
        <v>8120</v>
      </c>
      <c r="L70" s="331">
        <v>1835423589</v>
      </c>
      <c r="M70" s="331">
        <v>1835423589</v>
      </c>
      <c r="N70" s="777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AA70" s="1" t="str">
        <f>IFERROR(VLOOKUP(D:D,[1]Габариты!$A:$I,9,0),"")</f>
        <v>Основной ассортимент</v>
      </c>
      <c r="AB70" s="6" t="str">
        <f>IFERROR(VLOOKUP(D:D,[1]Габариты!$A:$D,4,0),"")</f>
        <v>КОМОДЫ</v>
      </c>
      <c r="AC70" s="39" t="str">
        <f t="shared" si="4"/>
        <v>MK1852501</v>
      </c>
      <c r="AD70" s="13" t="str">
        <f t="shared" si="5"/>
        <v>FBO</v>
      </c>
    </row>
    <row r="71" spans="1:30" s="6" customFormat="1" ht="20.100000000000001" customHeight="1" x14ac:dyDescent="0.25">
      <c r="A71" s="631" t="s">
        <v>5861</v>
      </c>
      <c r="B71" s="76"/>
      <c r="C71" s="351" t="s">
        <v>2582</v>
      </c>
      <c r="D71" s="40" t="s">
        <v>5746</v>
      </c>
      <c r="E71" s="4">
        <v>18</v>
      </c>
      <c r="F71" s="101" t="s">
        <v>7749</v>
      </c>
      <c r="G71" s="75" t="s">
        <v>5817</v>
      </c>
      <c r="H71" s="4" t="s">
        <v>5817</v>
      </c>
      <c r="I71" s="73"/>
      <c r="J71" s="73"/>
      <c r="K71" s="54" t="s">
        <v>7749</v>
      </c>
      <c r="L71" s="57">
        <v>1349801164</v>
      </c>
      <c r="M71" s="57">
        <v>1349801164</v>
      </c>
      <c r="N71" s="769" t="s">
        <v>8327</v>
      </c>
      <c r="O71" s="73"/>
      <c r="P71" s="73"/>
      <c r="Q71" s="73"/>
      <c r="R71" s="73"/>
      <c r="S71" s="73"/>
      <c r="T71" s="73"/>
      <c r="U71" s="73"/>
      <c r="V71" s="73"/>
      <c r="W71" s="73"/>
      <c r="X71" s="73" t="s">
        <v>8327</v>
      </c>
      <c r="Y71" s="73"/>
      <c r="Z71" s="67"/>
      <c r="AA71" s="1" t="str">
        <f>IFERROR(VLOOKUP(D:D,[1]Габариты!$A:$I,9,0),"")</f>
        <v>Основной ассортимент</v>
      </c>
      <c r="AB71" s="6" t="str">
        <f>IFERROR(VLOOKUP(D:D,[1]Габариты!$A:$D,4,0),"")</f>
        <v>КОМОДЫ</v>
      </c>
      <c r="AC71" s="39" t="str">
        <f t="shared" si="4"/>
        <v>MK1852001</v>
      </c>
      <c r="AD71" s="13" t="str">
        <f t="shared" si="5"/>
        <v>FBO</v>
      </c>
    </row>
    <row r="72" spans="1:30" s="6" customFormat="1" ht="20.100000000000001" customHeight="1" x14ac:dyDescent="0.25">
      <c r="A72" s="631" t="s">
        <v>5899</v>
      </c>
      <c r="B72" s="76"/>
      <c r="C72" s="13" t="s">
        <v>2582</v>
      </c>
      <c r="D72" s="40" t="s">
        <v>5743</v>
      </c>
      <c r="E72" s="4">
        <v>18</v>
      </c>
      <c r="F72" s="101" t="s">
        <v>7747</v>
      </c>
      <c r="G72" s="75" t="s">
        <v>5814</v>
      </c>
      <c r="H72" s="4" t="s">
        <v>5814</v>
      </c>
      <c r="I72" s="73"/>
      <c r="J72" s="73"/>
      <c r="K72" s="54" t="s">
        <v>7747</v>
      </c>
      <c r="L72" s="57">
        <v>1320895604</v>
      </c>
      <c r="M72" s="57">
        <v>1320895604</v>
      </c>
      <c r="N72" s="769" t="s">
        <v>8362</v>
      </c>
      <c r="O72" s="73"/>
      <c r="P72" s="73"/>
      <c r="Q72" s="73"/>
      <c r="R72" s="73"/>
      <c r="S72" s="73"/>
      <c r="T72" s="73"/>
      <c r="U72" s="73"/>
      <c r="V72" s="73"/>
      <c r="W72" s="73"/>
      <c r="X72" s="73" t="s">
        <v>8362</v>
      </c>
      <c r="Y72" s="73"/>
      <c r="Z72" s="67"/>
      <c r="AA72" s="1" t="str">
        <f>IFERROR(VLOOKUP(D:D,[1]Габариты!$A:$I,9,0),"")</f>
        <v>Основной ассортимент</v>
      </c>
      <c r="AB72" s="6" t="str">
        <f>IFERROR(VLOOKUP(D:D,[1]Габариты!$A:$D,4,0),"")</f>
        <v>КОМОДЫ</v>
      </c>
      <c r="AC72" s="39" t="str">
        <f t="shared" si="4"/>
        <v>MK1830101</v>
      </c>
      <c r="AD72" s="13" t="str">
        <f t="shared" si="5"/>
        <v>FBO</v>
      </c>
    </row>
    <row r="73" spans="1:30" s="6" customFormat="1" ht="20.100000000000001" customHeight="1" x14ac:dyDescent="0.25">
      <c r="A73" s="631" t="s">
        <v>5898</v>
      </c>
      <c r="B73" s="76"/>
      <c r="C73" s="351" t="s">
        <v>2582</v>
      </c>
      <c r="D73" s="40" t="s">
        <v>5745</v>
      </c>
      <c r="E73" s="4">
        <v>18</v>
      </c>
      <c r="F73" s="101" t="s">
        <v>6291</v>
      </c>
      <c r="G73" s="75" t="s">
        <v>5816</v>
      </c>
      <c r="H73" s="4" t="s">
        <v>5816</v>
      </c>
      <c r="I73" s="73"/>
      <c r="J73" s="73"/>
      <c r="K73" s="54" t="s">
        <v>6291</v>
      </c>
      <c r="L73" s="57">
        <v>1417037199</v>
      </c>
      <c r="M73" s="57">
        <v>1417037199</v>
      </c>
      <c r="N73" s="771" t="s">
        <v>8432</v>
      </c>
      <c r="O73" s="73">
        <v>1911985606</v>
      </c>
      <c r="P73" s="73">
        <v>1911985606</v>
      </c>
      <c r="Q73" s="73"/>
      <c r="R73" s="73"/>
      <c r="S73" s="73"/>
      <c r="T73" s="73"/>
      <c r="U73" s="73"/>
      <c r="V73" s="73"/>
      <c r="W73" s="73"/>
      <c r="X73" s="73" t="s">
        <v>8432</v>
      </c>
      <c r="Y73" s="73"/>
      <c r="Z73" s="67"/>
      <c r="AA73" s="1" t="str">
        <f>IFERROR(VLOOKUP(D:D,[1]Габариты!$A:$I,9,0),"")</f>
        <v>Основной ассортимент</v>
      </c>
      <c r="AB73" s="6" t="str">
        <f>IFERROR(VLOOKUP(D:D,[1]Габариты!$A:$D,4,0),"")</f>
        <v>КОМОДЫ</v>
      </c>
      <c r="AC73" s="39" t="str">
        <f t="shared" si="4"/>
        <v>MK1850101</v>
      </c>
      <c r="AD73" s="13" t="str">
        <f t="shared" si="5"/>
        <v>FBO</v>
      </c>
    </row>
    <row r="74" spans="1:30" s="6" customFormat="1" ht="20.100000000000001" customHeight="1" outlineLevel="1" x14ac:dyDescent="0.25">
      <c r="A74" s="631" t="s">
        <v>3366</v>
      </c>
      <c r="B74" s="29"/>
      <c r="C74" s="13" t="s">
        <v>2582</v>
      </c>
      <c r="D74" s="40">
        <v>4030</v>
      </c>
      <c r="E74" s="4">
        <v>21</v>
      </c>
      <c r="F74" s="101"/>
      <c r="G74" s="57"/>
      <c r="H74" s="4" t="s">
        <v>6394</v>
      </c>
      <c r="I74" s="4" t="s">
        <v>3514</v>
      </c>
      <c r="J74" s="4" t="s">
        <v>3638</v>
      </c>
      <c r="K74" s="54"/>
      <c r="L74" s="57"/>
      <c r="M74" s="57"/>
      <c r="N74" s="4" t="s">
        <v>3459</v>
      </c>
      <c r="O74" s="4">
        <v>1042767739</v>
      </c>
      <c r="P74" s="4">
        <v>1042767740</v>
      </c>
      <c r="Q74" s="767" t="s">
        <v>3524</v>
      </c>
      <c r="R74" s="767">
        <v>1052799655</v>
      </c>
      <c r="S74" s="4">
        <v>1052799656</v>
      </c>
      <c r="T74" s="4" t="s">
        <v>3536</v>
      </c>
      <c r="U74" s="4">
        <v>1052812430</v>
      </c>
      <c r="V74" s="4">
        <v>1052812430</v>
      </c>
      <c r="W74" s="4"/>
      <c r="X74" s="4" t="s">
        <v>3459</v>
      </c>
      <c r="Y74" s="4">
        <v>4030</v>
      </c>
      <c r="Z74" s="35"/>
      <c r="AA74" s="1" t="str">
        <f>IFERROR(VLOOKUP(D:D,[1]Габариты!$A:$I,9,0),"")</f>
        <v>Основной ассортимент</v>
      </c>
      <c r="AB74" s="6" t="str">
        <f>IFERROR(VLOOKUP(D:D,[1]Габариты!$A:$D,4,0),"")</f>
        <v>КОМОДЫ</v>
      </c>
      <c r="AC74" s="39">
        <f t="shared" si="4"/>
        <v>4030</v>
      </c>
      <c r="AD74" s="13" t="str">
        <f t="shared" si="5"/>
        <v>FBO</v>
      </c>
    </row>
    <row r="75" spans="1:30" s="6" customFormat="1" ht="20.100000000000001" customHeight="1" outlineLevel="1" x14ac:dyDescent="0.25">
      <c r="A75" s="631" t="s">
        <v>8693</v>
      </c>
      <c r="B75" s="29"/>
      <c r="C75" s="13" t="s">
        <v>2582</v>
      </c>
      <c r="D75" s="578">
        <v>4117</v>
      </c>
      <c r="E75" s="573">
        <v>24</v>
      </c>
      <c r="F75" s="574"/>
      <c r="G75" s="575"/>
      <c r="H75" s="573" t="s">
        <v>8696</v>
      </c>
      <c r="I75" s="573"/>
      <c r="J75" s="573"/>
      <c r="K75" s="574"/>
      <c r="L75" s="575"/>
      <c r="M75" s="575"/>
      <c r="N75" s="573" t="s">
        <v>8704</v>
      </c>
      <c r="O75" s="573">
        <v>2229205146</v>
      </c>
      <c r="P75" s="573">
        <v>2229205146</v>
      </c>
      <c r="Q75" s="778"/>
      <c r="R75" s="778"/>
      <c r="S75" s="573"/>
      <c r="T75" s="573"/>
      <c r="U75" s="573"/>
      <c r="V75" s="573"/>
      <c r="W75" s="573"/>
      <c r="X75" s="573" t="s">
        <v>8704</v>
      </c>
      <c r="Y75" s="573"/>
      <c r="Z75" s="35"/>
      <c r="AA75" s="1" t="str">
        <f>IFERROR(VLOOKUP(D:D,[1]Габариты!$A:$I,9,0),"")</f>
        <v>Основной ассортимент</v>
      </c>
      <c r="AB75" s="6" t="str">
        <f>IFERROR(VLOOKUP(D:D,[1]Габариты!$A:$D,4,0),"")</f>
        <v>КОМОДЫ</v>
      </c>
      <c r="AC75" s="39">
        <f t="shared" ref="AC75:AC78" si="6">D75</f>
        <v>4117</v>
      </c>
      <c r="AD75" s="13" t="str">
        <f t="shared" ref="AD75:AD78" si="7">C75</f>
        <v>FBO</v>
      </c>
    </row>
    <row r="76" spans="1:30" s="6" customFormat="1" ht="20.100000000000001" customHeight="1" outlineLevel="1" x14ac:dyDescent="0.25">
      <c r="A76" s="631" t="s">
        <v>8694</v>
      </c>
      <c r="B76" s="29"/>
      <c r="C76" s="571" t="s">
        <v>2582</v>
      </c>
      <c r="D76" s="578">
        <v>41142</v>
      </c>
      <c r="E76" s="573">
        <v>24</v>
      </c>
      <c r="F76" s="574"/>
      <c r="G76" s="575"/>
      <c r="H76" s="573" t="s">
        <v>8697</v>
      </c>
      <c r="I76" s="573"/>
      <c r="J76" s="573"/>
      <c r="K76" s="574"/>
      <c r="L76" s="575"/>
      <c r="M76" s="575"/>
      <c r="N76" s="573" t="s">
        <v>8705</v>
      </c>
      <c r="O76" s="573">
        <v>2229242415</v>
      </c>
      <c r="P76" s="573">
        <v>2229242415</v>
      </c>
      <c r="Q76" s="778"/>
      <c r="R76" s="778"/>
      <c r="S76" s="573"/>
      <c r="T76" s="573"/>
      <c r="U76" s="573"/>
      <c r="V76" s="573"/>
      <c r="W76" s="573"/>
      <c r="X76" s="573" t="s">
        <v>8705</v>
      </c>
      <c r="Y76" s="573"/>
      <c r="Z76" s="35"/>
      <c r="AA76" s="1" t="str">
        <f>IFERROR(VLOOKUP(D:D,[1]Габариты!$A:$I,9,0),"")</f>
        <v>Основной ассортимент</v>
      </c>
      <c r="AB76" s="6" t="str">
        <f>IFERROR(VLOOKUP(D:D,[1]Габариты!$A:$D,4,0),"")</f>
        <v>КОМОДЫ</v>
      </c>
      <c r="AC76" s="39">
        <f t="shared" si="6"/>
        <v>41142</v>
      </c>
      <c r="AD76" s="13" t="str">
        <f t="shared" si="7"/>
        <v>FBO</v>
      </c>
    </row>
    <row r="77" spans="1:30" s="6" customFormat="1" ht="20.100000000000001" customHeight="1" outlineLevel="1" x14ac:dyDescent="0.25">
      <c r="A77" s="631" t="s">
        <v>8828</v>
      </c>
      <c r="B77" s="29"/>
      <c r="C77" s="571" t="s">
        <v>2582</v>
      </c>
      <c r="D77" s="896">
        <v>41149</v>
      </c>
      <c r="E77" s="573">
        <v>24</v>
      </c>
      <c r="F77" s="898"/>
      <c r="G77" s="899"/>
      <c r="H77" s="897" t="s">
        <v>8827</v>
      </c>
      <c r="I77" s="897"/>
      <c r="J77" s="897"/>
      <c r="K77" s="898"/>
      <c r="L77" s="899"/>
      <c r="M77" s="899"/>
      <c r="N77" s="897"/>
      <c r="O77" s="897"/>
      <c r="P77" s="897"/>
      <c r="Q77" s="900"/>
      <c r="R77" s="900"/>
      <c r="S77" s="897"/>
      <c r="T77" s="897"/>
      <c r="U77" s="897"/>
      <c r="V77" s="897"/>
      <c r="W77" s="897"/>
      <c r="X77" s="897" t="s">
        <v>8843</v>
      </c>
      <c r="Y77" s="897"/>
      <c r="Z77" s="35"/>
      <c r="AA77" s="1" t="str">
        <f>IFERROR(VLOOKUP(D:D,[1]Габариты!$A:$I,9,0),"")</f>
        <v>Основной ассортимент</v>
      </c>
      <c r="AB77" s="6" t="str">
        <f>IFERROR(VLOOKUP(D:D,[1]Габариты!$A:$D,4,0),"")</f>
        <v>КОМОДЫ</v>
      </c>
      <c r="AC77" s="39">
        <f t="shared" ref="AC77" si="8">D77</f>
        <v>41149</v>
      </c>
      <c r="AD77" s="13" t="str">
        <f t="shared" ref="AD77" si="9">C77</f>
        <v>FBO</v>
      </c>
    </row>
    <row r="78" spans="1:30" s="6" customFormat="1" ht="20.100000000000001" customHeight="1" outlineLevel="1" x14ac:dyDescent="0.25">
      <c r="A78" s="631" t="s">
        <v>8695</v>
      </c>
      <c r="B78" s="29"/>
      <c r="C78" s="571" t="s">
        <v>2582</v>
      </c>
      <c r="D78" s="578">
        <v>4115</v>
      </c>
      <c r="E78" s="573">
        <v>24</v>
      </c>
      <c r="F78" s="574"/>
      <c r="G78" s="575"/>
      <c r="H78" s="573" t="s">
        <v>8698</v>
      </c>
      <c r="I78" s="573"/>
      <c r="J78" s="573"/>
      <c r="K78" s="574"/>
      <c r="L78" s="575"/>
      <c r="M78" s="575"/>
      <c r="N78" s="573" t="s">
        <v>8706</v>
      </c>
      <c r="O78" s="573">
        <v>2229259090</v>
      </c>
      <c r="P78" s="573">
        <v>2229259090</v>
      </c>
      <c r="Q78" s="778"/>
      <c r="R78" s="778"/>
      <c r="S78" s="573"/>
      <c r="T78" s="573"/>
      <c r="U78" s="573"/>
      <c r="V78" s="573"/>
      <c r="W78" s="573"/>
      <c r="X78" s="573"/>
      <c r="Y78" s="573"/>
      <c r="Z78" s="35"/>
      <c r="AA78" s="1" t="str">
        <f>IFERROR(VLOOKUP(D:D,[1]Габариты!$A:$I,9,0),"")</f>
        <v>Основной ассортимент</v>
      </c>
      <c r="AB78" s="6" t="str">
        <f>IFERROR(VLOOKUP(D:D,[1]Габариты!$A:$D,4,0),"")</f>
        <v>КОМОДЫ</v>
      </c>
      <c r="AC78" s="39">
        <f t="shared" si="6"/>
        <v>4115</v>
      </c>
      <c r="AD78" s="13" t="str">
        <f t="shared" si="7"/>
        <v>FBO</v>
      </c>
    </row>
    <row r="79" spans="1:30" s="6" customFormat="1" ht="20.100000000000001" customHeight="1" outlineLevel="1" x14ac:dyDescent="0.25">
      <c r="A79" s="635" t="s">
        <v>1458</v>
      </c>
      <c r="B79" s="25"/>
      <c r="C79" s="13" t="s">
        <v>2582</v>
      </c>
      <c r="D79" s="39">
        <v>135531</v>
      </c>
      <c r="E79" s="4">
        <v>18</v>
      </c>
      <c r="F79" s="101">
        <v>135531</v>
      </c>
      <c r="G79" s="57"/>
      <c r="H79" s="4" t="s">
        <v>6430</v>
      </c>
      <c r="I79" s="4" t="s">
        <v>1179</v>
      </c>
      <c r="J79" s="4" t="s">
        <v>1833</v>
      </c>
      <c r="K79" s="54"/>
      <c r="L79" s="57"/>
      <c r="M79" s="57"/>
      <c r="N79" s="4" t="s">
        <v>787</v>
      </c>
      <c r="O79" s="4">
        <v>367952063</v>
      </c>
      <c r="P79" s="4">
        <v>367952061</v>
      </c>
      <c r="Q79" s="767" t="s">
        <v>2706</v>
      </c>
      <c r="R79" s="767">
        <v>367873215</v>
      </c>
      <c r="S79" s="4">
        <v>367873216</v>
      </c>
      <c r="T79" s="4" t="s">
        <v>2982</v>
      </c>
      <c r="U79" s="4">
        <v>893742331</v>
      </c>
      <c r="V79" s="4">
        <v>893742331</v>
      </c>
      <c r="W79" s="4" t="s">
        <v>2134</v>
      </c>
      <c r="X79" s="4" t="s">
        <v>787</v>
      </c>
      <c r="Y79" s="4">
        <v>135531</v>
      </c>
      <c r="Z79" s="35"/>
      <c r="AA79" s="1" t="str">
        <f>IFERROR(VLOOKUP(D:D,[1]Габариты!$A:$I,9,0),"")</f>
        <v>Основной ассортимент</v>
      </c>
      <c r="AB79" s="6" t="str">
        <f>IFERROR(VLOOKUP(D:D,[1]Габариты!$A:$D,4,0),"")</f>
        <v>КОМОДЫ</v>
      </c>
      <c r="AC79" s="39">
        <f t="shared" ref="AC79:AC115" si="10">D79</f>
        <v>135531</v>
      </c>
      <c r="AD79" s="13" t="str">
        <f t="shared" ref="AD79:AD90" si="11">C79</f>
        <v>FBO</v>
      </c>
    </row>
    <row r="80" spans="1:30" s="6" customFormat="1" ht="20.100000000000001" customHeight="1" outlineLevel="1" x14ac:dyDescent="0.25">
      <c r="A80" s="635" t="s">
        <v>1459</v>
      </c>
      <c r="B80" s="25"/>
      <c r="C80" s="13" t="s">
        <v>2582</v>
      </c>
      <c r="D80" s="39">
        <v>135532</v>
      </c>
      <c r="E80" s="4">
        <v>18</v>
      </c>
      <c r="F80" s="101">
        <v>135532</v>
      </c>
      <c r="G80" s="57"/>
      <c r="H80" s="4" t="s">
        <v>6431</v>
      </c>
      <c r="I80" s="4" t="s">
        <v>1180</v>
      </c>
      <c r="J80" s="4" t="s">
        <v>1834</v>
      </c>
      <c r="K80" s="54"/>
      <c r="L80" s="57"/>
      <c r="M80" s="57"/>
      <c r="N80" s="4" t="s">
        <v>788</v>
      </c>
      <c r="O80" s="4">
        <v>393355176</v>
      </c>
      <c r="P80" s="4">
        <v>393355175</v>
      </c>
      <c r="Q80" s="767" t="s">
        <v>2707</v>
      </c>
      <c r="R80" s="767">
        <v>837909224</v>
      </c>
      <c r="S80" s="4">
        <v>837909225</v>
      </c>
      <c r="T80" s="4" t="s">
        <v>2983</v>
      </c>
      <c r="U80" s="4">
        <v>892425461</v>
      </c>
      <c r="V80" s="4">
        <v>892425461</v>
      </c>
      <c r="W80" s="4" t="s">
        <v>2135</v>
      </c>
      <c r="X80" s="4" t="s">
        <v>788</v>
      </c>
      <c r="Y80" s="4">
        <v>135532</v>
      </c>
      <c r="Z80" s="35"/>
      <c r="AA80" s="1" t="str">
        <f>IFERROR(VLOOKUP(D:D,[1]Габариты!$A:$I,9,0),"")</f>
        <v>Основной ассортимент</v>
      </c>
      <c r="AB80" s="6" t="str">
        <f>IFERROR(VLOOKUP(D:D,[1]Габариты!$A:$D,4,0),"")</f>
        <v>КОМОДЫ</v>
      </c>
      <c r="AC80" s="39">
        <f>D80</f>
        <v>135532</v>
      </c>
      <c r="AD80" s="13" t="str">
        <f>C80</f>
        <v>FBO</v>
      </c>
    </row>
    <row r="81" spans="1:30" s="6" customFormat="1" ht="20.100000000000001" customHeight="1" outlineLevel="1" x14ac:dyDescent="0.25">
      <c r="A81" s="635" t="s">
        <v>1460</v>
      </c>
      <c r="B81" s="25"/>
      <c r="C81" s="13" t="s">
        <v>2582</v>
      </c>
      <c r="D81" s="39">
        <v>135533</v>
      </c>
      <c r="E81" s="4">
        <v>18</v>
      </c>
      <c r="F81" s="101">
        <v>135533</v>
      </c>
      <c r="G81" s="57"/>
      <c r="H81" s="4" t="s">
        <v>6432</v>
      </c>
      <c r="I81" s="4" t="s">
        <v>1181</v>
      </c>
      <c r="J81" s="4" t="s">
        <v>1835</v>
      </c>
      <c r="K81" s="54"/>
      <c r="L81" s="57"/>
      <c r="M81" s="57"/>
      <c r="N81" s="4" t="s">
        <v>789</v>
      </c>
      <c r="O81" s="4">
        <v>390866095</v>
      </c>
      <c r="P81" s="4">
        <v>390866096</v>
      </c>
      <c r="Q81" s="767" t="s">
        <v>2708</v>
      </c>
      <c r="R81" s="767">
        <v>837911995</v>
      </c>
      <c r="S81" s="4">
        <v>837911995</v>
      </c>
      <c r="T81" s="4" t="s">
        <v>2984</v>
      </c>
      <c r="U81" s="4">
        <v>893559687</v>
      </c>
      <c r="V81" s="4">
        <v>893559687</v>
      </c>
      <c r="W81" s="4" t="s">
        <v>2136</v>
      </c>
      <c r="X81" s="4" t="s">
        <v>789</v>
      </c>
      <c r="Y81" s="4">
        <v>135533</v>
      </c>
      <c r="Z81" s="35"/>
      <c r="AA81" s="1" t="str">
        <f>IFERROR(VLOOKUP(D:D,[1]Габариты!$A:$I,9,0),"")</f>
        <v>Основной ассортимент</v>
      </c>
      <c r="AB81" s="6" t="str">
        <f>IFERROR(VLOOKUP(D:D,[1]Габариты!$A:$D,4,0),"")</f>
        <v>КОМОДЫ</v>
      </c>
      <c r="AC81" s="39">
        <f>D81</f>
        <v>135533</v>
      </c>
      <c r="AD81" s="13" t="str">
        <f>C81</f>
        <v>FBO</v>
      </c>
    </row>
    <row r="82" spans="1:30" s="6" customFormat="1" ht="20.100000000000001" customHeight="1" outlineLevel="1" x14ac:dyDescent="0.25">
      <c r="A82" s="635" t="s">
        <v>1461</v>
      </c>
      <c r="B82" s="25"/>
      <c r="C82" s="13" t="s">
        <v>2582</v>
      </c>
      <c r="D82" s="39">
        <v>135534</v>
      </c>
      <c r="E82" s="4">
        <v>18</v>
      </c>
      <c r="F82" s="101">
        <v>135534</v>
      </c>
      <c r="G82" s="57"/>
      <c r="H82" s="4" t="s">
        <v>6433</v>
      </c>
      <c r="I82" s="4" t="s">
        <v>1188</v>
      </c>
      <c r="J82" s="4" t="s">
        <v>1836</v>
      </c>
      <c r="K82" s="54"/>
      <c r="L82" s="57"/>
      <c r="M82" s="57"/>
      <c r="N82" s="4" t="s">
        <v>790</v>
      </c>
      <c r="O82" s="4">
        <v>468978456</v>
      </c>
      <c r="P82" s="4">
        <v>468978457</v>
      </c>
      <c r="Q82" s="767" t="s">
        <v>2709</v>
      </c>
      <c r="R82" s="767">
        <v>837915571</v>
      </c>
      <c r="S82" s="4">
        <v>837915569</v>
      </c>
      <c r="T82" s="4" t="s">
        <v>2985</v>
      </c>
      <c r="U82" s="4">
        <v>893548725</v>
      </c>
      <c r="V82" s="4">
        <v>893548725</v>
      </c>
      <c r="W82" s="4" t="s">
        <v>2137</v>
      </c>
      <c r="X82" s="4" t="s">
        <v>790</v>
      </c>
      <c r="Y82" s="4">
        <v>135534</v>
      </c>
      <c r="Z82" s="35"/>
      <c r="AA82" s="1" t="str">
        <f>IFERROR(VLOOKUP(D:D,[1]Габариты!$A:$I,9,0),"")</f>
        <v>Основной ассортимент</v>
      </c>
      <c r="AB82" s="6" t="str">
        <f>IFERROR(VLOOKUP(D:D,[1]Габариты!$A:$D,4,0),"")</f>
        <v>КОМОДЫ</v>
      </c>
      <c r="AC82" s="39">
        <f>D82</f>
        <v>135534</v>
      </c>
      <c r="AD82" s="13" t="str">
        <f>C82</f>
        <v>FBO</v>
      </c>
    </row>
    <row r="83" spans="1:30" s="6" customFormat="1" ht="20.100000000000001" customHeight="1" outlineLevel="1" x14ac:dyDescent="0.25">
      <c r="A83" s="635" t="s">
        <v>1462</v>
      </c>
      <c r="B83" s="25"/>
      <c r="C83" s="13" t="s">
        <v>2582</v>
      </c>
      <c r="D83" s="39">
        <v>135535</v>
      </c>
      <c r="E83" s="4">
        <v>18</v>
      </c>
      <c r="F83" s="101">
        <v>135535</v>
      </c>
      <c r="G83" s="57"/>
      <c r="H83" s="4" t="s">
        <v>6434</v>
      </c>
      <c r="I83" s="4" t="s">
        <v>1189</v>
      </c>
      <c r="J83" s="4" t="s">
        <v>1837</v>
      </c>
      <c r="K83" s="54"/>
      <c r="L83" s="57"/>
      <c r="M83" s="57"/>
      <c r="N83" s="4" t="s">
        <v>791</v>
      </c>
      <c r="O83" s="4">
        <v>468978890</v>
      </c>
      <c r="P83" s="4">
        <v>468978889</v>
      </c>
      <c r="Q83" s="767" t="s">
        <v>2710</v>
      </c>
      <c r="R83" s="767">
        <v>837922380</v>
      </c>
      <c r="S83" s="4">
        <v>837922381</v>
      </c>
      <c r="T83" s="4" t="s">
        <v>2986</v>
      </c>
      <c r="U83" s="4">
        <v>893664096</v>
      </c>
      <c r="V83" s="4">
        <v>893664096</v>
      </c>
      <c r="W83" s="4" t="s">
        <v>2138</v>
      </c>
      <c r="X83" s="4" t="s">
        <v>791</v>
      </c>
      <c r="Y83" s="4" t="s">
        <v>4066</v>
      </c>
      <c r="Z83" s="35"/>
      <c r="AA83" s="1" t="str">
        <f>IFERROR(VLOOKUP(D:D,[1]Габариты!$A:$I,9,0),"")</f>
        <v>Основной ассортимент</v>
      </c>
      <c r="AB83" s="6" t="str">
        <f>IFERROR(VLOOKUP(D:D,[1]Габариты!$A:$D,4,0),"")</f>
        <v>КОМОДЫ</v>
      </c>
      <c r="AC83" s="39">
        <f t="shared" si="10"/>
        <v>135535</v>
      </c>
      <c r="AD83" s="13" t="str">
        <f t="shared" si="11"/>
        <v>FBO</v>
      </c>
    </row>
    <row r="84" spans="1:30" s="6" customFormat="1" ht="20.100000000000001" customHeight="1" outlineLevel="1" x14ac:dyDescent="0.25">
      <c r="A84" s="631" t="s">
        <v>1679</v>
      </c>
      <c r="B84" s="29"/>
      <c r="C84" s="13" t="s">
        <v>2582</v>
      </c>
      <c r="D84" s="40">
        <v>135542</v>
      </c>
      <c r="E84" s="4">
        <v>19</v>
      </c>
      <c r="F84" s="101"/>
      <c r="G84" s="57"/>
      <c r="H84" s="4" t="s">
        <v>6437</v>
      </c>
      <c r="I84" s="4" t="s">
        <v>2085</v>
      </c>
      <c r="J84" s="4" t="s">
        <v>1841</v>
      </c>
      <c r="K84" s="54"/>
      <c r="L84" s="57"/>
      <c r="M84" s="57"/>
      <c r="N84" s="4" t="s">
        <v>1691</v>
      </c>
      <c r="O84" s="4">
        <v>828650163</v>
      </c>
      <c r="P84" s="4">
        <v>828650164</v>
      </c>
      <c r="Q84" s="767" t="s">
        <v>3391</v>
      </c>
      <c r="R84" s="767">
        <v>956486347</v>
      </c>
      <c r="S84" s="4">
        <v>956486351</v>
      </c>
      <c r="T84" s="4" t="s">
        <v>3003</v>
      </c>
      <c r="U84" s="4">
        <v>893573034</v>
      </c>
      <c r="V84" s="4">
        <v>893573034</v>
      </c>
      <c r="W84" s="4"/>
      <c r="X84" s="4" t="s">
        <v>1691</v>
      </c>
      <c r="Y84" s="4">
        <v>135542</v>
      </c>
      <c r="Z84" s="35"/>
      <c r="AA84" s="1" t="str">
        <f>IFERROR(VLOOKUP(D:D,[1]Габариты!$A:$I,9,0),"")</f>
        <v>Основной ассортимент</v>
      </c>
      <c r="AB84" s="6" t="str">
        <f>IFERROR(VLOOKUP(D:D,[1]Габариты!$A:$D,4,0),"")</f>
        <v>КОМОДЫ</v>
      </c>
      <c r="AC84" s="39">
        <f>D84</f>
        <v>135542</v>
      </c>
      <c r="AD84" s="13" t="str">
        <f>C84</f>
        <v>FBO</v>
      </c>
    </row>
    <row r="85" spans="1:30" s="6" customFormat="1" ht="20.100000000000001" customHeight="1" outlineLevel="1" x14ac:dyDescent="0.25">
      <c r="A85" s="631" t="s">
        <v>1680</v>
      </c>
      <c r="B85" s="29"/>
      <c r="C85" s="13" t="s">
        <v>2582</v>
      </c>
      <c r="D85" s="40">
        <v>135543</v>
      </c>
      <c r="E85" s="4">
        <v>19</v>
      </c>
      <c r="F85" s="101">
        <v>135543</v>
      </c>
      <c r="G85" s="57"/>
      <c r="H85" s="4" t="s">
        <v>6438</v>
      </c>
      <c r="I85" s="4" t="s">
        <v>2502</v>
      </c>
      <c r="J85" s="4" t="s">
        <v>7763</v>
      </c>
      <c r="K85" s="54"/>
      <c r="L85" s="57"/>
      <c r="M85" s="57"/>
      <c r="N85" s="4" t="s">
        <v>1692</v>
      </c>
      <c r="O85" s="4">
        <v>828661741</v>
      </c>
      <c r="P85" s="4">
        <v>828661742</v>
      </c>
      <c r="Q85" s="767" t="s">
        <v>2720</v>
      </c>
      <c r="R85" s="767">
        <v>956487183</v>
      </c>
      <c r="S85" s="4">
        <v>956487184</v>
      </c>
      <c r="T85" s="4" t="s">
        <v>3004</v>
      </c>
      <c r="U85" s="4">
        <v>893757003</v>
      </c>
      <c r="V85" s="4">
        <v>893757003</v>
      </c>
      <c r="W85" s="4"/>
      <c r="X85" s="4" t="s">
        <v>1692</v>
      </c>
      <c r="Y85" s="4">
        <v>135543</v>
      </c>
      <c r="Z85" s="35"/>
      <c r="AA85" s="1" t="str">
        <f>IFERROR(VLOOKUP(D:D,[1]Габариты!$A:$I,9,0),"")</f>
        <v>Основной ассортимент</v>
      </c>
      <c r="AB85" s="6" t="str">
        <f>IFERROR(VLOOKUP(D:D,[1]Габариты!$A:$D,4,0),"")</f>
        <v>КОМОДЫ</v>
      </c>
      <c r="AC85" s="39">
        <f>D85</f>
        <v>135543</v>
      </c>
      <c r="AD85" s="13" t="str">
        <f>C85</f>
        <v>FBO</v>
      </c>
    </row>
    <row r="86" spans="1:30" s="6" customFormat="1" ht="20.100000000000001" customHeight="1" outlineLevel="1" x14ac:dyDescent="0.25">
      <c r="A86" s="631" t="s">
        <v>3170</v>
      </c>
      <c r="B86" s="29"/>
      <c r="C86" s="13" t="s">
        <v>2582</v>
      </c>
      <c r="D86" s="40">
        <v>1355340</v>
      </c>
      <c r="E86" s="4">
        <v>19</v>
      </c>
      <c r="F86" s="101">
        <v>1355340</v>
      </c>
      <c r="G86" s="57"/>
      <c r="H86" s="4" t="s">
        <v>6439</v>
      </c>
      <c r="I86" s="4"/>
      <c r="J86" s="4" t="s">
        <v>3179</v>
      </c>
      <c r="K86" s="54"/>
      <c r="L86" s="57"/>
      <c r="M86" s="57"/>
      <c r="N86" s="4" t="s">
        <v>3177</v>
      </c>
      <c r="O86" s="4">
        <v>964193875</v>
      </c>
      <c r="P86" s="4">
        <v>964193874</v>
      </c>
      <c r="Q86" s="767"/>
      <c r="R86" s="767"/>
      <c r="S86" s="4"/>
      <c r="T86" s="4" t="s">
        <v>3178</v>
      </c>
      <c r="U86" s="4">
        <v>987549907</v>
      </c>
      <c r="V86" s="4">
        <v>987549907</v>
      </c>
      <c r="W86" s="4"/>
      <c r="X86" s="4" t="s">
        <v>3177</v>
      </c>
      <c r="Y86" s="4">
        <v>1355340</v>
      </c>
      <c r="Z86" s="35"/>
      <c r="AA86" s="1" t="str">
        <f>IFERROR(VLOOKUP(D:D,[1]Габариты!$A:$I,9,0),"")</f>
        <v>Основной ассортимент</v>
      </c>
      <c r="AB86" s="6" t="str">
        <f>IFERROR(VLOOKUP(D:D,[1]Габариты!$A:$D,4,0),"")</f>
        <v>КОМОДЫ</v>
      </c>
      <c r="AC86" s="39">
        <f t="shared" si="10"/>
        <v>1355340</v>
      </c>
      <c r="AD86" s="13" t="str">
        <f t="shared" si="11"/>
        <v>FBO</v>
      </c>
    </row>
    <row r="87" spans="1:30" s="6" customFormat="1" ht="20.100000000000001" customHeight="1" outlineLevel="1" x14ac:dyDescent="0.25">
      <c r="A87" s="631" t="s">
        <v>3171</v>
      </c>
      <c r="B87" s="29"/>
      <c r="C87" s="13" t="s">
        <v>2582</v>
      </c>
      <c r="D87" s="40">
        <v>1355341</v>
      </c>
      <c r="E87" s="4">
        <v>19</v>
      </c>
      <c r="F87" s="101"/>
      <c r="G87" s="57"/>
      <c r="H87" s="4" t="s">
        <v>6440</v>
      </c>
      <c r="I87" s="4"/>
      <c r="J87" s="4" t="s">
        <v>3180</v>
      </c>
      <c r="K87" s="54"/>
      <c r="L87" s="57"/>
      <c r="M87" s="57"/>
      <c r="N87" s="4" t="s">
        <v>3181</v>
      </c>
      <c r="O87" s="4">
        <v>964186881</v>
      </c>
      <c r="P87" s="4">
        <v>964186880</v>
      </c>
      <c r="Q87" s="767"/>
      <c r="R87" s="767"/>
      <c r="S87" s="4"/>
      <c r="T87" s="4" t="s">
        <v>3231</v>
      </c>
      <c r="U87" s="4">
        <v>1029403895</v>
      </c>
      <c r="V87" s="4">
        <v>1029403895</v>
      </c>
      <c r="W87" s="4"/>
      <c r="X87" s="4" t="s">
        <v>3181</v>
      </c>
      <c r="Y87" s="4">
        <v>1355341</v>
      </c>
      <c r="Z87" s="35"/>
      <c r="AA87" s="1" t="str">
        <f>IFERROR(VLOOKUP(D:D,[1]Габариты!$A:$I,9,0),"")</f>
        <v>Основной ассортимент</v>
      </c>
      <c r="AB87" s="6" t="str">
        <f>IFERROR(VLOOKUP(D:D,[1]Габариты!$A:$D,4,0),"")</f>
        <v>КОМОДЫ</v>
      </c>
      <c r="AC87" s="39">
        <f t="shared" si="10"/>
        <v>1355341</v>
      </c>
      <c r="AD87" s="13" t="str">
        <f t="shared" si="11"/>
        <v>FBO</v>
      </c>
    </row>
    <row r="88" spans="1:30" s="6" customFormat="1" ht="20.100000000000001" customHeight="1" outlineLevel="1" x14ac:dyDescent="0.25">
      <c r="A88" s="631" t="s">
        <v>3503</v>
      </c>
      <c r="B88" s="29"/>
      <c r="C88" s="13" t="s">
        <v>2582</v>
      </c>
      <c r="D88" s="40">
        <v>1355342</v>
      </c>
      <c r="E88" s="4">
        <v>19</v>
      </c>
      <c r="F88" s="101">
        <v>1355342</v>
      </c>
      <c r="G88" s="57"/>
      <c r="H88" s="4" t="s">
        <v>6450</v>
      </c>
      <c r="I88" s="4"/>
      <c r="J88" s="4"/>
      <c r="K88" s="54"/>
      <c r="L88" s="57"/>
      <c r="M88" s="57"/>
      <c r="N88" s="4" t="s">
        <v>3640</v>
      </c>
      <c r="O88" s="4">
        <v>1101016640</v>
      </c>
      <c r="P88" s="4">
        <v>1101016639</v>
      </c>
      <c r="Q88" s="767"/>
      <c r="R88" s="767"/>
      <c r="S88" s="4"/>
      <c r="T88" s="4"/>
      <c r="U88" s="4"/>
      <c r="V88" s="4"/>
      <c r="W88" s="4"/>
      <c r="X88" s="4" t="s">
        <v>3640</v>
      </c>
      <c r="Y88" s="4" t="s">
        <v>4066</v>
      </c>
      <c r="Z88" s="35"/>
      <c r="AA88" s="1" t="str">
        <f>IFERROR(VLOOKUP(D:D,[1]Габариты!$A:$I,9,0),"")</f>
        <v>Основной ассортимент</v>
      </c>
      <c r="AB88" s="6" t="str">
        <f>IFERROR(VLOOKUP(D:D,[1]Габариты!$A:$D,4,0),"")</f>
        <v>КОМОДЫ</v>
      </c>
      <c r="AC88" s="39">
        <f t="shared" si="10"/>
        <v>1355342</v>
      </c>
      <c r="AD88" s="13" t="str">
        <f t="shared" si="11"/>
        <v>FBO</v>
      </c>
    </row>
    <row r="89" spans="1:30" s="6" customFormat="1" ht="20.100000000000001" customHeight="1" outlineLevel="1" x14ac:dyDescent="0.25">
      <c r="A89" s="631" t="s">
        <v>3504</v>
      </c>
      <c r="B89" s="29"/>
      <c r="C89" s="13" t="s">
        <v>2582</v>
      </c>
      <c r="D89" s="40">
        <v>1355343</v>
      </c>
      <c r="E89" s="4">
        <v>19</v>
      </c>
      <c r="F89" s="101">
        <v>1355343</v>
      </c>
      <c r="G89" s="57"/>
      <c r="H89" s="4" t="s">
        <v>6451</v>
      </c>
      <c r="I89" s="4" t="s">
        <v>3679</v>
      </c>
      <c r="J89" s="4" t="s">
        <v>3681</v>
      </c>
      <c r="K89" s="54"/>
      <c r="L89" s="57"/>
      <c r="M89" s="57"/>
      <c r="N89" s="4" t="s">
        <v>3664</v>
      </c>
      <c r="O89" s="4">
        <v>1128913231</v>
      </c>
      <c r="P89" s="4">
        <v>1128913229</v>
      </c>
      <c r="Q89" s="767" t="s">
        <v>3689</v>
      </c>
      <c r="R89" s="767">
        <v>1136433757</v>
      </c>
      <c r="S89" s="4">
        <v>1136433755</v>
      </c>
      <c r="T89" s="4" t="s">
        <v>3712</v>
      </c>
      <c r="U89" s="4">
        <v>1176410673</v>
      </c>
      <c r="V89" s="4">
        <v>1176410673</v>
      </c>
      <c r="W89" s="4"/>
      <c r="X89" s="4" t="s">
        <v>3664</v>
      </c>
      <c r="Y89" s="4" t="s">
        <v>4066</v>
      </c>
      <c r="Z89" s="35"/>
      <c r="AA89" s="1" t="str">
        <f>IFERROR(VLOOKUP(D:D,[1]Габариты!$A:$I,9,0),"")</f>
        <v>Основной ассортимент</v>
      </c>
      <c r="AB89" s="6" t="str">
        <f>IFERROR(VLOOKUP(D:D,[1]Габариты!$A:$D,4,0),"")</f>
        <v>КОМОДЫ</v>
      </c>
      <c r="AC89" s="39">
        <f t="shared" si="10"/>
        <v>1355343</v>
      </c>
      <c r="AD89" s="13" t="str">
        <f t="shared" si="11"/>
        <v>FBO</v>
      </c>
    </row>
    <row r="90" spans="1:30" s="6" customFormat="1" ht="20.100000000000001" customHeight="1" outlineLevel="1" x14ac:dyDescent="0.25">
      <c r="A90" s="631" t="s">
        <v>3502</v>
      </c>
      <c r="B90" s="29"/>
      <c r="C90" s="13" t="s">
        <v>2582</v>
      </c>
      <c r="D90" s="40">
        <v>1355345</v>
      </c>
      <c r="E90" s="4">
        <v>19</v>
      </c>
      <c r="F90" s="101">
        <v>1355345</v>
      </c>
      <c r="G90" s="57"/>
      <c r="H90" s="4" t="s">
        <v>6452</v>
      </c>
      <c r="I90" s="4"/>
      <c r="J90" s="4"/>
      <c r="K90" s="54"/>
      <c r="L90" s="57"/>
      <c r="M90" s="57"/>
      <c r="N90" s="4" t="s">
        <v>3741</v>
      </c>
      <c r="O90" s="4">
        <v>1190633195</v>
      </c>
      <c r="P90" s="4">
        <v>1190633190</v>
      </c>
      <c r="Q90" s="767"/>
      <c r="R90" s="767"/>
      <c r="S90" s="4"/>
      <c r="T90" s="4"/>
      <c r="U90" s="4"/>
      <c r="V90" s="4"/>
      <c r="W90" s="4"/>
      <c r="X90" s="4" t="s">
        <v>3741</v>
      </c>
      <c r="Y90" s="4" t="s">
        <v>4066</v>
      </c>
      <c r="Z90" s="35"/>
      <c r="AA90" s="1" t="str">
        <f>IFERROR(VLOOKUP(D:D,[1]Габариты!$A:$I,9,0),"")</f>
        <v>Основной ассортимент</v>
      </c>
      <c r="AB90" s="6" t="str">
        <f>IFERROR(VLOOKUP(D:D,[1]Габариты!$A:$D,4,0),"")</f>
        <v>КОМОДЫ</v>
      </c>
      <c r="AC90" s="39">
        <f t="shared" si="10"/>
        <v>1355345</v>
      </c>
      <c r="AD90" s="13" t="str">
        <f t="shared" si="11"/>
        <v>FBO</v>
      </c>
    </row>
    <row r="91" spans="1:30" s="6" customFormat="1" ht="20.100000000000001" customHeight="1" outlineLevel="1" x14ac:dyDescent="0.25">
      <c r="A91" s="631" t="s">
        <v>1754</v>
      </c>
      <c r="B91" s="29"/>
      <c r="C91" s="13" t="s">
        <v>2582</v>
      </c>
      <c r="D91" s="40">
        <v>1355350</v>
      </c>
      <c r="E91" s="4">
        <v>18</v>
      </c>
      <c r="F91" s="101"/>
      <c r="G91" s="57"/>
      <c r="H91" s="4" t="s">
        <v>6369</v>
      </c>
      <c r="I91" s="4"/>
      <c r="J91" s="4" t="s">
        <v>2023</v>
      </c>
      <c r="K91" s="54"/>
      <c r="L91" s="57"/>
      <c r="M91" s="57"/>
      <c r="N91" s="4" t="s">
        <v>1758</v>
      </c>
      <c r="O91" s="4">
        <v>853089254</v>
      </c>
      <c r="P91" s="4">
        <v>853089255</v>
      </c>
      <c r="Q91" s="767" t="s">
        <v>3392</v>
      </c>
      <c r="R91" s="767">
        <v>956486408</v>
      </c>
      <c r="S91" s="4">
        <v>956486407</v>
      </c>
      <c r="T91" s="4" t="s">
        <v>3005</v>
      </c>
      <c r="U91" s="4">
        <v>955316388</v>
      </c>
      <c r="V91" s="4">
        <v>955316388</v>
      </c>
      <c r="W91" s="4"/>
      <c r="X91" s="4" t="s">
        <v>1758</v>
      </c>
      <c r="Y91" s="4">
        <v>1355350</v>
      </c>
      <c r="Z91" s="35"/>
      <c r="AA91" s="1" t="str">
        <f>IFERROR(VLOOKUP(D:D,[1]Габариты!$A:$I,9,0),"")</f>
        <v>Основной ассортимент</v>
      </c>
      <c r="AB91" s="6" t="str">
        <f>IFERROR(VLOOKUP(D:D,[1]Габариты!$A:$D,4,0),"")</f>
        <v>КОМОДЫ</v>
      </c>
      <c r="AC91" s="39">
        <f>D91</f>
        <v>1355350</v>
      </c>
      <c r="AD91" s="13" t="str">
        <f>C91</f>
        <v>FBO</v>
      </c>
    </row>
    <row r="92" spans="1:30" s="6" customFormat="1" ht="20.100000000000001" customHeight="1" outlineLevel="1" x14ac:dyDescent="0.25">
      <c r="A92" s="631" t="s">
        <v>1450</v>
      </c>
      <c r="B92" s="29"/>
      <c r="C92" s="13" t="s">
        <v>2582</v>
      </c>
      <c r="D92" s="40">
        <v>1355360</v>
      </c>
      <c r="E92" s="4">
        <v>18</v>
      </c>
      <c r="F92" s="101"/>
      <c r="G92" s="57"/>
      <c r="H92" s="4" t="s">
        <v>6358</v>
      </c>
      <c r="I92" s="4" t="s">
        <v>2080</v>
      </c>
      <c r="J92" s="4" t="s">
        <v>2019</v>
      </c>
      <c r="K92" s="54"/>
      <c r="L92" s="57"/>
      <c r="M92" s="57"/>
      <c r="N92" s="4" t="s">
        <v>1517</v>
      </c>
      <c r="O92" s="4">
        <v>781984709</v>
      </c>
      <c r="P92" s="4">
        <v>781984708</v>
      </c>
      <c r="Q92" s="767" t="s">
        <v>2716</v>
      </c>
      <c r="R92" s="767">
        <v>956487066</v>
      </c>
      <c r="S92" s="4">
        <v>956487065</v>
      </c>
      <c r="T92" s="4" t="s">
        <v>2991</v>
      </c>
      <c r="U92" s="4">
        <v>955317363</v>
      </c>
      <c r="V92" s="4">
        <v>955317363</v>
      </c>
      <c r="W92" s="4"/>
      <c r="X92" s="4" t="s">
        <v>1517</v>
      </c>
      <c r="Y92" s="4">
        <v>1355360</v>
      </c>
      <c r="Z92" s="35"/>
      <c r="AA92" s="1" t="str">
        <f>IFERROR(VLOOKUP(D:D,[1]Габариты!$A:$I,9,0),"")</f>
        <v>Основной ассортимент</v>
      </c>
      <c r="AB92" s="6" t="str">
        <f>IFERROR(VLOOKUP(D:D,[1]Габариты!$A:$D,4,0),"")</f>
        <v>КОМОДЫ</v>
      </c>
      <c r="AC92" s="39">
        <f t="shared" si="10"/>
        <v>1355360</v>
      </c>
      <c r="AD92" s="13" t="str">
        <f t="shared" ref="AD92:AD109" si="12">C92</f>
        <v>FBO</v>
      </c>
    </row>
    <row r="93" spans="1:30" s="6" customFormat="1" ht="20.100000000000001" customHeight="1" outlineLevel="1" x14ac:dyDescent="0.25">
      <c r="A93" s="631" t="s">
        <v>1448</v>
      </c>
      <c r="B93" s="29"/>
      <c r="C93" s="13" t="s">
        <v>2582</v>
      </c>
      <c r="D93" s="40">
        <v>1355370</v>
      </c>
      <c r="E93" s="4">
        <v>18</v>
      </c>
      <c r="F93" s="101"/>
      <c r="G93" s="57"/>
      <c r="H93" s="4" t="s">
        <v>6359</v>
      </c>
      <c r="I93" s="4" t="s">
        <v>2079</v>
      </c>
      <c r="J93" s="4" t="s">
        <v>2020</v>
      </c>
      <c r="K93" s="54"/>
      <c r="L93" s="57"/>
      <c r="M93" s="57"/>
      <c r="N93" s="4" t="s">
        <v>2585</v>
      </c>
      <c r="O93" s="4">
        <v>727861330</v>
      </c>
      <c r="P93" s="4">
        <v>727861329</v>
      </c>
      <c r="Q93" s="767" t="s">
        <v>3117</v>
      </c>
      <c r="R93" s="767">
        <v>956486645</v>
      </c>
      <c r="S93" s="4">
        <v>956486647</v>
      </c>
      <c r="T93" s="4" t="s">
        <v>2992</v>
      </c>
      <c r="U93" s="4">
        <v>951091263</v>
      </c>
      <c r="V93" s="4">
        <v>951091263</v>
      </c>
      <c r="W93" s="4"/>
      <c r="X93" s="4" t="s">
        <v>2533</v>
      </c>
      <c r="Y93" s="4">
        <v>1355370</v>
      </c>
      <c r="Z93" s="35"/>
      <c r="AA93" s="1" t="str">
        <f>IFERROR(VLOOKUP(D:D,[1]Габариты!$A:$I,9,0),"")</f>
        <v>Основной ассортимент</v>
      </c>
      <c r="AB93" s="6" t="str">
        <f>IFERROR(VLOOKUP(D:D,[1]Габариты!$A:$D,4,0),"")</f>
        <v>КОМОДЫ</v>
      </c>
      <c r="AC93" s="39">
        <f t="shared" si="10"/>
        <v>1355370</v>
      </c>
      <c r="AD93" s="13" t="str">
        <f t="shared" si="12"/>
        <v>FBO</v>
      </c>
    </row>
    <row r="94" spans="1:30" s="6" customFormat="1" ht="20.100000000000001" customHeight="1" outlineLevel="1" x14ac:dyDescent="0.25">
      <c r="A94" s="631" t="s">
        <v>1447</v>
      </c>
      <c r="B94" s="29"/>
      <c r="C94" s="13" t="s">
        <v>2582</v>
      </c>
      <c r="D94" s="40">
        <v>1355380</v>
      </c>
      <c r="E94" s="4">
        <v>18</v>
      </c>
      <c r="F94" s="101"/>
      <c r="G94" s="57"/>
      <c r="H94" s="4" t="s">
        <v>6360</v>
      </c>
      <c r="I94" s="4" t="s">
        <v>2078</v>
      </c>
      <c r="J94" s="4" t="s">
        <v>2021</v>
      </c>
      <c r="K94" s="54"/>
      <c r="L94" s="57"/>
      <c r="M94" s="57"/>
      <c r="N94" s="4" t="s">
        <v>1518</v>
      </c>
      <c r="O94" s="4">
        <v>727863126</v>
      </c>
      <c r="P94" s="4">
        <v>727863125</v>
      </c>
      <c r="Q94" s="767" t="s">
        <v>3384</v>
      </c>
      <c r="R94" s="767">
        <v>956486632</v>
      </c>
      <c r="S94" s="4">
        <v>956486633</v>
      </c>
      <c r="T94" s="4" t="s">
        <v>2993</v>
      </c>
      <c r="U94" s="4">
        <v>951032722</v>
      </c>
      <c r="V94" s="4">
        <v>951032722</v>
      </c>
      <c r="W94" s="4"/>
      <c r="X94" s="4" t="s">
        <v>1518</v>
      </c>
      <c r="Y94" s="4">
        <v>1355380</v>
      </c>
      <c r="Z94" s="35"/>
      <c r="AA94" s="1" t="str">
        <f>IFERROR(VLOOKUP(D:D,[1]Габариты!$A:$I,9,0),"")</f>
        <v>Основной ассортимент</v>
      </c>
      <c r="AB94" s="6" t="str">
        <f>IFERROR(VLOOKUP(D:D,[1]Габариты!$A:$D,4,0),"")</f>
        <v>КОМОДЫ</v>
      </c>
      <c r="AC94" s="39">
        <f t="shared" si="10"/>
        <v>1355380</v>
      </c>
      <c r="AD94" s="13" t="str">
        <f t="shared" si="12"/>
        <v>FBO</v>
      </c>
    </row>
    <row r="95" spans="1:30" s="6" customFormat="1" ht="20.100000000000001" customHeight="1" outlineLevel="1" x14ac:dyDescent="0.25">
      <c r="A95" s="631" t="s">
        <v>1451</v>
      </c>
      <c r="B95" s="29"/>
      <c r="C95" s="13" t="s">
        <v>2582</v>
      </c>
      <c r="D95" s="40">
        <v>1355390</v>
      </c>
      <c r="E95" s="4">
        <v>18</v>
      </c>
      <c r="F95" s="101"/>
      <c r="G95" s="57"/>
      <c r="H95" s="4" t="s">
        <v>6361</v>
      </c>
      <c r="I95" s="4" t="s">
        <v>2072</v>
      </c>
      <c r="J95" s="4" t="s">
        <v>1838</v>
      </c>
      <c r="K95" s="54"/>
      <c r="L95" s="57"/>
      <c r="M95" s="57"/>
      <c r="N95" s="4" t="s">
        <v>1519</v>
      </c>
      <c r="O95" s="4">
        <v>727857581</v>
      </c>
      <c r="P95" s="4">
        <v>727857582</v>
      </c>
      <c r="Q95" s="767" t="s">
        <v>2717</v>
      </c>
      <c r="R95" s="767">
        <v>956487008</v>
      </c>
      <c r="S95" s="4">
        <v>956487013</v>
      </c>
      <c r="T95" s="4" t="s">
        <v>2994</v>
      </c>
      <c r="U95" s="4">
        <v>895220048</v>
      </c>
      <c r="V95" s="4">
        <v>895220048</v>
      </c>
      <c r="W95" s="4"/>
      <c r="X95" s="4" t="s">
        <v>1519</v>
      </c>
      <c r="Y95" s="4">
        <v>1355390</v>
      </c>
      <c r="Z95" s="35"/>
      <c r="AA95" s="1" t="str">
        <f>IFERROR(VLOOKUP(D:D,[1]Габариты!$A:$I,9,0),"")</f>
        <v>Основной ассортимент</v>
      </c>
      <c r="AB95" s="6" t="str">
        <f>IFERROR(VLOOKUP(D:D,[1]Габариты!$A:$D,4,0),"")</f>
        <v>КОМОДЫ</v>
      </c>
      <c r="AC95" s="39">
        <f t="shared" si="10"/>
        <v>1355390</v>
      </c>
      <c r="AD95" s="13" t="str">
        <f t="shared" si="12"/>
        <v>FBO</v>
      </c>
    </row>
    <row r="96" spans="1:30" s="6" customFormat="1" ht="20.100000000000001" customHeight="1" outlineLevel="1" x14ac:dyDescent="0.25">
      <c r="A96" s="631" t="s">
        <v>3674</v>
      </c>
      <c r="B96" s="29"/>
      <c r="C96" s="13" t="s">
        <v>2582</v>
      </c>
      <c r="D96" s="40">
        <v>1355361</v>
      </c>
      <c r="E96" s="4">
        <v>18</v>
      </c>
      <c r="F96" s="101"/>
      <c r="G96" s="57"/>
      <c r="H96" s="4" t="s">
        <v>6370</v>
      </c>
      <c r="I96" s="4"/>
      <c r="J96" s="4"/>
      <c r="K96" s="54"/>
      <c r="L96" s="57"/>
      <c r="M96" s="57"/>
      <c r="N96" s="4" t="s">
        <v>3706</v>
      </c>
      <c r="O96" s="4">
        <v>1177387203</v>
      </c>
      <c r="P96" s="4">
        <v>1177387210</v>
      </c>
      <c r="Q96" s="767"/>
      <c r="R96" s="767"/>
      <c r="S96" s="4"/>
      <c r="T96" s="4"/>
      <c r="U96" s="4"/>
      <c r="V96" s="4"/>
      <c r="W96" s="4"/>
      <c r="X96" s="4" t="s">
        <v>3706</v>
      </c>
      <c r="Y96" s="4" t="s">
        <v>4066</v>
      </c>
      <c r="Z96" s="35"/>
      <c r="AA96" s="1" t="str">
        <f>IFERROR(VLOOKUP(D:D,[1]Габариты!$A:$I,9,0),"")</f>
        <v>Основной ассортимент</v>
      </c>
      <c r="AB96" s="6" t="str">
        <f>IFERROR(VLOOKUP(D:D,[1]Габариты!$A:$D,4,0),"")</f>
        <v>КОМОДЫ</v>
      </c>
      <c r="AC96" s="39">
        <f t="shared" ref="AC96:AC101" si="13">D96</f>
        <v>1355361</v>
      </c>
      <c r="AD96" s="13" t="str">
        <f t="shared" ref="AD96:AD101" si="14">C96</f>
        <v>FBO</v>
      </c>
    </row>
    <row r="97" spans="1:30" s="6" customFormat="1" ht="20.100000000000001" customHeight="1" outlineLevel="1" x14ac:dyDescent="0.25">
      <c r="A97" s="631" t="s">
        <v>3364</v>
      </c>
      <c r="B97" s="29"/>
      <c r="C97" s="13" t="s">
        <v>2582</v>
      </c>
      <c r="D97" s="40">
        <v>1355391</v>
      </c>
      <c r="E97" s="4">
        <v>18</v>
      </c>
      <c r="F97" s="101"/>
      <c r="G97" s="57"/>
      <c r="H97" s="4" t="s">
        <v>6371</v>
      </c>
      <c r="I97" s="4" t="s">
        <v>3478</v>
      </c>
      <c r="J97" s="4" t="s">
        <v>3471</v>
      </c>
      <c r="K97" s="54"/>
      <c r="L97" s="57"/>
      <c r="M97" s="57"/>
      <c r="N97" s="4" t="s">
        <v>3457</v>
      </c>
      <c r="O97" s="4">
        <v>1040266340</v>
      </c>
      <c r="P97" s="4">
        <v>1040266341</v>
      </c>
      <c r="Q97" s="767" t="s">
        <v>3481</v>
      </c>
      <c r="R97" s="767">
        <v>1042416738</v>
      </c>
      <c r="S97" s="4">
        <v>1042416739</v>
      </c>
      <c r="T97" s="4"/>
      <c r="U97" s="4"/>
      <c r="V97" s="4"/>
      <c r="W97" s="4"/>
      <c r="X97" s="4" t="s">
        <v>3457</v>
      </c>
      <c r="Y97" s="4">
        <v>1355391</v>
      </c>
      <c r="Z97" s="35"/>
      <c r="AA97" s="1" t="str">
        <f>IFERROR(VLOOKUP(D:D,[1]Габариты!$A:$I,9,0),"")</f>
        <v>Основной ассортимент</v>
      </c>
      <c r="AB97" s="6" t="str">
        <f>IFERROR(VLOOKUP(D:D,[1]Габариты!$A:$D,4,0),"")</f>
        <v>КОМОДЫ</v>
      </c>
      <c r="AC97" s="39">
        <f t="shared" si="13"/>
        <v>1355391</v>
      </c>
      <c r="AD97" s="13" t="str">
        <f t="shared" si="14"/>
        <v>FBO</v>
      </c>
    </row>
    <row r="98" spans="1:30" s="6" customFormat="1" ht="20.100000000000001" customHeight="1" outlineLevel="1" x14ac:dyDescent="0.25">
      <c r="A98" s="631" t="s">
        <v>3365</v>
      </c>
      <c r="B98" s="29"/>
      <c r="C98" s="13" t="s">
        <v>2582</v>
      </c>
      <c r="D98" s="40">
        <v>1355392</v>
      </c>
      <c r="E98" s="4">
        <v>18</v>
      </c>
      <c r="F98" s="101"/>
      <c r="G98" s="57"/>
      <c r="H98" s="4" t="s">
        <v>6372</v>
      </c>
      <c r="I98" s="4" t="s">
        <v>3479</v>
      </c>
      <c r="J98" s="4" t="s">
        <v>3472</v>
      </c>
      <c r="K98" s="54"/>
      <c r="L98" s="57"/>
      <c r="M98" s="57"/>
      <c r="N98" s="4" t="s">
        <v>3458</v>
      </c>
      <c r="O98" s="4">
        <v>1042324744</v>
      </c>
      <c r="P98" s="4">
        <v>1042324745</v>
      </c>
      <c r="Q98" s="767" t="s">
        <v>3482</v>
      </c>
      <c r="R98" s="767">
        <v>1042410341</v>
      </c>
      <c r="S98" s="4">
        <v>1042410340</v>
      </c>
      <c r="T98" s="4"/>
      <c r="U98" s="4"/>
      <c r="V98" s="4"/>
      <c r="W98" s="4"/>
      <c r="X98" s="4" t="s">
        <v>3458</v>
      </c>
      <c r="Y98" s="4">
        <v>1355392</v>
      </c>
      <c r="Z98" s="35"/>
      <c r="AA98" s="1" t="str">
        <f>IFERROR(VLOOKUP(D:D,[1]Габариты!$A:$I,9,0),"")</f>
        <v>Основной ассортимент</v>
      </c>
      <c r="AB98" s="6" t="str">
        <f>IFERROR(VLOOKUP(D:D,[1]Габариты!$A:$D,4,0),"")</f>
        <v>КОМОДЫ</v>
      </c>
      <c r="AC98" s="39">
        <f t="shared" si="13"/>
        <v>1355392</v>
      </c>
      <c r="AD98" s="13" t="str">
        <f t="shared" si="14"/>
        <v>FBO</v>
      </c>
    </row>
    <row r="99" spans="1:30" s="6" customFormat="1" ht="20.100000000000001" customHeight="1" outlineLevel="1" x14ac:dyDescent="0.25">
      <c r="A99" s="631" t="s">
        <v>3675</v>
      </c>
      <c r="B99" s="29"/>
      <c r="C99" s="13" t="s">
        <v>2582</v>
      </c>
      <c r="D99" s="40">
        <v>1355394</v>
      </c>
      <c r="E99" s="4">
        <v>18</v>
      </c>
      <c r="F99" s="101"/>
      <c r="G99" s="57"/>
      <c r="H99" s="4" t="s">
        <v>6373</v>
      </c>
      <c r="I99" s="4"/>
      <c r="J99" s="4"/>
      <c r="K99" s="54"/>
      <c r="L99" s="57"/>
      <c r="M99" s="57"/>
      <c r="N99" s="4" t="s">
        <v>3707</v>
      </c>
      <c r="O99" s="4">
        <v>1177550639</v>
      </c>
      <c r="P99" s="4">
        <v>1177550636</v>
      </c>
      <c r="Q99" s="767"/>
      <c r="R99" s="767"/>
      <c r="S99" s="4"/>
      <c r="T99" s="4"/>
      <c r="U99" s="4"/>
      <c r="V99" s="4"/>
      <c r="W99" s="4"/>
      <c r="X99" s="4" t="s">
        <v>3707</v>
      </c>
      <c r="Y99" s="4">
        <v>1355394</v>
      </c>
      <c r="Z99" s="35"/>
      <c r="AA99" s="1" t="str">
        <f>IFERROR(VLOOKUP(D:D,[1]Габариты!$A:$I,9,0),"")</f>
        <v>Основной ассортимент</v>
      </c>
      <c r="AB99" s="6" t="str">
        <f>IFERROR(VLOOKUP(D:D,[1]Габариты!$A:$D,4,0),"")</f>
        <v>КОМОДЫ</v>
      </c>
      <c r="AC99" s="39">
        <f t="shared" si="13"/>
        <v>1355394</v>
      </c>
      <c r="AD99" s="13" t="str">
        <f t="shared" si="14"/>
        <v>FBO</v>
      </c>
    </row>
    <row r="100" spans="1:30" s="6" customFormat="1" ht="20.100000000000001" customHeight="1" outlineLevel="1" x14ac:dyDescent="0.25">
      <c r="A100" s="631" t="s">
        <v>3771</v>
      </c>
      <c r="B100" s="29"/>
      <c r="C100" s="13" t="s">
        <v>2582</v>
      </c>
      <c r="D100" s="40">
        <v>1355395</v>
      </c>
      <c r="E100" s="4">
        <v>18</v>
      </c>
      <c r="F100" s="101"/>
      <c r="G100" s="57"/>
      <c r="H100" s="4" t="s">
        <v>6374</v>
      </c>
      <c r="I100" s="4" t="s">
        <v>3772</v>
      </c>
      <c r="J100" s="4" t="s">
        <v>3773</v>
      </c>
      <c r="K100" s="54"/>
      <c r="L100" s="57"/>
      <c r="M100" s="57"/>
      <c r="N100" s="4" t="s">
        <v>3774</v>
      </c>
      <c r="O100" s="4">
        <v>1252457287</v>
      </c>
      <c r="P100" s="4">
        <v>1252457287</v>
      </c>
      <c r="Q100" s="767" t="s">
        <v>3777</v>
      </c>
      <c r="R100" s="767">
        <v>1252460439</v>
      </c>
      <c r="S100" s="4">
        <v>1252460439</v>
      </c>
      <c r="T100" s="4" t="s">
        <v>3776</v>
      </c>
      <c r="U100" s="4">
        <v>1252465439</v>
      </c>
      <c r="V100" s="4">
        <v>1252465439</v>
      </c>
      <c r="W100" s="4"/>
      <c r="X100" s="4" t="s">
        <v>3774</v>
      </c>
      <c r="Y100" s="4">
        <v>1355395</v>
      </c>
      <c r="Z100" s="35"/>
      <c r="AA100" s="1" t="str">
        <f>IFERROR(VLOOKUP(D:D,[1]Габариты!$A:$I,9,0),"")</f>
        <v>Основной ассортимент</v>
      </c>
      <c r="AB100" s="6" t="str">
        <f>IFERROR(VLOOKUP(D:D,[1]Габариты!$A:$D,4,0),"")</f>
        <v>КОМОДЫ</v>
      </c>
      <c r="AC100" s="39">
        <f t="shared" si="13"/>
        <v>1355395</v>
      </c>
      <c r="AD100" s="13" t="str">
        <f t="shared" si="14"/>
        <v>FBO</v>
      </c>
    </row>
    <row r="101" spans="1:30" s="6" customFormat="1" ht="20.100000000000001" customHeight="1" outlineLevel="1" x14ac:dyDescent="0.25">
      <c r="A101" s="631" t="s">
        <v>1579</v>
      </c>
      <c r="B101" s="29"/>
      <c r="C101" s="13" t="s">
        <v>2582</v>
      </c>
      <c r="D101" s="40">
        <v>135539</v>
      </c>
      <c r="E101" s="4">
        <v>18</v>
      </c>
      <c r="F101" s="101"/>
      <c r="G101" s="57"/>
      <c r="H101" s="4" t="s">
        <v>6362</v>
      </c>
      <c r="I101" s="4" t="s">
        <v>2081</v>
      </c>
      <c r="J101" s="4" t="s">
        <v>2022</v>
      </c>
      <c r="K101" s="54"/>
      <c r="L101" s="57"/>
      <c r="M101" s="57"/>
      <c r="N101" s="4" t="s">
        <v>1597</v>
      </c>
      <c r="O101" s="4">
        <v>782020031</v>
      </c>
      <c r="P101" s="4">
        <v>782020030</v>
      </c>
      <c r="Q101" s="767" t="s">
        <v>3385</v>
      </c>
      <c r="R101" s="767">
        <v>956486361</v>
      </c>
      <c r="S101" s="4">
        <v>956486362</v>
      </c>
      <c r="T101" s="4" t="s">
        <v>2995</v>
      </c>
      <c r="U101" s="4">
        <v>955317101</v>
      </c>
      <c r="V101" s="4">
        <v>955317101</v>
      </c>
      <c r="W101" s="4"/>
      <c r="X101" s="4" t="s">
        <v>1597</v>
      </c>
      <c r="Y101" s="4">
        <v>135539</v>
      </c>
      <c r="Z101" s="35"/>
      <c r="AA101" s="1" t="str">
        <f>IFERROR(VLOOKUP(D:D,[1]Габариты!$A:$I,9,0),"")</f>
        <v>Основной ассортимент</v>
      </c>
      <c r="AB101" s="6" t="str">
        <f>IFERROR(VLOOKUP(D:D,[1]Габариты!$A:$D,4,0),"")</f>
        <v>КОМОДЫ</v>
      </c>
      <c r="AC101" s="39">
        <f t="shared" si="13"/>
        <v>135539</v>
      </c>
      <c r="AD101" s="13" t="str">
        <f t="shared" si="14"/>
        <v>FBO</v>
      </c>
    </row>
    <row r="102" spans="1:30" s="6" customFormat="1" ht="20.100000000000001" customHeight="1" outlineLevel="1" x14ac:dyDescent="0.25">
      <c r="A102" s="631" t="s">
        <v>1436</v>
      </c>
      <c r="B102" s="29"/>
      <c r="C102" s="13" t="s">
        <v>4050</v>
      </c>
      <c r="D102" s="40">
        <v>2120</v>
      </c>
      <c r="E102" s="4">
        <v>8</v>
      </c>
      <c r="F102" s="101"/>
      <c r="G102" s="57"/>
      <c r="H102" s="4" t="s">
        <v>6363</v>
      </c>
      <c r="I102" s="4"/>
      <c r="J102" s="4" t="s">
        <v>3160</v>
      </c>
      <c r="K102" s="54"/>
      <c r="L102" s="57"/>
      <c r="M102" s="57"/>
      <c r="N102" s="4" t="s">
        <v>1511</v>
      </c>
      <c r="O102" s="4">
        <v>721358172</v>
      </c>
      <c r="P102" s="4">
        <v>721358173</v>
      </c>
      <c r="Q102" s="767" t="s">
        <v>3386</v>
      </c>
      <c r="R102" s="767">
        <v>956486766</v>
      </c>
      <c r="S102" s="4">
        <v>956486765</v>
      </c>
      <c r="T102" s="4" t="s">
        <v>2998</v>
      </c>
      <c r="U102" s="4">
        <v>955317097</v>
      </c>
      <c r="V102" s="4">
        <v>955317097</v>
      </c>
      <c r="W102" s="4"/>
      <c r="X102" s="4" t="s">
        <v>1511</v>
      </c>
      <c r="Y102" s="4">
        <v>2120</v>
      </c>
      <c r="Z102" s="35"/>
      <c r="AA102" s="1" t="str">
        <f>IFERROR(VLOOKUP(D:D,[1]Габариты!$A:$I,9,0),"")</f>
        <v>Основной ассортимент</v>
      </c>
      <c r="AB102" s="6" t="str">
        <f>IFERROR(VLOOKUP(D:D,[1]Габариты!$A:$D,4,0),"")</f>
        <v>КОМОДЫ</v>
      </c>
      <c r="AC102" s="39">
        <f t="shared" si="10"/>
        <v>2120</v>
      </c>
      <c r="AD102" s="13" t="str">
        <f t="shared" si="12"/>
        <v>СКГТ (ОЗОН)</v>
      </c>
    </row>
    <row r="103" spans="1:30" s="6" customFormat="1" ht="20.100000000000001" customHeight="1" outlineLevel="1" x14ac:dyDescent="0.25">
      <c r="A103" s="631" t="s">
        <v>1437</v>
      </c>
      <c r="B103" s="29"/>
      <c r="C103" s="13" t="s">
        <v>4050</v>
      </c>
      <c r="D103" s="40">
        <v>2121</v>
      </c>
      <c r="E103" s="4">
        <v>8</v>
      </c>
      <c r="F103" s="101"/>
      <c r="G103" s="57"/>
      <c r="H103" s="4" t="s">
        <v>6364</v>
      </c>
      <c r="I103" s="4"/>
      <c r="J103" s="4" t="s">
        <v>3756</v>
      </c>
      <c r="K103" s="54"/>
      <c r="L103" s="57"/>
      <c r="M103" s="57"/>
      <c r="N103" s="4" t="s">
        <v>1512</v>
      </c>
      <c r="O103" s="4">
        <v>718954837</v>
      </c>
      <c r="P103" s="4">
        <v>718954838</v>
      </c>
      <c r="Q103" s="767" t="s">
        <v>3387</v>
      </c>
      <c r="R103" s="767">
        <v>956486748</v>
      </c>
      <c r="S103" s="4">
        <v>956486747</v>
      </c>
      <c r="T103" s="4" t="s">
        <v>2999</v>
      </c>
      <c r="U103" s="4">
        <v>955317427</v>
      </c>
      <c r="V103" s="4">
        <v>955317427</v>
      </c>
      <c r="W103" s="4"/>
      <c r="X103" s="4" t="s">
        <v>1512</v>
      </c>
      <c r="Y103" s="4">
        <v>2121</v>
      </c>
      <c r="Z103" s="35"/>
      <c r="AA103" s="1" t="str">
        <f>IFERROR(VLOOKUP(D:D,[1]Габариты!$A:$I,9,0),"")</f>
        <v>Основной ассортимент</v>
      </c>
      <c r="AB103" s="6" t="str">
        <f>IFERROR(VLOOKUP(D:D,[1]Габариты!$A:$D,4,0),"")</f>
        <v>КОМОДЫ</v>
      </c>
      <c r="AC103" s="39">
        <f t="shared" si="10"/>
        <v>2121</v>
      </c>
      <c r="AD103" s="13" t="str">
        <f t="shared" si="12"/>
        <v>СКГТ (ОЗОН)</v>
      </c>
    </row>
    <row r="104" spans="1:30" s="6" customFormat="1" ht="20.100000000000001" customHeight="1" outlineLevel="1" x14ac:dyDescent="0.25">
      <c r="A104" s="631" t="s">
        <v>1438</v>
      </c>
      <c r="B104" s="29"/>
      <c r="C104" s="13" t="s">
        <v>4050</v>
      </c>
      <c r="D104" s="40">
        <v>2122</v>
      </c>
      <c r="E104" s="4">
        <v>8</v>
      </c>
      <c r="F104" s="101"/>
      <c r="G104" s="57"/>
      <c r="H104" s="4" t="s">
        <v>6365</v>
      </c>
      <c r="I104" s="4"/>
      <c r="J104" s="4" t="s">
        <v>3757</v>
      </c>
      <c r="K104" s="54"/>
      <c r="L104" s="57"/>
      <c r="M104" s="57"/>
      <c r="N104" s="4" t="s">
        <v>1513</v>
      </c>
      <c r="O104" s="4">
        <v>718815128</v>
      </c>
      <c r="P104" s="4">
        <v>718815129</v>
      </c>
      <c r="Q104" s="767" t="s">
        <v>3388</v>
      </c>
      <c r="R104" s="767">
        <v>956487117</v>
      </c>
      <c r="S104" s="4">
        <v>956487118</v>
      </c>
      <c r="T104" s="4" t="s">
        <v>3000</v>
      </c>
      <c r="U104" s="4">
        <v>955317122</v>
      </c>
      <c r="V104" s="4">
        <v>955317122</v>
      </c>
      <c r="W104" s="4"/>
      <c r="X104" s="4" t="s">
        <v>1513</v>
      </c>
      <c r="Y104" s="4">
        <v>2122</v>
      </c>
      <c r="Z104" s="35"/>
      <c r="AA104" s="1" t="str">
        <f>IFERROR(VLOOKUP(D:D,[1]Габариты!$A:$I,9,0),"")</f>
        <v>Основной ассортимент</v>
      </c>
      <c r="AB104" s="6" t="str">
        <f>IFERROR(VLOOKUP(D:D,[1]Габариты!$A:$D,4,0),"")</f>
        <v>КОМОДЫ</v>
      </c>
      <c r="AC104" s="39">
        <f t="shared" si="10"/>
        <v>2122</v>
      </c>
      <c r="AD104" s="13" t="str">
        <f t="shared" si="12"/>
        <v>СКГТ (ОЗОН)</v>
      </c>
    </row>
    <row r="105" spans="1:30" s="6" customFormat="1" ht="20.100000000000001" customHeight="1" outlineLevel="1" x14ac:dyDescent="0.25">
      <c r="A105" s="631" t="s">
        <v>1439</v>
      </c>
      <c r="B105" s="29"/>
      <c r="C105" s="13" t="s">
        <v>4050</v>
      </c>
      <c r="D105" s="40">
        <v>2123</v>
      </c>
      <c r="E105" s="4">
        <v>8</v>
      </c>
      <c r="F105" s="101"/>
      <c r="G105" s="57"/>
      <c r="H105" s="4" t="s">
        <v>6366</v>
      </c>
      <c r="I105" s="4"/>
      <c r="J105" s="4" t="s">
        <v>3969</v>
      </c>
      <c r="K105" s="54"/>
      <c r="L105" s="57"/>
      <c r="M105" s="57"/>
      <c r="N105" s="4" t="s">
        <v>1514</v>
      </c>
      <c r="O105" s="4">
        <v>718782918</v>
      </c>
      <c r="P105" s="4">
        <v>718782919</v>
      </c>
      <c r="Q105" s="767" t="s">
        <v>3389</v>
      </c>
      <c r="R105" s="767">
        <v>956486391</v>
      </c>
      <c r="S105" s="4">
        <v>956486392</v>
      </c>
      <c r="T105" s="4" t="s">
        <v>3001</v>
      </c>
      <c r="U105" s="4">
        <v>955317361</v>
      </c>
      <c r="V105" s="4">
        <v>955317361</v>
      </c>
      <c r="W105" s="4"/>
      <c r="X105" s="4" t="s">
        <v>1514</v>
      </c>
      <c r="Y105" s="4">
        <v>2123</v>
      </c>
      <c r="Z105" s="35"/>
      <c r="AA105" s="1" t="str">
        <f>IFERROR(VLOOKUP(D:D,[1]Габариты!$A:$I,9,0),"")</f>
        <v>Основной ассортимент</v>
      </c>
      <c r="AB105" s="6" t="str">
        <f>IFERROR(VLOOKUP(D:D,[1]Габариты!$A:$D,4,0),"")</f>
        <v>КОМОДЫ</v>
      </c>
      <c r="AC105" s="39">
        <f t="shared" si="10"/>
        <v>2123</v>
      </c>
      <c r="AD105" s="13" t="str">
        <f t="shared" si="12"/>
        <v>СКГТ (ОЗОН)</v>
      </c>
    </row>
    <row r="106" spans="1:30" s="6" customFormat="1" ht="20.100000000000001" customHeight="1" outlineLevel="1" x14ac:dyDescent="0.25">
      <c r="A106" s="631" t="s">
        <v>1440</v>
      </c>
      <c r="B106" s="29"/>
      <c r="C106" s="13" t="s">
        <v>4050</v>
      </c>
      <c r="D106" s="40">
        <v>2124</v>
      </c>
      <c r="E106" s="4">
        <v>8</v>
      </c>
      <c r="F106" s="101"/>
      <c r="G106" s="57"/>
      <c r="H106" s="4" t="s">
        <v>6367</v>
      </c>
      <c r="I106" s="4"/>
      <c r="J106" s="4" t="s">
        <v>3937</v>
      </c>
      <c r="K106" s="54"/>
      <c r="L106" s="57"/>
      <c r="M106" s="57"/>
      <c r="N106" s="4" t="s">
        <v>1515</v>
      </c>
      <c r="O106" s="4">
        <v>721371835</v>
      </c>
      <c r="P106" s="4">
        <v>721371834</v>
      </c>
      <c r="Q106" s="767" t="s">
        <v>3390</v>
      </c>
      <c r="R106" s="767">
        <v>956491371</v>
      </c>
      <c r="S106" s="4">
        <v>956491370</v>
      </c>
      <c r="T106" s="4" t="s">
        <v>3002</v>
      </c>
      <c r="U106" s="4">
        <v>955317370</v>
      </c>
      <c r="V106" s="4">
        <v>955317370</v>
      </c>
      <c r="W106" s="4"/>
      <c r="X106" s="4" t="s">
        <v>1515</v>
      </c>
      <c r="Y106" s="4">
        <v>2124</v>
      </c>
      <c r="Z106" s="35"/>
      <c r="AA106" s="1" t="str">
        <f>IFERROR(VLOOKUP(D:D,[1]Габариты!$A:$I,9,0),"")</f>
        <v>Основной ассортимент</v>
      </c>
      <c r="AB106" s="6" t="str">
        <f>IFERROR(VLOOKUP(D:D,[1]Габариты!$A:$D,4,0),"")</f>
        <v>КОМОДЫ</v>
      </c>
      <c r="AC106" s="39">
        <f t="shared" si="10"/>
        <v>2124</v>
      </c>
      <c r="AD106" s="13" t="str">
        <f t="shared" si="12"/>
        <v>СКГТ (ОЗОН)</v>
      </c>
    </row>
    <row r="107" spans="1:30" s="6" customFormat="1" ht="20.100000000000001" customHeight="1" outlineLevel="1" x14ac:dyDescent="0.25">
      <c r="A107" s="631" t="s">
        <v>3693</v>
      </c>
      <c r="B107" s="29"/>
      <c r="C107" s="13" t="s">
        <v>4050</v>
      </c>
      <c r="D107" s="40">
        <v>2125</v>
      </c>
      <c r="E107" s="4">
        <v>8</v>
      </c>
      <c r="F107" s="101"/>
      <c r="G107" s="57"/>
      <c r="H107" s="4" t="s">
        <v>6368</v>
      </c>
      <c r="I107" s="4"/>
      <c r="J107" s="4" t="s">
        <v>3758</v>
      </c>
      <c r="K107" s="54"/>
      <c r="L107" s="57"/>
      <c r="M107" s="57"/>
      <c r="N107" s="4" t="s">
        <v>3708</v>
      </c>
      <c r="O107" s="4">
        <v>1177750446</v>
      </c>
      <c r="P107" s="4">
        <v>1177750439</v>
      </c>
      <c r="Q107" s="767"/>
      <c r="R107" s="767"/>
      <c r="S107" s="4"/>
      <c r="T107" s="4" t="s">
        <v>4072</v>
      </c>
      <c r="U107" s="4">
        <v>1502572780</v>
      </c>
      <c r="V107" s="4">
        <v>1502572780</v>
      </c>
      <c r="W107" s="4"/>
      <c r="X107" s="4" t="s">
        <v>3708</v>
      </c>
      <c r="Y107" s="4" t="s">
        <v>4066</v>
      </c>
      <c r="Z107" s="35"/>
      <c r="AA107" s="1" t="str">
        <f>IFERROR(VLOOKUP(D:D,[1]Габариты!$A:$I,9,0),"")</f>
        <v>Основной ассортимент</v>
      </c>
      <c r="AB107" s="6" t="str">
        <f>IFERROR(VLOOKUP(D:D,[1]Габариты!$A:$D,4,0),"")</f>
        <v>КОМОДЫ</v>
      </c>
      <c r="AC107" s="39">
        <f t="shared" si="10"/>
        <v>2125</v>
      </c>
      <c r="AD107" s="13" t="str">
        <f t="shared" si="12"/>
        <v>СКГТ (ОЗОН)</v>
      </c>
    </row>
    <row r="108" spans="1:30" s="6" customFormat="1" ht="20.100000000000001" customHeight="1" outlineLevel="1" x14ac:dyDescent="0.25">
      <c r="A108" s="641" t="s">
        <v>5679</v>
      </c>
      <c r="B108" s="29"/>
      <c r="C108" s="13" t="s">
        <v>4050</v>
      </c>
      <c r="D108" s="70" t="s">
        <v>5680</v>
      </c>
      <c r="E108" s="65">
        <v>18</v>
      </c>
      <c r="F108" s="101" t="s">
        <v>6122</v>
      </c>
      <c r="G108" s="57" t="s">
        <v>6341</v>
      </c>
      <c r="H108" s="65" t="s">
        <v>6477</v>
      </c>
      <c r="I108" s="65"/>
      <c r="J108" s="65"/>
      <c r="K108" s="64"/>
      <c r="L108" s="57"/>
      <c r="M108" s="57"/>
      <c r="N108" s="65" t="s">
        <v>7493</v>
      </c>
      <c r="O108" s="65">
        <v>1638543202</v>
      </c>
      <c r="P108" s="65">
        <v>1638543202</v>
      </c>
      <c r="Q108" s="779"/>
      <c r="R108" s="779"/>
      <c r="S108" s="65"/>
      <c r="T108" s="65"/>
      <c r="U108" s="65"/>
      <c r="V108" s="65"/>
      <c r="W108" s="65"/>
      <c r="X108" s="65" t="s">
        <v>7493</v>
      </c>
      <c r="Y108" s="65"/>
      <c r="Z108" s="35"/>
      <c r="AA108" s="1" t="str">
        <f>IFERROR(VLOOKUP(D:D,[1]Габариты!$A:$I,9,0),"")</f>
        <v>Основной ассортимент</v>
      </c>
      <c r="AB108" s="6" t="str">
        <f>IFERROR(VLOOKUP(D:D,[1]Габариты!$A:$D,4,0),"")</f>
        <v>КОМОДЫ</v>
      </c>
      <c r="AC108" s="39" t="str">
        <f>D108</f>
        <v>4013.02.03/01</v>
      </c>
      <c r="AD108" s="13" t="str">
        <f>C108</f>
        <v>СКГТ (ОЗОН)</v>
      </c>
    </row>
    <row r="109" spans="1:30" s="6" customFormat="1" ht="20.100000000000001" customHeight="1" x14ac:dyDescent="0.25">
      <c r="A109" s="631" t="s">
        <v>7538</v>
      </c>
      <c r="B109" s="152"/>
      <c r="C109" s="13" t="s">
        <v>4050</v>
      </c>
      <c r="D109" s="153">
        <v>3889</v>
      </c>
      <c r="E109" s="154">
        <v>13</v>
      </c>
      <c r="F109" s="155">
        <v>3889</v>
      </c>
      <c r="G109" s="156"/>
      <c r="H109" s="154" t="s">
        <v>7553</v>
      </c>
      <c r="I109" s="154"/>
      <c r="J109" s="154"/>
      <c r="K109" s="155"/>
      <c r="L109" s="156"/>
      <c r="M109" s="156"/>
      <c r="N109" s="154" t="s">
        <v>7544</v>
      </c>
      <c r="O109" s="154">
        <v>1726219044</v>
      </c>
      <c r="P109" s="154">
        <v>1726219044</v>
      </c>
      <c r="Q109" s="154"/>
      <c r="R109" s="154"/>
      <c r="S109" s="154"/>
      <c r="T109" s="154"/>
      <c r="U109" s="154"/>
      <c r="V109" s="154"/>
      <c r="W109" s="154"/>
      <c r="X109" s="154" t="s">
        <v>7544</v>
      </c>
      <c r="Y109" s="154"/>
      <c r="AA109" s="1" t="str">
        <f>IFERROR(VLOOKUP(D:D,[1]Габариты!$A:$I,9,0),"")</f>
        <v>Основной ассортимент</v>
      </c>
      <c r="AB109" s="6" t="str">
        <f>IFERROR(VLOOKUP(D:D,[1]Габариты!$A:$D,4,0),"")</f>
        <v>КОМОДЫ</v>
      </c>
      <c r="AC109" s="39">
        <f t="shared" si="10"/>
        <v>3889</v>
      </c>
      <c r="AD109" s="13" t="str">
        <f t="shared" si="12"/>
        <v>СКГТ (ОЗОН)</v>
      </c>
    </row>
    <row r="110" spans="1:30" s="6" customFormat="1" ht="20.100000000000001" customHeight="1" outlineLevel="1" x14ac:dyDescent="0.25">
      <c r="A110" s="633" t="s">
        <v>4276</v>
      </c>
      <c r="B110" s="29"/>
      <c r="C110" s="13" t="s">
        <v>2582</v>
      </c>
      <c r="D110" s="40">
        <v>40110</v>
      </c>
      <c r="E110" s="4">
        <v>21</v>
      </c>
      <c r="F110" s="101" t="s">
        <v>8242</v>
      </c>
      <c r="G110" s="57" t="s">
        <v>7623</v>
      </c>
      <c r="H110" s="4" t="s">
        <v>6468</v>
      </c>
      <c r="I110" s="4"/>
      <c r="J110" s="4" t="s">
        <v>7592</v>
      </c>
      <c r="K110" s="54">
        <v>4011</v>
      </c>
      <c r="L110" s="57"/>
      <c r="M110" s="57"/>
      <c r="N110" s="4" t="s">
        <v>4315</v>
      </c>
      <c r="O110" s="4">
        <v>1603703126</v>
      </c>
      <c r="P110" s="4">
        <v>1603703126</v>
      </c>
      <c r="Q110" s="767"/>
      <c r="R110" s="767"/>
      <c r="S110" s="4"/>
      <c r="T110" s="4"/>
      <c r="U110" s="4"/>
      <c r="V110" s="4"/>
      <c r="W110" s="4"/>
      <c r="X110" s="4" t="s">
        <v>4315</v>
      </c>
      <c r="Y110" s="4"/>
      <c r="Z110" s="35"/>
      <c r="AA110" s="1" t="str">
        <f>IFERROR(VLOOKUP(D:D,[1]Габариты!$A:$I,9,0),"")</f>
        <v>Основной ассортимент</v>
      </c>
      <c r="AB110" s="6" t="str">
        <f>IFERROR(VLOOKUP(D:D,[1]Габариты!$A:$D,4,0),"")</f>
        <v>КОМОДЫ</v>
      </c>
      <c r="AC110" s="39">
        <f t="shared" si="10"/>
        <v>40110</v>
      </c>
      <c r="AD110" s="13" t="str">
        <f>C110</f>
        <v>FBO</v>
      </c>
    </row>
    <row r="111" spans="1:30" s="6" customFormat="1" ht="20.100000000000001" customHeight="1" x14ac:dyDescent="0.25">
      <c r="A111" s="638" t="s">
        <v>5632</v>
      </c>
      <c r="B111" s="103"/>
      <c r="C111" s="13" t="s">
        <v>4050</v>
      </c>
      <c r="D111" s="112">
        <v>3837</v>
      </c>
      <c r="E111" s="100">
        <v>6</v>
      </c>
      <c r="F111" s="101">
        <v>3837</v>
      </c>
      <c r="G111" s="102" t="s">
        <v>5122</v>
      </c>
      <c r="H111" s="100"/>
      <c r="I111" s="100"/>
      <c r="J111" s="100"/>
      <c r="K111" s="54" t="s">
        <v>7937</v>
      </c>
      <c r="L111" s="102">
        <v>1340953921</v>
      </c>
      <c r="M111" s="102">
        <v>1340953921</v>
      </c>
      <c r="N111" s="78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AA111" s="1" t="str">
        <f>IFERROR(VLOOKUP(D:D,[1]Габариты!$A:$I,9,0),"")</f>
        <v>Основной ассортимент</v>
      </c>
      <c r="AB111" s="6" t="str">
        <f>IFERROR(VLOOKUP(D:D,[1]Габариты!$A:$D,4,0),"")</f>
        <v>КОМОДЫ</v>
      </c>
      <c r="AC111" s="39">
        <f>D111</f>
        <v>3837</v>
      </c>
      <c r="AD111" s="13" t="str">
        <f>C111</f>
        <v>СКГТ (ОЗОН)</v>
      </c>
    </row>
    <row r="112" spans="1:30" s="6" customFormat="1" ht="20.100000000000001" customHeight="1" outlineLevel="1" x14ac:dyDescent="0.2">
      <c r="A112" s="753" t="s">
        <v>428</v>
      </c>
      <c r="B112" s="754" t="s">
        <v>7774</v>
      </c>
      <c r="C112" s="90"/>
      <c r="D112" s="91"/>
      <c r="E112" s="92"/>
      <c r="F112" s="101"/>
      <c r="G112" s="94"/>
      <c r="H112" s="92"/>
      <c r="I112" s="92"/>
      <c r="J112" s="92"/>
      <c r="K112" s="93"/>
      <c r="L112" s="94"/>
      <c r="M112" s="94"/>
      <c r="N112" s="92"/>
      <c r="O112" s="92"/>
      <c r="P112" s="92"/>
      <c r="Q112" s="781"/>
      <c r="R112" s="781"/>
      <c r="S112" s="92"/>
      <c r="T112" s="92"/>
      <c r="U112" s="92"/>
      <c r="V112" s="92"/>
      <c r="W112" s="92"/>
      <c r="X112" s="92"/>
      <c r="Y112" s="92"/>
      <c r="Z112" s="35"/>
      <c r="AA112" s="1" t="str">
        <f>IFERROR(VLOOKUP(D:D,[1]Габариты!$A:$I,9,0),"")</f>
        <v/>
      </c>
      <c r="AB112" s="6" t="str">
        <f>IFERROR(VLOOKUP(D:D,[1]Габариты!$A:$D,4,0),"")</f>
        <v/>
      </c>
      <c r="AC112" s="39"/>
      <c r="AD112" s="3"/>
    </row>
    <row r="113" spans="1:30" s="6" customFormat="1" ht="20.100000000000001" customHeight="1" outlineLevel="1" x14ac:dyDescent="0.25">
      <c r="A113" s="642" t="s">
        <v>7997</v>
      </c>
      <c r="B113" s="256"/>
      <c r="C113" s="13" t="s">
        <v>4050</v>
      </c>
      <c r="D113" s="255" t="s">
        <v>7996</v>
      </c>
      <c r="E113" s="252">
        <v>8</v>
      </c>
      <c r="F113" s="253" t="s">
        <v>8195</v>
      </c>
      <c r="G113" s="254"/>
      <c r="H113" s="252" t="s">
        <v>8023</v>
      </c>
      <c r="I113" s="252"/>
      <c r="J113" s="252"/>
      <c r="K113" s="253"/>
      <c r="L113" s="254"/>
      <c r="M113" s="254"/>
      <c r="N113" s="252" t="s">
        <v>8032</v>
      </c>
      <c r="O113" s="252">
        <v>1773059050</v>
      </c>
      <c r="P113" s="252">
        <v>1773059050</v>
      </c>
      <c r="Q113" s="782"/>
      <c r="R113" s="782"/>
      <c r="S113" s="252"/>
      <c r="T113" s="252"/>
      <c r="U113" s="252"/>
      <c r="V113" s="252"/>
      <c r="W113" s="252"/>
      <c r="X113" s="252" t="s">
        <v>8032</v>
      </c>
      <c r="Y113" s="252"/>
      <c r="Z113" s="35"/>
      <c r="AA113" s="1" t="str">
        <f>IFERROR(VLOOKUP(D:D,[1]Габариты!$A:$I,9,0),"")</f>
        <v>Основной ассортимент</v>
      </c>
      <c r="AB113" s="6" t="str">
        <f>IFERROR(VLOOKUP(D:D,[1]Габариты!$A:$D,4,0),"")</f>
        <v>КОМОДЫ</v>
      </c>
      <c r="AC113" s="39" t="str">
        <f t="shared" si="10"/>
        <v>3947.17/01</v>
      </c>
      <c r="AD113" s="13" t="str">
        <f t="shared" ref="AD113:AD151" si="15">C113</f>
        <v>СКГТ (ОЗОН)</v>
      </c>
    </row>
    <row r="114" spans="1:30" s="6" customFormat="1" ht="20.100000000000001" customHeight="1" outlineLevel="1" x14ac:dyDescent="0.25">
      <c r="A114" s="643" t="s">
        <v>8159</v>
      </c>
      <c r="B114" s="342"/>
      <c r="C114" s="13" t="s">
        <v>4050</v>
      </c>
      <c r="D114" s="344" t="s">
        <v>8158</v>
      </c>
      <c r="E114" s="345">
        <v>12</v>
      </c>
      <c r="F114" s="346" t="s">
        <v>8158</v>
      </c>
      <c r="G114" s="347"/>
      <c r="H114" s="345" t="s">
        <v>8189</v>
      </c>
      <c r="I114" s="345"/>
      <c r="J114" s="345"/>
      <c r="K114" s="346"/>
      <c r="L114" s="347"/>
      <c r="M114" s="347"/>
      <c r="N114" s="345" t="s">
        <v>8212</v>
      </c>
      <c r="O114" s="345">
        <v>1832379002</v>
      </c>
      <c r="P114" s="345">
        <v>1832379002</v>
      </c>
      <c r="Q114" s="783"/>
      <c r="R114" s="783"/>
      <c r="S114" s="345"/>
      <c r="T114" s="345"/>
      <c r="U114" s="345"/>
      <c r="V114" s="345"/>
      <c r="W114" s="345"/>
      <c r="X114" s="345" t="s">
        <v>8212</v>
      </c>
      <c r="Y114" s="345"/>
      <c r="Z114" s="35"/>
      <c r="AA114" s="1" t="str">
        <f>IFERROR(VLOOKUP(D:D,[1]Габариты!$A:$I,9,0),"")</f>
        <v>Основной ассортимент</v>
      </c>
      <c r="AB114" s="6" t="str">
        <f>IFERROR(VLOOKUP(D:D,[1]Габариты!$A:$D,4,0),"")</f>
        <v>КОМОДЫ</v>
      </c>
      <c r="AC114" s="39" t="str">
        <f t="shared" si="10"/>
        <v>13001.17/01</v>
      </c>
      <c r="AD114" s="343" t="str">
        <f>C114</f>
        <v>СКГТ (ОЗОН)</v>
      </c>
    </row>
    <row r="115" spans="1:30" s="6" customFormat="1" ht="20.100000000000001" customHeight="1" outlineLevel="1" x14ac:dyDescent="0.25">
      <c r="A115" s="644" t="s">
        <v>8496</v>
      </c>
      <c r="B115" s="478"/>
      <c r="C115" s="13" t="s">
        <v>4050</v>
      </c>
      <c r="D115" s="480" t="s">
        <v>8495</v>
      </c>
      <c r="E115" s="345">
        <v>12</v>
      </c>
      <c r="F115" s="482"/>
      <c r="G115" s="483"/>
      <c r="H115" s="481" t="s">
        <v>8494</v>
      </c>
      <c r="I115" s="481"/>
      <c r="J115" s="481"/>
      <c r="K115" s="482"/>
      <c r="L115" s="483"/>
      <c r="M115" s="483"/>
      <c r="N115" s="481" t="s">
        <v>8536</v>
      </c>
      <c r="O115" s="481">
        <v>1940500711</v>
      </c>
      <c r="P115" s="481">
        <v>1940500711</v>
      </c>
      <c r="Q115" s="784"/>
      <c r="R115" s="784"/>
      <c r="S115" s="481"/>
      <c r="T115" s="481"/>
      <c r="U115" s="481"/>
      <c r="V115" s="481"/>
      <c r="W115" s="481"/>
      <c r="X115" s="481"/>
      <c r="Y115" s="481"/>
      <c r="Z115" s="35"/>
      <c r="AA115" s="1" t="str">
        <f>IFERROR(VLOOKUP(D:D,[1]Габариты!$A:$I,9,0),"")</f>
        <v>Основной ассортимент</v>
      </c>
      <c r="AB115" s="6" t="str">
        <f>IFERROR(VLOOKUP(D:D,[1]Габариты!$A:$D,4,0),"")</f>
        <v>КОМОДЫ</v>
      </c>
      <c r="AC115" s="39" t="str">
        <f t="shared" si="10"/>
        <v>13001.09/01</v>
      </c>
      <c r="AD115" s="343" t="str">
        <f>C115</f>
        <v>СКГТ (ОЗОН)</v>
      </c>
    </row>
    <row r="116" spans="1:30" s="6" customFormat="1" ht="20.100000000000001" customHeight="1" outlineLevel="1" x14ac:dyDescent="0.25">
      <c r="A116" s="645" t="s">
        <v>8658</v>
      </c>
      <c r="B116" s="553"/>
      <c r="C116" s="551" t="s">
        <v>2582</v>
      </c>
      <c r="D116" s="547" t="s">
        <v>8657</v>
      </c>
      <c r="E116" s="548">
        <v>18</v>
      </c>
      <c r="F116" s="549"/>
      <c r="G116" s="550"/>
      <c r="H116" s="548" t="s">
        <v>8659</v>
      </c>
      <c r="I116" s="548"/>
      <c r="J116" s="548"/>
      <c r="K116" s="549"/>
      <c r="L116" s="550"/>
      <c r="M116" s="550"/>
      <c r="N116" s="548" t="s">
        <v>8660</v>
      </c>
      <c r="O116" s="548">
        <v>2157305813</v>
      </c>
      <c r="P116" s="548">
        <v>2157305813</v>
      </c>
      <c r="Q116" s="785"/>
      <c r="R116" s="785"/>
      <c r="S116" s="548"/>
      <c r="T116" s="548"/>
      <c r="U116" s="548"/>
      <c r="V116" s="548"/>
      <c r="W116" s="548"/>
      <c r="X116" s="548"/>
      <c r="Y116" s="548"/>
      <c r="Z116" s="35"/>
      <c r="AA116" s="1" t="str">
        <f>IFERROR(VLOOKUP(D:D,[1]Габариты!$A:$I,9,0),"")</f>
        <v>Основной ассортимент</v>
      </c>
      <c r="AB116" s="6" t="str">
        <f>IFERROR(VLOOKUP(D:D,[1]Габариты!$A:$D,4,0),"")</f>
        <v>КОМОДЫ</v>
      </c>
      <c r="AC116" s="39" t="str">
        <f t="shared" ref="AC116" si="16">D116</f>
        <v>20037.17/01</v>
      </c>
      <c r="AD116" s="343" t="str">
        <f>C116</f>
        <v>FBO</v>
      </c>
    </row>
    <row r="117" spans="1:30" s="6" customFormat="1" ht="20.100000000000001" customHeight="1" outlineLevel="1" x14ac:dyDescent="0.25">
      <c r="A117" s="646" t="s">
        <v>8663</v>
      </c>
      <c r="B117" s="554"/>
      <c r="C117" s="555" t="s">
        <v>2582</v>
      </c>
      <c r="D117" s="556" t="s">
        <v>8662</v>
      </c>
      <c r="E117" s="557">
        <v>16</v>
      </c>
      <c r="F117" s="558"/>
      <c r="G117" s="559"/>
      <c r="H117" s="557" t="s">
        <v>8673</v>
      </c>
      <c r="I117" s="557"/>
      <c r="J117" s="557"/>
      <c r="K117" s="558"/>
      <c r="L117" s="559"/>
      <c r="M117" s="559"/>
      <c r="N117" s="557" t="s">
        <v>8691</v>
      </c>
      <c r="O117" s="557">
        <v>2194134027</v>
      </c>
      <c r="P117" s="557">
        <v>2194134027</v>
      </c>
      <c r="Q117" s="786"/>
      <c r="R117" s="786"/>
      <c r="S117" s="557"/>
      <c r="T117" s="557"/>
      <c r="U117" s="557"/>
      <c r="V117" s="557"/>
      <c r="W117" s="557"/>
      <c r="X117" s="557"/>
      <c r="Y117" s="557"/>
      <c r="Z117" s="35"/>
      <c r="AA117" s="1" t="str">
        <f>IFERROR(VLOOKUP(D:D,[1]Габариты!$A:$I,9,0),"")</f>
        <v>Основной ассортимент</v>
      </c>
      <c r="AB117" s="6" t="str">
        <f>IFERROR(VLOOKUP(D:D,[1]Габариты!$A:$D,4,0),"")</f>
        <v>КОМОДЫ</v>
      </c>
      <c r="AC117" s="39" t="str">
        <f t="shared" ref="AC117" si="17">D117</f>
        <v>20040.17/01</v>
      </c>
      <c r="AD117" s="343" t="str">
        <f>C117</f>
        <v>FBO</v>
      </c>
    </row>
    <row r="118" spans="1:30" s="6" customFormat="1" ht="20.100000000000001" customHeight="1" outlineLevel="1" x14ac:dyDescent="0.2">
      <c r="A118" s="753" t="s">
        <v>428</v>
      </c>
      <c r="B118" s="754" t="s">
        <v>5530</v>
      </c>
      <c r="C118" s="90"/>
      <c r="D118" s="91"/>
      <c r="E118" s="92"/>
      <c r="F118" s="101"/>
      <c r="G118" s="94"/>
      <c r="H118" s="92"/>
      <c r="I118" s="92"/>
      <c r="J118" s="92"/>
      <c r="K118" s="93"/>
      <c r="L118" s="94"/>
      <c r="M118" s="94"/>
      <c r="N118" s="92"/>
      <c r="O118" s="92"/>
      <c r="P118" s="92"/>
      <c r="Q118" s="781"/>
      <c r="R118" s="781"/>
      <c r="S118" s="92"/>
      <c r="T118" s="92"/>
      <c r="U118" s="92"/>
      <c r="V118" s="92"/>
      <c r="W118" s="92"/>
      <c r="X118" s="92"/>
      <c r="Y118" s="92"/>
      <c r="Z118" s="35"/>
      <c r="AA118" s="1" t="str">
        <f>IFERROR(VLOOKUP(D:D,[1]Габариты!$A:$I,9,0),"")</f>
        <v/>
      </c>
      <c r="AB118" s="6" t="str">
        <f>IFERROR(VLOOKUP(D:D,[1]Габариты!$A:$D,4,0),"")</f>
        <v/>
      </c>
      <c r="AC118" s="39"/>
      <c r="AD118" s="3"/>
    </row>
    <row r="119" spans="1:30" s="6" customFormat="1" ht="20.100000000000001" customHeight="1" outlineLevel="1" x14ac:dyDescent="0.25">
      <c r="A119" s="633" t="s">
        <v>4747</v>
      </c>
      <c r="B119" s="29"/>
      <c r="C119" s="13" t="s">
        <v>4050</v>
      </c>
      <c r="D119" s="40" t="s">
        <v>4752</v>
      </c>
      <c r="E119" s="4">
        <v>8</v>
      </c>
      <c r="F119" s="101" t="s">
        <v>6306</v>
      </c>
      <c r="G119" s="57" t="s">
        <v>5342</v>
      </c>
      <c r="H119" s="4" t="s">
        <v>6476</v>
      </c>
      <c r="I119" s="4"/>
      <c r="J119" s="4"/>
      <c r="K119" s="54" t="s">
        <v>6306</v>
      </c>
      <c r="L119" s="57">
        <v>1648728655</v>
      </c>
      <c r="M119" s="57">
        <v>1648728655</v>
      </c>
      <c r="N119" s="4" t="s">
        <v>4755</v>
      </c>
      <c r="O119" s="4">
        <v>1674358801</v>
      </c>
      <c r="P119" s="4">
        <v>1674358801</v>
      </c>
      <c r="Q119" s="767"/>
      <c r="R119" s="767"/>
      <c r="S119" s="4"/>
      <c r="T119" s="4"/>
      <c r="U119" s="4"/>
      <c r="V119" s="4"/>
      <c r="W119" s="4"/>
      <c r="X119" s="4"/>
      <c r="Y119" s="4"/>
      <c r="Z119" s="35"/>
      <c r="AA119" s="1" t="str">
        <f>IFERROR(VLOOKUP(D:D,[1]Габариты!$A:$I,9,0),"")</f>
        <v>Вакансия</v>
      </c>
      <c r="AB119" s="6" t="str">
        <f>IFERROR(VLOOKUP(D:D,[1]Габариты!$A:$D,4,0),"")</f>
        <v>КОМОДЫ</v>
      </c>
      <c r="AC119" s="39" t="str">
        <f t="shared" ref="AC119:AC181" si="18">D119</f>
        <v>4152.17.05/01</v>
      </c>
      <c r="AD119" s="13" t="str">
        <f>C119</f>
        <v>СКГТ (ОЗОН)</v>
      </c>
    </row>
    <row r="120" spans="1:30" s="6" customFormat="1" ht="20.100000000000001" customHeight="1" outlineLevel="1" x14ac:dyDescent="0.25">
      <c r="A120" s="647" t="s">
        <v>7741</v>
      </c>
      <c r="B120" s="29"/>
      <c r="C120" s="13" t="s">
        <v>4050</v>
      </c>
      <c r="D120" s="204" t="s">
        <v>7742</v>
      </c>
      <c r="E120" s="205">
        <v>12</v>
      </c>
      <c r="F120" s="206" t="s">
        <v>7743</v>
      </c>
      <c r="G120" s="207"/>
      <c r="H120" s="205" t="s">
        <v>7740</v>
      </c>
      <c r="I120" s="205"/>
      <c r="J120" s="205"/>
      <c r="K120" s="206"/>
      <c r="L120" s="207"/>
      <c r="M120" s="207"/>
      <c r="N120" s="205" t="s">
        <v>7784</v>
      </c>
      <c r="O120" s="205">
        <v>1749714781</v>
      </c>
      <c r="P120" s="205">
        <v>1749714781</v>
      </c>
      <c r="Q120" s="787"/>
      <c r="R120" s="787"/>
      <c r="S120" s="205"/>
      <c r="T120" s="205"/>
      <c r="U120" s="205"/>
      <c r="V120" s="205"/>
      <c r="W120" s="205"/>
      <c r="X120" s="205" t="s">
        <v>7784</v>
      </c>
      <c r="Y120" s="205"/>
      <c r="Z120" s="35"/>
      <c r="AA120" s="1" t="str">
        <f>IFERROR(VLOOKUP(D:D,[1]Габариты!$A:$I,9,0),"")</f>
        <v>Основной ассортимент</v>
      </c>
      <c r="AB120" s="6" t="str">
        <f>IFERROR(VLOOKUP(D:D,[1]Габариты!$A:$D,4,0),"")</f>
        <v>КОМОДЫ</v>
      </c>
      <c r="AC120" s="39" t="str">
        <f t="shared" si="18"/>
        <v>4506.17/01</v>
      </c>
      <c r="AD120" s="13" t="str">
        <f>C120</f>
        <v>СКГТ (ОЗОН)</v>
      </c>
    </row>
    <row r="121" spans="1:30" s="6" customFormat="1" ht="20.100000000000001" customHeight="1" outlineLevel="1" x14ac:dyDescent="0.25">
      <c r="A121" s="648" t="s">
        <v>8099</v>
      </c>
      <c r="B121" s="29"/>
      <c r="C121" s="316" t="s">
        <v>2582</v>
      </c>
      <c r="D121" s="317">
        <v>3855</v>
      </c>
      <c r="E121" s="318">
        <v>18</v>
      </c>
      <c r="F121" s="319">
        <v>3855</v>
      </c>
      <c r="G121" s="320"/>
      <c r="H121" s="318" t="s">
        <v>8103</v>
      </c>
      <c r="I121" s="318"/>
      <c r="J121" s="318"/>
      <c r="K121" s="319"/>
      <c r="L121" s="320"/>
      <c r="M121" s="320"/>
      <c r="N121" s="318" t="s">
        <v>8106</v>
      </c>
      <c r="O121" s="318">
        <v>1801376328</v>
      </c>
      <c r="P121" s="318">
        <v>1801376328</v>
      </c>
      <c r="Q121" s="788"/>
      <c r="R121" s="788"/>
      <c r="S121" s="318"/>
      <c r="T121" s="318"/>
      <c r="U121" s="318"/>
      <c r="V121" s="318"/>
      <c r="W121" s="318"/>
      <c r="X121" s="318" t="s">
        <v>8106</v>
      </c>
      <c r="Y121" s="318"/>
      <c r="Z121" s="35"/>
      <c r="AA121" s="1" t="str">
        <f>IFERROR(VLOOKUP(D:D,[1]Габариты!$A:$I,9,0),"")</f>
        <v>Вакансия</v>
      </c>
      <c r="AB121" s="6" t="str">
        <f>IFERROR(VLOOKUP(D:D,[1]Габариты!$A:$D,4,0),"")</f>
        <v>КОМОДЫ</v>
      </c>
      <c r="AC121" s="39">
        <f t="shared" si="18"/>
        <v>3855</v>
      </c>
      <c r="AD121" s="13" t="str">
        <f t="shared" ref="AD121" si="19">C121</f>
        <v>FBO</v>
      </c>
    </row>
    <row r="122" spans="1:30" s="6" customFormat="1" ht="20.100000000000001" customHeight="1" outlineLevel="1" x14ac:dyDescent="0.25">
      <c r="A122" s="649" t="s">
        <v>8477</v>
      </c>
      <c r="B122" s="29"/>
      <c r="C122" s="455" t="s">
        <v>2582</v>
      </c>
      <c r="D122" s="461" t="s">
        <v>8467</v>
      </c>
      <c r="E122" s="459">
        <v>18</v>
      </c>
      <c r="F122" s="457"/>
      <c r="G122" s="458"/>
      <c r="H122" s="459" t="s">
        <v>8468</v>
      </c>
      <c r="I122" s="459"/>
      <c r="J122" s="459"/>
      <c r="K122" s="457"/>
      <c r="L122" s="458"/>
      <c r="M122" s="458"/>
      <c r="N122" s="459" t="s">
        <v>8526</v>
      </c>
      <c r="O122" s="459">
        <v>1931759126</v>
      </c>
      <c r="P122" s="459">
        <v>1931759126</v>
      </c>
      <c r="Q122" s="789"/>
      <c r="R122" s="789"/>
      <c r="S122" s="459"/>
      <c r="T122" s="459"/>
      <c r="U122" s="459"/>
      <c r="V122" s="459"/>
      <c r="W122" s="459"/>
      <c r="X122" s="459"/>
      <c r="Y122" s="459"/>
      <c r="Z122" s="35"/>
      <c r="AA122" s="1" t="str">
        <f>IFERROR(VLOOKUP(D:D,[1]Габариты!$A:$I,9,0),"")</f>
        <v>Основной ассортимент</v>
      </c>
      <c r="AB122" s="6" t="str">
        <f>IFERROR(VLOOKUP(D:D,[1]Габариты!$A:$D,4,0),"")</f>
        <v>КОМОДЫ</v>
      </c>
      <c r="AC122" s="39" t="str">
        <f t="shared" si="18"/>
        <v>4300.07.05.24/01</v>
      </c>
      <c r="AD122" s="352" t="str">
        <f t="shared" ref="AD122:AD123" si="20">C122</f>
        <v>FBO</v>
      </c>
    </row>
    <row r="123" spans="1:30" s="6" customFormat="1" ht="20.100000000000001" customHeight="1" outlineLevel="1" x14ac:dyDescent="0.25">
      <c r="A123" s="650" t="s">
        <v>8478</v>
      </c>
      <c r="B123" s="29"/>
      <c r="C123" s="13" t="s">
        <v>4050</v>
      </c>
      <c r="D123" s="464" t="s">
        <v>8476</v>
      </c>
      <c r="E123" s="465">
        <v>10</v>
      </c>
      <c r="F123" s="466"/>
      <c r="G123" s="467"/>
      <c r="H123" s="465" t="s">
        <v>8475</v>
      </c>
      <c r="I123" s="465"/>
      <c r="J123" s="465"/>
      <c r="K123" s="466"/>
      <c r="L123" s="467"/>
      <c r="M123" s="467"/>
      <c r="N123" s="465" t="s">
        <v>8527</v>
      </c>
      <c r="O123" s="465">
        <v>1934678448</v>
      </c>
      <c r="P123" s="465">
        <v>1934678448</v>
      </c>
      <c r="Q123" s="790"/>
      <c r="R123" s="790"/>
      <c r="S123" s="465"/>
      <c r="T123" s="465"/>
      <c r="U123" s="465"/>
      <c r="V123" s="465"/>
      <c r="W123" s="465"/>
      <c r="X123" s="465"/>
      <c r="Y123" s="465"/>
      <c r="Z123" s="35"/>
      <c r="AA123" s="1" t="str">
        <f>IFERROR(VLOOKUP(D:D,[1]Габариты!$A:$I,9,0),"")</f>
        <v>Основной ассортимент</v>
      </c>
      <c r="AB123" s="6" t="str">
        <f>IFERROR(VLOOKUP(D:D,[1]Габариты!$A:$D,4,0),"")</f>
        <v>КОМОДЫ</v>
      </c>
      <c r="AC123" s="39" t="str">
        <f t="shared" si="18"/>
        <v>3973.17/01</v>
      </c>
      <c r="AD123" s="352" t="str">
        <f t="shared" si="20"/>
        <v>СКГТ (ОЗОН)</v>
      </c>
    </row>
    <row r="124" spans="1:30" s="6" customFormat="1" ht="20.100000000000001" customHeight="1" outlineLevel="1" x14ac:dyDescent="0.25">
      <c r="A124" s="644" t="s">
        <v>8505</v>
      </c>
      <c r="B124" s="29"/>
      <c r="C124" s="13" t="s">
        <v>4050</v>
      </c>
      <c r="D124" s="480" t="s">
        <v>8504</v>
      </c>
      <c r="E124" s="481">
        <v>12</v>
      </c>
      <c r="F124" s="482"/>
      <c r="G124" s="483"/>
      <c r="H124" s="481" t="s">
        <v>8503</v>
      </c>
      <c r="I124" s="481"/>
      <c r="J124" s="481"/>
      <c r="K124" s="482"/>
      <c r="L124" s="483"/>
      <c r="M124" s="483"/>
      <c r="N124" s="481" t="s">
        <v>8535</v>
      </c>
      <c r="O124" s="481">
        <v>1940474754</v>
      </c>
      <c r="P124" s="481">
        <v>1940474754</v>
      </c>
      <c r="Q124" s="784"/>
      <c r="R124" s="784"/>
      <c r="S124" s="481"/>
      <c r="T124" s="481"/>
      <c r="U124" s="481"/>
      <c r="V124" s="481"/>
      <c r="W124" s="481"/>
      <c r="X124" s="481" t="s">
        <v>8535</v>
      </c>
      <c r="Y124" s="481"/>
      <c r="Z124" s="35"/>
      <c r="AA124" s="1" t="str">
        <f>IFERROR(VLOOKUP(D:D,[1]Габариты!$A:$I,9,0),"")</f>
        <v>Основной ассортимент</v>
      </c>
      <c r="AB124" s="6" t="str">
        <f>IFERROR(VLOOKUP(D:D,[1]Габариты!$A:$D,4,0),"")</f>
        <v>КОМОДЫ</v>
      </c>
      <c r="AC124" s="39" t="str">
        <f t="shared" si="18"/>
        <v>9901.09.31/01</v>
      </c>
      <c r="AD124" s="352" t="str">
        <f t="shared" ref="AD124" si="21">C124</f>
        <v>СКГТ (ОЗОН)</v>
      </c>
    </row>
    <row r="125" spans="1:30" s="6" customFormat="1" ht="20.100000000000001" customHeight="1" outlineLevel="1" x14ac:dyDescent="0.25">
      <c r="A125" s="651" t="s">
        <v>8551</v>
      </c>
      <c r="B125" s="29"/>
      <c r="C125" s="13" t="s">
        <v>4050</v>
      </c>
      <c r="D125" s="496" t="s">
        <v>8549</v>
      </c>
      <c r="E125" s="497">
        <v>10</v>
      </c>
      <c r="F125" s="498"/>
      <c r="G125" s="499"/>
      <c r="H125" s="497" t="s">
        <v>8547</v>
      </c>
      <c r="I125" s="497"/>
      <c r="J125" s="497"/>
      <c r="K125" s="498"/>
      <c r="L125" s="499"/>
      <c r="M125" s="499"/>
      <c r="N125" s="497" t="s">
        <v>8554</v>
      </c>
      <c r="O125" s="497">
        <v>1950392825</v>
      </c>
      <c r="P125" s="497">
        <v>1950392825</v>
      </c>
      <c r="Q125" s="791"/>
      <c r="R125" s="791"/>
      <c r="S125" s="497"/>
      <c r="T125" s="497"/>
      <c r="U125" s="497"/>
      <c r="V125" s="497"/>
      <c r="W125" s="497"/>
      <c r="X125" s="497"/>
      <c r="Y125" s="497"/>
      <c r="Z125" s="35"/>
      <c r="AA125" s="1" t="str">
        <f>IFERROR(VLOOKUP(D:D,[1]Габариты!$A:$I,9,0),"")</f>
        <v>Основной ассортимент</v>
      </c>
      <c r="AB125" s="6" t="str">
        <f>IFERROR(VLOOKUP(D:D,[1]Габариты!$A:$D,4,0),"")</f>
        <v>КОМОДЫ</v>
      </c>
      <c r="AC125" s="39" t="str">
        <f t="shared" si="18"/>
        <v>5201.17Ч/01</v>
      </c>
      <c r="AD125" s="352" t="str">
        <f t="shared" ref="AD125:AD126" si="22">C125</f>
        <v>СКГТ (ОЗОН)</v>
      </c>
    </row>
    <row r="126" spans="1:30" s="6" customFormat="1" ht="20.100000000000001" customHeight="1" outlineLevel="1" x14ac:dyDescent="0.25">
      <c r="A126" s="651" t="s">
        <v>8552</v>
      </c>
      <c r="B126" s="29"/>
      <c r="C126" s="13" t="s">
        <v>4050</v>
      </c>
      <c r="D126" s="496" t="s">
        <v>8550</v>
      </c>
      <c r="E126" s="497">
        <v>13</v>
      </c>
      <c r="F126" s="498"/>
      <c r="G126" s="499"/>
      <c r="H126" s="497" t="s">
        <v>8548</v>
      </c>
      <c r="I126" s="497"/>
      <c r="J126" s="497"/>
      <c r="K126" s="498"/>
      <c r="L126" s="499"/>
      <c r="M126" s="499"/>
      <c r="N126" s="497" t="s">
        <v>8599</v>
      </c>
      <c r="O126" s="497">
        <v>1953080870</v>
      </c>
      <c r="P126" s="497">
        <v>1953080870</v>
      </c>
      <c r="Q126" s="791"/>
      <c r="R126" s="791"/>
      <c r="S126" s="497"/>
      <c r="T126" s="497"/>
      <c r="U126" s="497"/>
      <c r="V126" s="497"/>
      <c r="W126" s="497"/>
      <c r="X126" s="497"/>
      <c r="Y126" s="497"/>
      <c r="Z126" s="35"/>
      <c r="AA126" s="1" t="str">
        <f>IFERROR(VLOOKUP(D:D,[1]Габариты!$A:$I,9,0),"")</f>
        <v>Основной ассортимент</v>
      </c>
      <c r="AB126" s="6" t="str">
        <f>IFERROR(VLOOKUP(D:D,[1]Габариты!$A:$D,4,0),"")</f>
        <v>КОМОДЫ</v>
      </c>
      <c r="AC126" s="39" t="str">
        <f t="shared" si="18"/>
        <v>5202.17Ч/01</v>
      </c>
      <c r="AD126" s="352" t="str">
        <f t="shared" si="22"/>
        <v>СКГТ (ОЗОН)</v>
      </c>
    </row>
    <row r="127" spans="1:30" s="6" customFormat="1" ht="20.100000000000001" customHeight="1" outlineLevel="1" x14ac:dyDescent="0.25">
      <c r="A127" s="633" t="s">
        <v>4382</v>
      </c>
      <c r="B127" s="29"/>
      <c r="C127" s="13" t="s">
        <v>2582</v>
      </c>
      <c r="D127" s="40">
        <v>3763</v>
      </c>
      <c r="E127" s="4">
        <v>21</v>
      </c>
      <c r="F127" s="101">
        <v>3763</v>
      </c>
      <c r="G127" s="57" t="s">
        <v>5118</v>
      </c>
      <c r="H127" s="4" t="s">
        <v>6471</v>
      </c>
      <c r="I127" s="4"/>
      <c r="J127" s="4" t="s">
        <v>7595</v>
      </c>
      <c r="K127" s="54" t="s">
        <v>7873</v>
      </c>
      <c r="L127" s="57">
        <v>1617541955</v>
      </c>
      <c r="M127" s="57">
        <v>1617541955</v>
      </c>
      <c r="N127" s="4" t="s">
        <v>4405</v>
      </c>
      <c r="O127" s="4">
        <v>1626401209</v>
      </c>
      <c r="P127" s="4">
        <v>1626401209</v>
      </c>
      <c r="Q127" s="767"/>
      <c r="R127" s="767"/>
      <c r="S127" s="4"/>
      <c r="T127" s="4"/>
      <c r="U127" s="4"/>
      <c r="V127" s="4"/>
      <c r="W127" s="4"/>
      <c r="X127" s="4" t="s">
        <v>4405</v>
      </c>
      <c r="Y127" s="4"/>
      <c r="Z127" s="35"/>
      <c r="AA127" s="1" t="str">
        <f>IFERROR(VLOOKUP(D:D,[1]Габариты!$A:$I,9,0),"")</f>
        <v>Вакансия</v>
      </c>
      <c r="AB127" s="6" t="str">
        <f>IFERROR(VLOOKUP(D:D,[1]Габариты!$A:$D,4,0),"")</f>
        <v>КОМОДЫ</v>
      </c>
      <c r="AC127" s="39">
        <f>D127</f>
        <v>3763</v>
      </c>
      <c r="AD127" s="13" t="str">
        <f>C127</f>
        <v>FBO</v>
      </c>
    </row>
    <row r="128" spans="1:30" s="6" customFormat="1" ht="20.100000000000001" customHeight="1" outlineLevel="1" x14ac:dyDescent="0.25">
      <c r="A128" s="639" t="s">
        <v>5681</v>
      </c>
      <c r="B128" s="29"/>
      <c r="C128" s="71" t="s">
        <v>2582</v>
      </c>
      <c r="D128" s="72">
        <v>3210</v>
      </c>
      <c r="E128" s="73">
        <v>20</v>
      </c>
      <c r="F128" s="101">
        <v>3210</v>
      </c>
      <c r="G128" s="57"/>
      <c r="H128" s="73" t="s">
        <v>6973</v>
      </c>
      <c r="I128" s="73"/>
      <c r="J128" s="73"/>
      <c r="K128" s="74"/>
      <c r="L128" s="57"/>
      <c r="M128" s="57"/>
      <c r="N128" s="771" t="s">
        <v>6127</v>
      </c>
      <c r="O128" s="73">
        <v>1695105568</v>
      </c>
      <c r="P128" s="73">
        <v>1695105568</v>
      </c>
      <c r="Q128" s="775"/>
      <c r="R128" s="775"/>
      <c r="S128" s="73"/>
      <c r="T128" s="73"/>
      <c r="U128" s="73"/>
      <c r="V128" s="73"/>
      <c r="W128" s="73"/>
      <c r="X128" s="73" t="s">
        <v>6127</v>
      </c>
      <c r="Y128" s="73"/>
      <c r="Z128" s="35"/>
      <c r="AA128" s="1" t="str">
        <f>IFERROR(VLOOKUP(D:D,[1]Габариты!$A:$I,9,0),"")</f>
        <v>Вакансия</v>
      </c>
      <c r="AB128" s="6" t="str">
        <f>IFERROR(VLOOKUP(D:D,[1]Габариты!$A:$D,4,0),"")</f>
        <v>КОМОДЫ</v>
      </c>
      <c r="AC128" s="39">
        <f>D128</f>
        <v>3210</v>
      </c>
      <c r="AD128" s="13" t="str">
        <f>C128</f>
        <v>FBO</v>
      </c>
    </row>
    <row r="129" spans="1:30" s="6" customFormat="1" ht="20.100000000000001" customHeight="1" outlineLevel="1" x14ac:dyDescent="0.25">
      <c r="A129" s="641" t="s">
        <v>5682</v>
      </c>
      <c r="B129" s="29"/>
      <c r="C129" s="71" t="s">
        <v>2581</v>
      </c>
      <c r="D129" s="72">
        <v>3211</v>
      </c>
      <c r="E129" s="73">
        <v>18</v>
      </c>
      <c r="F129" s="101">
        <v>3211</v>
      </c>
      <c r="G129" s="57"/>
      <c r="H129" s="73" t="s">
        <v>6974</v>
      </c>
      <c r="I129" s="73"/>
      <c r="J129" s="73"/>
      <c r="K129" s="74"/>
      <c r="L129" s="57"/>
      <c r="M129" s="57"/>
      <c r="N129" s="771" t="s">
        <v>6128</v>
      </c>
      <c r="O129" s="73">
        <v>1695122353</v>
      </c>
      <c r="P129" s="73">
        <v>1695122353</v>
      </c>
      <c r="Q129" s="775"/>
      <c r="R129" s="775"/>
      <c r="S129" s="73"/>
      <c r="T129" s="73"/>
      <c r="U129" s="73"/>
      <c r="V129" s="73"/>
      <c r="W129" s="73"/>
      <c r="X129" s="73" t="s">
        <v>6128</v>
      </c>
      <c r="Y129" s="73"/>
      <c r="Z129" s="35"/>
      <c r="AA129" s="1" t="str">
        <f>IFERROR(VLOOKUP(D:D,[1]Габариты!$A:$I,9,0),"")</f>
        <v>Вакансия</v>
      </c>
      <c r="AB129" s="6" t="str">
        <f>IFERROR(VLOOKUP(D:D,[1]Габариты!$A:$D,4,0),"")</f>
        <v>КОМОДЫ</v>
      </c>
      <c r="AC129" s="39">
        <f>D129</f>
        <v>3211</v>
      </c>
      <c r="AD129" s="13" t="str">
        <f>C129</f>
        <v>FBS</v>
      </c>
    </row>
    <row r="130" spans="1:30" s="6" customFormat="1" ht="20.100000000000001" customHeight="1" outlineLevel="1" x14ac:dyDescent="0.25">
      <c r="A130" s="652" t="s">
        <v>8291</v>
      </c>
      <c r="B130" s="388"/>
      <c r="C130" s="13" t="s">
        <v>4050</v>
      </c>
      <c r="D130" s="389" t="s">
        <v>8292</v>
      </c>
      <c r="E130" s="385">
        <v>13</v>
      </c>
      <c r="F130" s="386" t="s">
        <v>8398</v>
      </c>
      <c r="G130" s="387"/>
      <c r="H130" s="385" t="s">
        <v>8293</v>
      </c>
      <c r="I130" s="385"/>
      <c r="J130" s="385"/>
      <c r="K130" s="386"/>
      <c r="L130" s="387"/>
      <c r="M130" s="387"/>
      <c r="N130" s="385" t="s">
        <v>8330</v>
      </c>
      <c r="O130" s="385">
        <v>1855055305</v>
      </c>
      <c r="P130" s="385">
        <v>1855055305</v>
      </c>
      <c r="Q130" s="792"/>
      <c r="R130" s="792"/>
      <c r="S130" s="385"/>
      <c r="T130" s="385"/>
      <c r="U130" s="385"/>
      <c r="V130" s="385"/>
      <c r="W130" s="385"/>
      <c r="X130" s="385"/>
      <c r="Y130" s="385"/>
      <c r="Z130" s="35"/>
      <c r="AA130" s="1" t="str">
        <f>IFERROR(VLOOKUP(D:D,[1]Габариты!$A:$I,9,0),"")</f>
        <v>Вакансия</v>
      </c>
      <c r="AB130" s="6" t="str">
        <f>IFERROR(VLOOKUP(D:D,[1]Габариты!$A:$D,4,0),"")</f>
        <v>КОМОДЫ</v>
      </c>
      <c r="AC130" s="39" t="str">
        <f>D130</f>
        <v>5072.17Ч/01</v>
      </c>
      <c r="AD130" s="343" t="str">
        <f>C130</f>
        <v>СКГТ (ОЗОН)</v>
      </c>
    </row>
    <row r="131" spans="1:30" s="6" customFormat="1" ht="20.100000000000001" customHeight="1" outlineLevel="1" x14ac:dyDescent="0.2">
      <c r="A131" s="753" t="s">
        <v>7559</v>
      </c>
      <c r="B131" s="754" t="s">
        <v>5530</v>
      </c>
      <c r="C131" s="164"/>
      <c r="D131" s="165"/>
      <c r="E131" s="166"/>
      <c r="F131" s="167"/>
      <c r="G131" s="168"/>
      <c r="H131" s="166"/>
      <c r="I131" s="166"/>
      <c r="J131" s="166"/>
      <c r="K131" s="167"/>
      <c r="L131" s="168"/>
      <c r="M131" s="168"/>
      <c r="N131" s="166"/>
      <c r="O131" s="166"/>
      <c r="P131" s="166"/>
      <c r="Q131" s="793"/>
      <c r="R131" s="793"/>
      <c r="S131" s="166"/>
      <c r="T131" s="166"/>
      <c r="U131" s="166"/>
      <c r="V131" s="166"/>
      <c r="W131" s="166"/>
      <c r="X131" s="92"/>
      <c r="Y131" s="166"/>
      <c r="Z131" s="35"/>
      <c r="AA131" s="1" t="str">
        <f>IFERROR(VLOOKUP(D:D,[1]Габариты!$A:$I,9,0),"")</f>
        <v/>
      </c>
      <c r="AB131" s="6" t="str">
        <f>IFERROR(VLOOKUP(D:D,[1]Габариты!$A:$D,4,0),"")</f>
        <v/>
      </c>
      <c r="AC131" s="39"/>
      <c r="AD131" s="13"/>
    </row>
    <row r="132" spans="1:30" s="6" customFormat="1" ht="20.100000000000001" customHeight="1" outlineLevel="1" x14ac:dyDescent="0.25">
      <c r="A132" s="653" t="s">
        <v>8406</v>
      </c>
      <c r="B132" s="429"/>
      <c r="C132" s="424"/>
      <c r="D132" s="430" t="s">
        <v>8402</v>
      </c>
      <c r="E132" s="426"/>
      <c r="F132" s="427"/>
      <c r="G132" s="428"/>
      <c r="H132" s="426"/>
      <c r="I132" s="426"/>
      <c r="J132" s="426"/>
      <c r="K132" s="427"/>
      <c r="L132" s="428"/>
      <c r="M132" s="428"/>
      <c r="N132" s="426"/>
      <c r="O132" s="426"/>
      <c r="P132" s="426"/>
      <c r="Q132" s="794"/>
      <c r="R132" s="794"/>
      <c r="S132" s="426"/>
      <c r="T132" s="426"/>
      <c r="U132" s="426"/>
      <c r="V132" s="426"/>
      <c r="W132" s="426"/>
      <c r="X132" s="426"/>
      <c r="Y132" s="426"/>
      <c r="Z132" s="35"/>
      <c r="AA132" s="1" t="str">
        <f>IFERROR(VLOOKUP(D:D,[1]Габариты!$A:$I,9,0),"")</f>
        <v>Основной ассортимент</v>
      </c>
      <c r="AB132" s="6" t="str">
        <f>IFERROR(VLOOKUP(D:D,[1]Габариты!$A:$D,4,0),"")</f>
        <v>КРОВАТИ</v>
      </c>
      <c r="AC132" s="39" t="str">
        <f t="shared" si="18"/>
        <v>19000.17/01</v>
      </c>
      <c r="AD132" s="13">
        <f t="shared" ref="AD132:AD135" si="23">C132</f>
        <v>0</v>
      </c>
    </row>
    <row r="133" spans="1:30" s="6" customFormat="1" ht="20.100000000000001" customHeight="1" outlineLevel="1" x14ac:dyDescent="0.25">
      <c r="A133" s="653" t="s">
        <v>8407</v>
      </c>
      <c r="B133" s="429"/>
      <c r="C133" s="424"/>
      <c r="D133" s="430" t="s">
        <v>8403</v>
      </c>
      <c r="E133" s="426"/>
      <c r="F133" s="427"/>
      <c r="G133" s="428"/>
      <c r="H133" s="426"/>
      <c r="I133" s="426"/>
      <c r="J133" s="426"/>
      <c r="K133" s="427"/>
      <c r="L133" s="428"/>
      <c r="M133" s="428"/>
      <c r="N133" s="426"/>
      <c r="O133" s="426"/>
      <c r="P133" s="426"/>
      <c r="Q133" s="794"/>
      <c r="R133" s="794"/>
      <c r="S133" s="426"/>
      <c r="T133" s="426"/>
      <c r="U133" s="426"/>
      <c r="V133" s="426"/>
      <c r="W133" s="426"/>
      <c r="X133" s="426"/>
      <c r="Y133" s="426"/>
      <c r="Z133" s="35"/>
      <c r="AA133" s="1" t="str">
        <f>IFERROR(VLOOKUP(D:D,[1]Габариты!$A:$I,9,0),"")</f>
        <v>Основной ассортимент</v>
      </c>
      <c r="AB133" s="6" t="str">
        <f>IFERROR(VLOOKUP(D:D,[1]Габариты!$A:$D,4,0),"")</f>
        <v>КРОВАТИ</v>
      </c>
      <c r="AC133" s="39" t="str">
        <f t="shared" si="18"/>
        <v>19001.17/02</v>
      </c>
      <c r="AD133" s="13">
        <f t="shared" si="23"/>
        <v>0</v>
      </c>
    </row>
    <row r="134" spans="1:30" s="6" customFormat="1" ht="20.100000000000001" customHeight="1" outlineLevel="1" x14ac:dyDescent="0.25">
      <c r="A134" s="653" t="s">
        <v>8408</v>
      </c>
      <c r="B134" s="429"/>
      <c r="C134" s="424"/>
      <c r="D134" s="430" t="s">
        <v>8404</v>
      </c>
      <c r="E134" s="426"/>
      <c r="F134" s="427"/>
      <c r="G134" s="428"/>
      <c r="H134" s="426"/>
      <c r="I134" s="426"/>
      <c r="J134" s="426"/>
      <c r="K134" s="427"/>
      <c r="L134" s="428"/>
      <c r="M134" s="428"/>
      <c r="N134" s="426"/>
      <c r="O134" s="426"/>
      <c r="P134" s="426"/>
      <c r="Q134" s="794"/>
      <c r="R134" s="794"/>
      <c r="S134" s="426"/>
      <c r="T134" s="426"/>
      <c r="U134" s="426"/>
      <c r="V134" s="426"/>
      <c r="W134" s="426"/>
      <c r="X134" s="426"/>
      <c r="Y134" s="426"/>
      <c r="Z134" s="35"/>
      <c r="AA134" s="1" t="str">
        <f>IFERROR(VLOOKUP(D:D,[1]Габариты!$A:$I,9,0),"")</f>
        <v>Основной ассортимент</v>
      </c>
      <c r="AB134" s="6" t="str">
        <f>IFERROR(VLOOKUP(D:D,[1]Габариты!$A:$D,4,0),"")</f>
        <v>КРОВАТИ</v>
      </c>
      <c r="AC134" s="39" t="str">
        <f t="shared" si="18"/>
        <v>19002.00/03</v>
      </c>
      <c r="AD134" s="13">
        <f t="shared" si="23"/>
        <v>0</v>
      </c>
    </row>
    <row r="135" spans="1:30" s="6" customFormat="1" ht="20.100000000000001" customHeight="1" outlineLevel="1" x14ac:dyDescent="0.25">
      <c r="A135" s="653" t="s">
        <v>8409</v>
      </c>
      <c r="B135" s="429"/>
      <c r="C135" s="424"/>
      <c r="D135" s="430" t="s">
        <v>8405</v>
      </c>
      <c r="E135" s="426"/>
      <c r="F135" s="427"/>
      <c r="G135" s="428"/>
      <c r="H135" s="426"/>
      <c r="I135" s="426"/>
      <c r="J135" s="426"/>
      <c r="K135" s="427"/>
      <c r="L135" s="428"/>
      <c r="M135" s="428"/>
      <c r="N135" s="426"/>
      <c r="O135" s="426"/>
      <c r="P135" s="426"/>
      <c r="Q135" s="794"/>
      <c r="R135" s="794"/>
      <c r="S135" s="426"/>
      <c r="T135" s="426"/>
      <c r="U135" s="426"/>
      <c r="V135" s="426"/>
      <c r="W135" s="426"/>
      <c r="X135" s="426"/>
      <c r="Y135" s="426"/>
      <c r="Z135" s="35"/>
      <c r="AA135" s="1" t="str">
        <f>IFERROR(VLOOKUP(D:D,[1]Габариты!$A:$I,9,0),"")</f>
        <v>Основной ассортимент</v>
      </c>
      <c r="AB135" s="6" t="str">
        <f>IFERROR(VLOOKUP(D:D,[1]Габариты!$A:$D,4,0),"")</f>
        <v>КРОВАТИ</v>
      </c>
      <c r="AC135" s="39" t="str">
        <f t="shared" si="18"/>
        <v>19004.17/01</v>
      </c>
      <c r="AD135" s="13">
        <f t="shared" si="23"/>
        <v>0</v>
      </c>
    </row>
    <row r="136" spans="1:30" s="6" customFormat="1" ht="20.100000000000001" customHeight="1" outlineLevel="1" x14ac:dyDescent="0.25">
      <c r="A136" s="654" t="s">
        <v>8679</v>
      </c>
      <c r="B136" s="564"/>
      <c r="C136" s="565"/>
      <c r="D136" s="566" t="s">
        <v>8677</v>
      </c>
      <c r="E136" s="567"/>
      <c r="F136" s="568"/>
      <c r="G136" s="569"/>
      <c r="H136" s="567"/>
      <c r="I136" s="567"/>
      <c r="J136" s="567"/>
      <c r="K136" s="568"/>
      <c r="L136" s="569"/>
      <c r="M136" s="569"/>
      <c r="N136" s="567"/>
      <c r="O136" s="567"/>
      <c r="P136" s="567"/>
      <c r="Q136" s="795"/>
      <c r="R136" s="795"/>
      <c r="S136" s="567"/>
      <c r="T136" s="567"/>
      <c r="U136" s="567"/>
      <c r="V136" s="567"/>
      <c r="W136" s="567"/>
      <c r="X136" s="567"/>
      <c r="Y136" s="567"/>
      <c r="Z136" s="35"/>
      <c r="AA136" s="1" t="str">
        <f>IFERROR(VLOOKUP(D:D,[1]Габариты!$A:$I,9,0),"")</f>
        <v>Основной ассортимент</v>
      </c>
      <c r="AB136" s="6" t="str">
        <f>IFERROR(VLOOKUP(D:D,[1]Габариты!$A:$D,4,0),"")</f>
        <v>КРОВАТИ</v>
      </c>
      <c r="AC136" s="39" t="str">
        <f t="shared" ref="AC136:AC137" si="24">D136</f>
        <v>19004.05/01</v>
      </c>
      <c r="AD136" s="13">
        <f t="shared" ref="AD136:AD137" si="25">C136</f>
        <v>0</v>
      </c>
    </row>
    <row r="137" spans="1:30" s="6" customFormat="1" ht="20.100000000000001" customHeight="1" outlineLevel="1" x14ac:dyDescent="0.25">
      <c r="A137" s="654" t="s">
        <v>8680</v>
      </c>
      <c r="B137" s="564"/>
      <c r="C137" s="565"/>
      <c r="D137" s="566" t="s">
        <v>8678</v>
      </c>
      <c r="E137" s="567"/>
      <c r="F137" s="568"/>
      <c r="G137" s="569"/>
      <c r="H137" s="567"/>
      <c r="I137" s="567"/>
      <c r="J137" s="567"/>
      <c r="K137" s="568"/>
      <c r="L137" s="569"/>
      <c r="M137" s="569"/>
      <c r="N137" s="567"/>
      <c r="O137" s="567"/>
      <c r="P137" s="567"/>
      <c r="Q137" s="795"/>
      <c r="R137" s="795"/>
      <c r="S137" s="567"/>
      <c r="T137" s="567"/>
      <c r="U137" s="567"/>
      <c r="V137" s="567"/>
      <c r="W137" s="567"/>
      <c r="X137" s="567"/>
      <c r="Y137" s="567"/>
      <c r="Z137" s="35"/>
      <c r="AA137" s="1" t="str">
        <f>IFERROR(VLOOKUP(D:D,[1]Габариты!$A:$I,9,0),"")</f>
        <v>Основной ассортимент</v>
      </c>
      <c r="AB137" s="6" t="str">
        <f>IFERROR(VLOOKUP(D:D,[1]Габариты!$A:$D,4,0),"")</f>
        <v>КРОВАТИ</v>
      </c>
      <c r="AC137" s="39" t="str">
        <f t="shared" si="24"/>
        <v>19001.05/02</v>
      </c>
      <c r="AD137" s="13">
        <f t="shared" si="25"/>
        <v>0</v>
      </c>
    </row>
    <row r="138" spans="1:30" s="6" customFormat="1" ht="20.100000000000001" customHeight="1" outlineLevel="1" x14ac:dyDescent="0.25">
      <c r="A138" s="655" t="s">
        <v>8686</v>
      </c>
      <c r="B138" s="577"/>
      <c r="C138" s="571"/>
      <c r="D138" s="578" t="s">
        <v>8684</v>
      </c>
      <c r="E138" s="573"/>
      <c r="F138" s="574"/>
      <c r="G138" s="575"/>
      <c r="H138" s="573"/>
      <c r="I138" s="573"/>
      <c r="J138" s="573"/>
      <c r="K138" s="574"/>
      <c r="L138" s="575"/>
      <c r="M138" s="575"/>
      <c r="N138" s="573"/>
      <c r="O138" s="573"/>
      <c r="P138" s="573"/>
      <c r="Q138" s="778"/>
      <c r="R138" s="778"/>
      <c r="S138" s="573"/>
      <c r="T138" s="573"/>
      <c r="U138" s="573"/>
      <c r="V138" s="573"/>
      <c r="W138" s="573"/>
      <c r="X138" s="573"/>
      <c r="Y138" s="573"/>
      <c r="Z138" s="35"/>
      <c r="AA138" s="1" t="str">
        <f>IFERROR(VLOOKUP(D:D,[1]Габариты!$A:$I,9,0),"")</f>
        <v>Основной ассортимент</v>
      </c>
      <c r="AB138" s="6" t="str">
        <f>IFERROR(VLOOKUP(D:D,[1]Габариты!$A:$D,4,0),"")</f>
        <v>КРОВАТИ</v>
      </c>
      <c r="AC138" s="39" t="str">
        <f t="shared" ref="AC138:AC139" si="26">D138</f>
        <v>19001.09/02</v>
      </c>
      <c r="AD138" s="13">
        <f t="shared" ref="AD138:AD139" si="27">C138</f>
        <v>0</v>
      </c>
    </row>
    <row r="139" spans="1:30" s="6" customFormat="1" ht="20.100000000000001" customHeight="1" outlineLevel="1" x14ac:dyDescent="0.25">
      <c r="A139" s="655" t="s">
        <v>8687</v>
      </c>
      <c r="B139" s="577"/>
      <c r="C139" s="571"/>
      <c r="D139" s="578" t="s">
        <v>8685</v>
      </c>
      <c r="E139" s="573"/>
      <c r="F139" s="574"/>
      <c r="G139" s="575"/>
      <c r="H139" s="573"/>
      <c r="I139" s="573"/>
      <c r="J139" s="573"/>
      <c r="K139" s="574"/>
      <c r="L139" s="575"/>
      <c r="M139" s="575"/>
      <c r="N139" s="573"/>
      <c r="O139" s="573"/>
      <c r="P139" s="573"/>
      <c r="Q139" s="778"/>
      <c r="R139" s="778"/>
      <c r="S139" s="573"/>
      <c r="T139" s="573"/>
      <c r="U139" s="573"/>
      <c r="V139" s="573"/>
      <c r="W139" s="573"/>
      <c r="X139" s="573"/>
      <c r="Y139" s="573"/>
      <c r="Z139" s="35"/>
      <c r="AA139" s="1" t="str">
        <f>IFERROR(VLOOKUP(D:D,[1]Габариты!$A:$I,9,0),"")</f>
        <v>Основной ассортимент</v>
      </c>
      <c r="AB139" s="6" t="str">
        <f>IFERROR(VLOOKUP(D:D,[1]Габариты!$A:$D,4,0),"")</f>
        <v>КРОВАТИ</v>
      </c>
      <c r="AC139" s="39" t="str">
        <f t="shared" si="26"/>
        <v>19004.09/01</v>
      </c>
      <c r="AD139" s="13">
        <f t="shared" si="27"/>
        <v>0</v>
      </c>
    </row>
    <row r="140" spans="1:30" s="6" customFormat="1" ht="20.100000000000001" customHeight="1" outlineLevel="1" x14ac:dyDescent="0.25">
      <c r="A140" s="656" t="s">
        <v>8413</v>
      </c>
      <c r="B140" s="431"/>
      <c r="C140" s="13" t="s">
        <v>4050</v>
      </c>
      <c r="D140" s="433" t="s">
        <v>8410</v>
      </c>
      <c r="E140" s="434">
        <v>6</v>
      </c>
      <c r="F140" s="435"/>
      <c r="G140" s="436"/>
      <c r="H140" s="434" t="s">
        <v>8416</v>
      </c>
      <c r="I140" s="434"/>
      <c r="J140" s="434"/>
      <c r="K140" s="435"/>
      <c r="L140" s="436"/>
      <c r="M140" s="436"/>
      <c r="N140" s="434" t="s">
        <v>8434</v>
      </c>
      <c r="O140" s="434">
        <v>1912342546</v>
      </c>
      <c r="P140" s="434">
        <v>1912342546</v>
      </c>
      <c r="Q140" s="796"/>
      <c r="R140" s="796"/>
      <c r="S140" s="434"/>
      <c r="T140" s="434"/>
      <c r="U140" s="434"/>
      <c r="V140" s="434"/>
      <c r="W140" s="434"/>
      <c r="X140" s="434" t="s">
        <v>8434</v>
      </c>
      <c r="Y140" s="434"/>
      <c r="Z140" s="35"/>
      <c r="AA140" s="1" t="str">
        <f>IFERROR(VLOOKUP(D:D,[1]Габариты!$A:$I,9,0),"")</f>
        <v>Основной ассортимент</v>
      </c>
      <c r="AB140" s="6" t="str">
        <f>IFERROR(VLOOKUP(D:D,[1]Габариты!$A:$D,4,0),"")</f>
        <v>КРОВАТИ</v>
      </c>
      <c r="AC140" s="39" t="str">
        <f t="shared" si="18"/>
        <v>3.19000.17</v>
      </c>
      <c r="AD140" s="13" t="str">
        <f t="shared" ref="AD140:AD142" si="28">C140</f>
        <v>СКГТ (ОЗОН)</v>
      </c>
    </row>
    <row r="141" spans="1:30" s="6" customFormat="1" ht="20.100000000000001" customHeight="1" outlineLevel="1" x14ac:dyDescent="0.25">
      <c r="A141" s="656" t="s">
        <v>8414</v>
      </c>
      <c r="B141" s="431"/>
      <c r="C141" s="13" t="s">
        <v>4050</v>
      </c>
      <c r="D141" s="433" t="s">
        <v>8411</v>
      </c>
      <c r="E141" s="529">
        <v>6</v>
      </c>
      <c r="F141" s="435"/>
      <c r="G141" s="436"/>
      <c r="H141" s="434" t="s">
        <v>8417</v>
      </c>
      <c r="I141" s="434"/>
      <c r="J141" s="434"/>
      <c r="K141" s="435"/>
      <c r="L141" s="436"/>
      <c r="M141" s="436"/>
      <c r="N141" s="434" t="s">
        <v>8433</v>
      </c>
      <c r="O141" s="434">
        <v>1912150801</v>
      </c>
      <c r="P141" s="434">
        <v>1912150801</v>
      </c>
      <c r="Q141" s="796"/>
      <c r="R141" s="796"/>
      <c r="S141" s="434"/>
      <c r="T141" s="434"/>
      <c r="U141" s="434"/>
      <c r="V141" s="434"/>
      <c r="W141" s="434"/>
      <c r="X141" s="434" t="s">
        <v>8433</v>
      </c>
      <c r="Y141" s="434"/>
      <c r="Z141" s="35"/>
      <c r="AA141" s="1" t="str">
        <f>IFERROR(VLOOKUP(D:D,[1]Габариты!$A:$I,9,0),"")</f>
        <v>Основной ассортимент</v>
      </c>
      <c r="AB141" s="6" t="str">
        <f>IFERROR(VLOOKUP(D:D,[1]Габариты!$A:$D,4,0),"")</f>
        <v>КРОВАТИ</v>
      </c>
      <c r="AC141" s="39" t="str">
        <f t="shared" si="18"/>
        <v>3.19004.17</v>
      </c>
      <c r="AD141" s="13" t="str">
        <f t="shared" si="28"/>
        <v>СКГТ (ОЗОН)</v>
      </c>
    </row>
    <row r="142" spans="1:30" s="6" customFormat="1" ht="20.100000000000001" customHeight="1" outlineLevel="1" x14ac:dyDescent="0.25">
      <c r="A142" s="656" t="s">
        <v>8415</v>
      </c>
      <c r="B142" s="431"/>
      <c r="C142" s="13" t="s">
        <v>4050</v>
      </c>
      <c r="D142" s="433" t="s">
        <v>8412</v>
      </c>
      <c r="E142" s="434">
        <v>8</v>
      </c>
      <c r="F142" s="435"/>
      <c r="G142" s="436"/>
      <c r="H142" s="434" t="s">
        <v>8613</v>
      </c>
      <c r="I142" s="434"/>
      <c r="J142" s="434"/>
      <c r="K142" s="435"/>
      <c r="L142" s="436"/>
      <c r="M142" s="436"/>
      <c r="N142" s="434"/>
      <c r="O142" s="434"/>
      <c r="P142" s="434"/>
      <c r="Q142" s="796"/>
      <c r="R142" s="796"/>
      <c r="S142" s="434"/>
      <c r="T142" s="434"/>
      <c r="U142" s="434"/>
      <c r="V142" s="434"/>
      <c r="W142" s="434"/>
      <c r="X142" s="434"/>
      <c r="Y142" s="434"/>
      <c r="Z142" s="35"/>
      <c r="AA142" s="1" t="str">
        <f>IFERROR(VLOOKUP(D:D,[1]Габариты!$A:$I,9,0),"")</f>
        <v>Основной ассортимент</v>
      </c>
      <c r="AB142" s="6" t="str">
        <f>IFERROR(VLOOKUP(D:D,[1]Габариты!$A:$D,4,0),"")</f>
        <v>КРОВАТИ</v>
      </c>
      <c r="AC142" s="39" t="str">
        <f t="shared" si="18"/>
        <v>3.19003.17</v>
      </c>
      <c r="AD142" s="13" t="str">
        <f t="shared" si="28"/>
        <v>СКГТ (ОЗОН)</v>
      </c>
    </row>
    <row r="143" spans="1:30" s="6" customFormat="1" ht="20.100000000000001" customHeight="1" outlineLevel="1" x14ac:dyDescent="0.25">
      <c r="A143" s="657" t="s">
        <v>8616</v>
      </c>
      <c r="B143" s="522"/>
      <c r="C143" s="13" t="s">
        <v>4050</v>
      </c>
      <c r="D143" s="523" t="s">
        <v>8614</v>
      </c>
      <c r="E143" s="434">
        <v>8</v>
      </c>
      <c r="F143" s="525"/>
      <c r="G143" s="526"/>
      <c r="H143" s="524" t="s">
        <v>8615</v>
      </c>
      <c r="I143" s="524"/>
      <c r="J143" s="524"/>
      <c r="K143" s="525"/>
      <c r="L143" s="526"/>
      <c r="M143" s="526"/>
      <c r="N143" s="524"/>
      <c r="O143" s="524"/>
      <c r="P143" s="524"/>
      <c r="Q143" s="797"/>
      <c r="R143" s="797"/>
      <c r="S143" s="524"/>
      <c r="T143" s="524"/>
      <c r="U143" s="524"/>
      <c r="V143" s="524"/>
      <c r="W143" s="524"/>
      <c r="X143" s="524"/>
      <c r="Y143" s="524"/>
      <c r="Z143" s="35"/>
      <c r="AA143" s="1" t="str">
        <f>IFERROR(VLOOKUP(D:D,[1]Габариты!$A:$I,9,0),"")</f>
        <v>Основной ассортимент</v>
      </c>
      <c r="AB143" s="6" t="str">
        <f>IFERROR(VLOOKUP(D:D,[1]Габариты!$A:$D,4,0),"")</f>
        <v>КРОВАТИ</v>
      </c>
      <c r="AC143" s="39" t="str">
        <f t="shared" ref="AC143" si="29">D143</f>
        <v>3.19003.09</v>
      </c>
      <c r="AD143" s="13" t="str">
        <f t="shared" ref="AD143" si="30">C143</f>
        <v>СКГТ (ОЗОН)</v>
      </c>
    </row>
    <row r="144" spans="1:30" s="6" customFormat="1" ht="20.100000000000001" customHeight="1" outlineLevel="1" x14ac:dyDescent="0.25">
      <c r="A144" s="658" t="s">
        <v>8625</v>
      </c>
      <c r="B144" s="532"/>
      <c r="C144" s="13" t="s">
        <v>4050</v>
      </c>
      <c r="D144" s="533" t="s">
        <v>8623</v>
      </c>
      <c r="E144" s="529">
        <v>6</v>
      </c>
      <c r="F144" s="530"/>
      <c r="G144" s="531"/>
      <c r="H144" s="529" t="s">
        <v>8627</v>
      </c>
      <c r="I144" s="529"/>
      <c r="J144" s="529"/>
      <c r="K144" s="530"/>
      <c r="L144" s="531"/>
      <c r="M144" s="531"/>
      <c r="N144" s="529" t="s">
        <v>8645</v>
      </c>
      <c r="O144" s="529">
        <v>2046684100</v>
      </c>
      <c r="P144" s="529">
        <v>2046684100</v>
      </c>
      <c r="Q144" s="798"/>
      <c r="R144" s="798"/>
      <c r="S144" s="529"/>
      <c r="T144" s="529"/>
      <c r="U144" s="529"/>
      <c r="V144" s="529"/>
      <c r="W144" s="529"/>
      <c r="X144" s="529" t="s">
        <v>8645</v>
      </c>
      <c r="Y144" s="529"/>
      <c r="Z144" s="35"/>
      <c r="AA144" s="1" t="str">
        <f>IFERROR(VLOOKUP(D:D,[1]Габариты!$A:$I,9,0),"")</f>
        <v>Основной ассортимент</v>
      </c>
      <c r="AB144" s="6" t="str">
        <f>IFERROR(VLOOKUP(D:D,[1]Габариты!$A:$D,4,0),"")</f>
        <v>КРОВАТИ</v>
      </c>
      <c r="AC144" s="39" t="str">
        <f t="shared" ref="AC144:AC145" si="31">D144</f>
        <v>3.19000.09</v>
      </c>
      <c r="AD144" s="13" t="str">
        <f t="shared" ref="AD144:AD145" si="32">C144</f>
        <v>СКГТ (ОЗОН)</v>
      </c>
    </row>
    <row r="145" spans="1:30" s="6" customFormat="1" ht="20.100000000000001" customHeight="1" outlineLevel="1" x14ac:dyDescent="0.25">
      <c r="A145" s="658" t="s">
        <v>8626</v>
      </c>
      <c r="B145" s="532"/>
      <c r="C145" s="13" t="s">
        <v>4050</v>
      </c>
      <c r="D145" s="533" t="s">
        <v>8624</v>
      </c>
      <c r="E145" s="529">
        <v>6</v>
      </c>
      <c r="F145" s="530"/>
      <c r="G145" s="531"/>
      <c r="H145" s="529" t="s">
        <v>8628</v>
      </c>
      <c r="I145" s="529"/>
      <c r="J145" s="529"/>
      <c r="K145" s="530"/>
      <c r="L145" s="531"/>
      <c r="M145" s="531"/>
      <c r="N145" s="529" t="s">
        <v>8646</v>
      </c>
      <c r="O145" s="529">
        <v>2046703581</v>
      </c>
      <c r="P145" s="529">
        <v>2046703581</v>
      </c>
      <c r="Q145" s="798"/>
      <c r="R145" s="798"/>
      <c r="S145" s="529"/>
      <c r="T145" s="529"/>
      <c r="U145" s="529"/>
      <c r="V145" s="529"/>
      <c r="W145" s="529"/>
      <c r="X145" s="529" t="s">
        <v>8646</v>
      </c>
      <c r="Y145" s="529"/>
      <c r="Z145" s="35"/>
      <c r="AA145" s="1" t="str">
        <f>IFERROR(VLOOKUP(D:D,[1]Габариты!$A:$I,9,0),"")</f>
        <v>Основной ассортимент</v>
      </c>
      <c r="AB145" s="6" t="str">
        <f>IFERROR(VLOOKUP(D:D,[1]Габариты!$A:$D,4,0),"")</f>
        <v>КРОВАТИ</v>
      </c>
      <c r="AC145" s="39" t="str">
        <f t="shared" si="31"/>
        <v>3.19004.09</v>
      </c>
      <c r="AD145" s="13" t="str">
        <f t="shared" si="32"/>
        <v>СКГТ (ОЗОН)</v>
      </c>
    </row>
    <row r="146" spans="1:30" s="6" customFormat="1" ht="20.100000000000001" customHeight="1" outlineLevel="1" x14ac:dyDescent="0.25">
      <c r="A146" s="659" t="s">
        <v>8676</v>
      </c>
      <c r="B146" s="560"/>
      <c r="C146" s="13" t="s">
        <v>4050</v>
      </c>
      <c r="D146" s="533" t="s">
        <v>8675</v>
      </c>
      <c r="E146" s="529">
        <v>6</v>
      </c>
      <c r="F146" s="562"/>
      <c r="G146" s="563"/>
      <c r="H146" s="561" t="s">
        <v>8674</v>
      </c>
      <c r="I146" s="561"/>
      <c r="J146" s="561"/>
      <c r="K146" s="562"/>
      <c r="L146" s="563"/>
      <c r="M146" s="563"/>
      <c r="N146" s="561" t="s">
        <v>8692</v>
      </c>
      <c r="O146" s="561">
        <v>2207212318</v>
      </c>
      <c r="P146" s="561">
        <v>2207212318</v>
      </c>
      <c r="Q146" s="799"/>
      <c r="R146" s="799"/>
      <c r="S146" s="561"/>
      <c r="T146" s="561"/>
      <c r="U146" s="561"/>
      <c r="V146" s="561"/>
      <c r="W146" s="561"/>
      <c r="X146" s="561" t="s">
        <v>8692</v>
      </c>
      <c r="Y146" s="561"/>
      <c r="Z146" s="35"/>
      <c r="AA146" s="1" t="str">
        <f>IFERROR(VLOOKUP(D:D,[1]Габариты!$A:$I,9,0),"")</f>
        <v>Основной ассортимент</v>
      </c>
      <c r="AB146" s="6" t="str">
        <f>IFERROR(VLOOKUP(D:D,[1]Габариты!$A:$D,4,0),"")</f>
        <v>КРОВАТИ</v>
      </c>
      <c r="AC146" s="39" t="str">
        <f t="shared" ref="AC146" si="33">D146</f>
        <v>3.19004.05</v>
      </c>
      <c r="AD146" s="13" t="str">
        <f t="shared" ref="AD146" si="34">C146</f>
        <v>СКГТ (ОЗОН)</v>
      </c>
    </row>
    <row r="147" spans="1:30" s="6" customFormat="1" ht="20.100000000000001" customHeight="1" outlineLevel="1" x14ac:dyDescent="0.2">
      <c r="A147" s="753" t="s">
        <v>427</v>
      </c>
      <c r="B147" s="756" t="s">
        <v>3539</v>
      </c>
      <c r="C147" s="13"/>
      <c r="D147" s="40"/>
      <c r="E147" s="4"/>
      <c r="F147" s="101"/>
      <c r="G147" s="57"/>
      <c r="H147" s="4"/>
      <c r="I147" s="4"/>
      <c r="J147" s="4"/>
      <c r="K147" s="54"/>
      <c r="L147" s="57"/>
      <c r="M147" s="57"/>
      <c r="N147" s="766"/>
      <c r="O147" s="4"/>
      <c r="P147" s="4"/>
      <c r="Q147" s="767"/>
      <c r="R147" s="767"/>
      <c r="S147" s="4"/>
      <c r="T147" s="4"/>
      <c r="U147" s="4"/>
      <c r="V147" s="4"/>
      <c r="W147" s="4"/>
      <c r="X147" s="4"/>
      <c r="Y147" s="4" t="s">
        <v>4066</v>
      </c>
      <c r="Z147" s="35"/>
      <c r="AA147" s="1" t="str">
        <f>IFERROR(VLOOKUP(D:D,[1]Габариты!$A:$I,9,0),"")</f>
        <v/>
      </c>
      <c r="AB147" s="6" t="str">
        <f>IFERROR(VLOOKUP(D:D,[1]Габариты!$A:$D,4,0),"")</f>
        <v/>
      </c>
      <c r="AC147" s="39"/>
      <c r="AD147" s="3"/>
    </row>
    <row r="148" spans="1:30" s="6" customFormat="1" ht="20.100000000000001" customHeight="1" outlineLevel="1" x14ac:dyDescent="0.25">
      <c r="A148" s="633" t="s">
        <v>3925</v>
      </c>
      <c r="B148" s="3"/>
      <c r="C148" s="13" t="s">
        <v>2582</v>
      </c>
      <c r="D148" s="44" t="s">
        <v>3926</v>
      </c>
      <c r="E148" s="4">
        <v>27</v>
      </c>
      <c r="F148" s="106" t="s">
        <v>6199</v>
      </c>
      <c r="G148" s="57" t="s">
        <v>8387</v>
      </c>
      <c r="H148" s="4" t="s">
        <v>6530</v>
      </c>
      <c r="I148" s="4"/>
      <c r="J148" s="4"/>
      <c r="K148" s="54" t="s">
        <v>6199</v>
      </c>
      <c r="L148" s="57">
        <v>1852610525</v>
      </c>
      <c r="M148" s="57">
        <v>1852610525</v>
      </c>
      <c r="N148" s="4" t="s">
        <v>4010</v>
      </c>
      <c r="O148" s="4">
        <v>1472237163</v>
      </c>
      <c r="P148" s="4">
        <v>1472237163</v>
      </c>
      <c r="Q148" s="767"/>
      <c r="R148" s="767"/>
      <c r="S148" s="4"/>
      <c r="T148" s="4" t="s">
        <v>4447</v>
      </c>
      <c r="U148" s="4">
        <v>1645053541</v>
      </c>
      <c r="V148" s="4">
        <v>1645053541</v>
      </c>
      <c r="W148" s="4"/>
      <c r="X148" s="4" t="s">
        <v>4010</v>
      </c>
      <c r="Y148" s="4" t="s">
        <v>4066</v>
      </c>
      <c r="Z148" s="35"/>
      <c r="AA148" s="1" t="str">
        <f>IFERROR(VLOOKUP(D:D,[1]Габариты!$A:$I,9,0),"")</f>
        <v>Основной ассортимент</v>
      </c>
      <c r="AB148" s="6" t="str">
        <f>IFERROR(VLOOKUP(D:D,[1]Габариты!$A:$D,4,0),"")</f>
        <v>ОБУВНИЦЫ</v>
      </c>
      <c r="AC148" s="39" t="str">
        <f t="shared" si="18"/>
        <v>3767.05/01</v>
      </c>
      <c r="AD148" s="13" t="str">
        <f t="shared" si="15"/>
        <v>FBO</v>
      </c>
    </row>
    <row r="149" spans="1:30" s="6" customFormat="1" ht="20.100000000000001" customHeight="1" outlineLevel="1" x14ac:dyDescent="0.25">
      <c r="A149" s="633" t="s">
        <v>3945</v>
      </c>
      <c r="B149" s="3"/>
      <c r="C149" s="13" t="s">
        <v>2582</v>
      </c>
      <c r="D149" s="44" t="s">
        <v>3944</v>
      </c>
      <c r="E149" s="4">
        <v>27</v>
      </c>
      <c r="F149" s="106" t="s">
        <v>6200</v>
      </c>
      <c r="G149" s="57" t="s">
        <v>8386</v>
      </c>
      <c r="H149" s="4" t="s">
        <v>6531</v>
      </c>
      <c r="I149" s="4"/>
      <c r="J149" s="4"/>
      <c r="K149" s="54" t="s">
        <v>6200</v>
      </c>
      <c r="L149" s="57">
        <v>1852607571</v>
      </c>
      <c r="M149" s="57">
        <v>1852607571</v>
      </c>
      <c r="N149" s="4" t="s">
        <v>4011</v>
      </c>
      <c r="O149" s="4">
        <v>1472237523</v>
      </c>
      <c r="P149" s="4">
        <v>1472237523</v>
      </c>
      <c r="Q149" s="767"/>
      <c r="R149" s="767"/>
      <c r="S149" s="4"/>
      <c r="T149" s="4" t="s">
        <v>4448</v>
      </c>
      <c r="U149" s="4">
        <v>1645058550</v>
      </c>
      <c r="V149" s="4">
        <v>1645058550</v>
      </c>
      <c r="W149" s="4"/>
      <c r="X149" s="4" t="s">
        <v>4011</v>
      </c>
      <c r="Y149" s="4" t="s">
        <v>4066</v>
      </c>
      <c r="Z149" s="35"/>
      <c r="AA149" s="1" t="str">
        <f>IFERROR(VLOOKUP(D:D,[1]Габариты!$A:$I,9,0),"")</f>
        <v>Основной ассортимент</v>
      </c>
      <c r="AB149" s="6" t="str">
        <f>IFERROR(VLOOKUP(D:D,[1]Габариты!$A:$D,4,0),"")</f>
        <v>ОБУВНИЦЫ</v>
      </c>
      <c r="AC149" s="39" t="str">
        <f t="shared" si="18"/>
        <v>3767.06/01</v>
      </c>
      <c r="AD149" s="13" t="str">
        <f t="shared" si="15"/>
        <v>FBO</v>
      </c>
    </row>
    <row r="150" spans="1:30" s="6" customFormat="1" ht="20.100000000000001" customHeight="1" outlineLevel="1" x14ac:dyDescent="0.25">
      <c r="A150" s="633" t="s">
        <v>3923</v>
      </c>
      <c r="B150" s="3"/>
      <c r="C150" s="13" t="s">
        <v>2582</v>
      </c>
      <c r="D150" s="44" t="s">
        <v>3922</v>
      </c>
      <c r="E150" s="4">
        <v>27</v>
      </c>
      <c r="F150" s="106" t="s">
        <v>6201</v>
      </c>
      <c r="G150" s="57" t="s">
        <v>8385</v>
      </c>
      <c r="H150" s="4" t="s">
        <v>6532</v>
      </c>
      <c r="I150" s="4"/>
      <c r="J150" s="4"/>
      <c r="K150" s="54" t="s">
        <v>6201</v>
      </c>
      <c r="L150" s="57">
        <v>1852608813</v>
      </c>
      <c r="M150" s="57">
        <v>1852608813</v>
      </c>
      <c r="N150" s="4" t="s">
        <v>4009</v>
      </c>
      <c r="O150" s="4">
        <v>1472237171</v>
      </c>
      <c r="P150" s="4">
        <v>1472237171</v>
      </c>
      <c r="Q150" s="767"/>
      <c r="R150" s="767"/>
      <c r="S150" s="4"/>
      <c r="T150" s="4" t="s">
        <v>4449</v>
      </c>
      <c r="U150" s="4">
        <v>1645066475</v>
      </c>
      <c r="V150" s="4">
        <v>1645066475</v>
      </c>
      <c r="W150" s="4"/>
      <c r="X150" s="4" t="s">
        <v>4009</v>
      </c>
      <c r="Y150" s="4" t="s">
        <v>4066</v>
      </c>
      <c r="Z150" s="35"/>
      <c r="AA150" s="1" t="str">
        <f>IFERROR(VLOOKUP(D:D,[1]Габариты!$A:$I,9,0),"")</f>
        <v>Основной ассортимент</v>
      </c>
      <c r="AB150" s="6" t="str">
        <f>IFERROR(VLOOKUP(D:D,[1]Габариты!$A:$D,4,0),"")</f>
        <v>ОБУВНИЦЫ</v>
      </c>
      <c r="AC150" s="39" t="str">
        <f t="shared" si="18"/>
        <v>3767.17/01</v>
      </c>
      <c r="AD150" s="13" t="str">
        <f t="shared" si="15"/>
        <v>FBO</v>
      </c>
    </row>
    <row r="151" spans="1:30" s="6" customFormat="1" ht="20.100000000000001" customHeight="1" outlineLevel="1" x14ac:dyDescent="0.25">
      <c r="A151" s="660" t="s">
        <v>3976</v>
      </c>
      <c r="B151" s="3"/>
      <c r="C151" s="13" t="s">
        <v>2582</v>
      </c>
      <c r="D151" s="44" t="s">
        <v>3975</v>
      </c>
      <c r="E151" s="4">
        <v>27</v>
      </c>
      <c r="F151" s="106" t="s">
        <v>6202</v>
      </c>
      <c r="G151" s="57" t="s">
        <v>5145</v>
      </c>
      <c r="H151" s="4" t="s">
        <v>6533</v>
      </c>
      <c r="I151" s="4"/>
      <c r="J151" s="4"/>
      <c r="K151" s="54" t="s">
        <v>6202</v>
      </c>
      <c r="L151" s="57">
        <v>1408101473</v>
      </c>
      <c r="M151" s="57">
        <v>1408101473</v>
      </c>
      <c r="N151" s="4" t="s">
        <v>4031</v>
      </c>
      <c r="O151" s="4">
        <v>1485817993</v>
      </c>
      <c r="P151" s="4">
        <v>1485817993</v>
      </c>
      <c r="Q151" s="767"/>
      <c r="R151" s="767"/>
      <c r="S151" s="4"/>
      <c r="T151" s="4" t="s">
        <v>4446</v>
      </c>
      <c r="U151" s="4">
        <v>1645072739</v>
      </c>
      <c r="V151" s="4">
        <v>1645072739</v>
      </c>
      <c r="W151" s="4"/>
      <c r="X151" s="4" t="s">
        <v>4031</v>
      </c>
      <c r="Y151" s="4" t="s">
        <v>4066</v>
      </c>
      <c r="Z151" s="35"/>
      <c r="AA151" s="1" t="str">
        <f>IFERROR(VLOOKUP(D:D,[1]Габариты!$A:$I,9,0),"")</f>
        <v>Основной ассортимент</v>
      </c>
      <c r="AB151" s="6" t="str">
        <f>IFERROR(VLOOKUP(D:D,[1]Габариты!$A:$D,4,0),"")</f>
        <v>ОБУВНИЦЫ</v>
      </c>
      <c r="AC151" s="39" t="str">
        <f t="shared" si="18"/>
        <v>3767.20/01</v>
      </c>
      <c r="AD151" s="13" t="str">
        <f t="shared" si="15"/>
        <v>FBO</v>
      </c>
    </row>
    <row r="152" spans="1:30" s="6" customFormat="1" ht="20.100000000000001" customHeight="1" outlineLevel="1" x14ac:dyDescent="0.25">
      <c r="A152" s="660" t="s">
        <v>4002</v>
      </c>
      <c r="B152" s="3"/>
      <c r="C152" s="13" t="s">
        <v>2582</v>
      </c>
      <c r="D152" s="44" t="s">
        <v>4001</v>
      </c>
      <c r="E152" s="4">
        <v>40</v>
      </c>
      <c r="F152" s="106" t="s">
        <v>6307</v>
      </c>
      <c r="G152" s="57" t="s">
        <v>5139</v>
      </c>
      <c r="H152" s="4" t="s">
        <v>6537</v>
      </c>
      <c r="I152" s="4"/>
      <c r="J152" s="4"/>
      <c r="K152" s="54" t="s">
        <v>6307</v>
      </c>
      <c r="L152" s="57">
        <v>1399305327</v>
      </c>
      <c r="M152" s="57">
        <v>1399305327</v>
      </c>
      <c r="N152" s="4" t="s">
        <v>4032</v>
      </c>
      <c r="O152" s="4">
        <v>1485740072</v>
      </c>
      <c r="P152" s="4">
        <v>1485740072</v>
      </c>
      <c r="Q152" s="767"/>
      <c r="R152" s="767"/>
      <c r="S152" s="4"/>
      <c r="T152" s="4" t="s">
        <v>4437</v>
      </c>
      <c r="U152" s="4">
        <v>1625368805</v>
      </c>
      <c r="V152" s="4">
        <v>1625368805</v>
      </c>
      <c r="W152" s="4"/>
      <c r="X152" s="4" t="s">
        <v>4032</v>
      </c>
      <c r="Y152" s="4" t="s">
        <v>4066</v>
      </c>
      <c r="Z152" s="35"/>
      <c r="AA152" s="1" t="str">
        <f>IFERROR(VLOOKUP(D:D,[1]Габариты!$A:$I,9,0),"")</f>
        <v>Основной ассортимент</v>
      </c>
      <c r="AB152" s="6" t="str">
        <f>IFERROR(VLOOKUP(D:D,[1]Габариты!$A:$D,4,0),"")</f>
        <v>ОБУВНИЦЫ</v>
      </c>
      <c r="AC152" s="39" t="str">
        <f t="shared" si="18"/>
        <v>2953.20/01</v>
      </c>
      <c r="AD152" s="13" t="str">
        <f t="shared" ref="AD152:AD228" si="35">C152</f>
        <v>FBO</v>
      </c>
    </row>
    <row r="153" spans="1:30" s="6" customFormat="1" ht="20.100000000000001" customHeight="1" outlineLevel="1" x14ac:dyDescent="0.25">
      <c r="A153" s="633" t="s">
        <v>4235</v>
      </c>
      <c r="B153" s="3"/>
      <c r="C153" s="13" t="s">
        <v>2582</v>
      </c>
      <c r="D153" s="44" t="s">
        <v>4233</v>
      </c>
      <c r="E153" s="4">
        <v>24</v>
      </c>
      <c r="F153" s="106" t="s">
        <v>7777</v>
      </c>
      <c r="G153" s="57"/>
      <c r="H153" s="4" t="s">
        <v>6538</v>
      </c>
      <c r="I153" s="4"/>
      <c r="J153" s="4" t="s">
        <v>5311</v>
      </c>
      <c r="K153" s="54"/>
      <c r="L153" s="57"/>
      <c r="M153" s="57"/>
      <c r="N153" s="4" t="s">
        <v>4318</v>
      </c>
      <c r="O153" s="4">
        <v>1604808036</v>
      </c>
      <c r="P153" s="4">
        <v>1604808036</v>
      </c>
      <c r="Q153" s="767"/>
      <c r="R153" s="767"/>
      <c r="S153" s="4"/>
      <c r="T153" s="4" t="s">
        <v>4450</v>
      </c>
      <c r="U153" s="4">
        <v>1645081638</v>
      </c>
      <c r="V153" s="4">
        <v>1645081638</v>
      </c>
      <c r="W153" s="4"/>
      <c r="X153" s="4" t="s">
        <v>4318</v>
      </c>
      <c r="Y153" s="4"/>
      <c r="Z153" s="35"/>
      <c r="AA153" s="1" t="str">
        <f>IFERROR(VLOOKUP(D:D,[1]Габариты!$A:$I,9,0),"")</f>
        <v>Основной ассортимент</v>
      </c>
      <c r="AB153" s="6" t="str">
        <f>IFERROR(VLOOKUP(D:D,[1]Габариты!$A:$D,4,0),"")</f>
        <v>ОБУВНИЦЫ</v>
      </c>
      <c r="AC153" s="39" t="str">
        <f t="shared" si="18"/>
        <v>3761.17/01</v>
      </c>
      <c r="AD153" s="13" t="str">
        <f t="shared" si="35"/>
        <v>FBO</v>
      </c>
    </row>
    <row r="154" spans="1:30" s="6" customFormat="1" ht="20.100000000000001" customHeight="1" x14ac:dyDescent="0.25">
      <c r="A154" s="631" t="s">
        <v>7468</v>
      </c>
      <c r="B154" s="113"/>
      <c r="C154" s="13" t="s">
        <v>2582</v>
      </c>
      <c r="D154" s="44" t="s">
        <v>7457</v>
      </c>
      <c r="E154" s="116">
        <v>24</v>
      </c>
      <c r="F154" s="117" t="s">
        <v>7458</v>
      </c>
      <c r="G154" s="118" t="s">
        <v>7459</v>
      </c>
      <c r="H154" s="116" t="s">
        <v>7524</v>
      </c>
      <c r="I154" s="116"/>
      <c r="J154" s="116"/>
      <c r="K154" s="117" t="s">
        <v>7458</v>
      </c>
      <c r="L154" s="118">
        <v>1792985021</v>
      </c>
      <c r="M154" s="118">
        <v>1792985021</v>
      </c>
      <c r="N154" s="116" t="s">
        <v>7546</v>
      </c>
      <c r="O154" s="116">
        <v>1724684080</v>
      </c>
      <c r="P154" s="116">
        <v>1724684080</v>
      </c>
      <c r="Q154" s="116"/>
      <c r="R154" s="116"/>
      <c r="S154" s="116"/>
      <c r="T154" s="116"/>
      <c r="U154" s="116"/>
      <c r="V154" s="116"/>
      <c r="W154" s="116"/>
      <c r="X154" s="116" t="s">
        <v>7546</v>
      </c>
      <c r="Y154" s="116"/>
      <c r="Z154" s="113"/>
      <c r="AA154" s="1" t="str">
        <f>IFERROR(VLOOKUP(D:D,[1]Габариты!$A:$I,9,0),"")</f>
        <v>Основной ассортимент</v>
      </c>
      <c r="AB154" s="6" t="str">
        <f>IFERROR(VLOOKUP(D:D,[1]Габариты!$A:$D,4,0),"")</f>
        <v>ОБУВНИЦЫ</v>
      </c>
      <c r="AC154" s="39" t="str">
        <f t="shared" si="18"/>
        <v>3761.09/01</v>
      </c>
      <c r="AD154" s="13" t="str">
        <f t="shared" si="35"/>
        <v>FBO</v>
      </c>
    </row>
    <row r="155" spans="1:30" s="6" customFormat="1" ht="20.100000000000001" customHeight="1" x14ac:dyDescent="0.25">
      <c r="A155" s="631" t="s">
        <v>7575</v>
      </c>
      <c r="B155" s="169"/>
      <c r="C155" s="164" t="s">
        <v>2582</v>
      </c>
      <c r="D155" s="173" t="s">
        <v>7576</v>
      </c>
      <c r="E155" s="166">
        <v>24</v>
      </c>
      <c r="F155" s="167" t="s">
        <v>7577</v>
      </c>
      <c r="G155" s="168" t="s">
        <v>7574</v>
      </c>
      <c r="H155" s="166" t="s">
        <v>7776</v>
      </c>
      <c r="I155" s="116"/>
      <c r="J155" s="166"/>
      <c r="K155" s="167" t="s">
        <v>7577</v>
      </c>
      <c r="L155" s="168">
        <v>1781379289</v>
      </c>
      <c r="M155" s="168">
        <v>1781379289</v>
      </c>
      <c r="N155" s="166" t="s">
        <v>7785</v>
      </c>
      <c r="O155" s="166">
        <v>1755667571</v>
      </c>
      <c r="P155" s="166">
        <v>1755667571</v>
      </c>
      <c r="Q155" s="166"/>
      <c r="R155" s="166"/>
      <c r="S155" s="166"/>
      <c r="T155" s="166"/>
      <c r="U155" s="166"/>
      <c r="V155" s="166"/>
      <c r="W155" s="166"/>
      <c r="X155" s="166" t="s">
        <v>7785</v>
      </c>
      <c r="Y155" s="166"/>
      <c r="AA155" s="1" t="str">
        <f>IFERROR(VLOOKUP(D:D,[1]Габариты!$A:$I,9,0),"")</f>
        <v>Основной ассортимент</v>
      </c>
      <c r="AB155" s="6" t="str">
        <f>IFERROR(VLOOKUP(D:D,[1]Габариты!$A:$D,4,0),"")</f>
        <v>ОБУВНИЦЫ</v>
      </c>
      <c r="AC155" s="39" t="str">
        <f t="shared" si="18"/>
        <v>3761.06/01</v>
      </c>
      <c r="AD155" s="13" t="str">
        <f t="shared" si="35"/>
        <v>FBO</v>
      </c>
    </row>
    <row r="156" spans="1:30" s="6" customFormat="1" ht="20.100000000000001" customHeight="1" outlineLevel="1" x14ac:dyDescent="0.25">
      <c r="A156" s="633" t="s">
        <v>4236</v>
      </c>
      <c r="B156" s="3"/>
      <c r="C156" s="13" t="s">
        <v>2582</v>
      </c>
      <c r="D156" s="44" t="s">
        <v>4234</v>
      </c>
      <c r="E156" s="4">
        <v>20</v>
      </c>
      <c r="F156" s="106" t="s">
        <v>6204</v>
      </c>
      <c r="G156" s="57"/>
      <c r="H156" s="4" t="s">
        <v>6539</v>
      </c>
      <c r="I156" s="4"/>
      <c r="J156" s="4" t="s">
        <v>7596</v>
      </c>
      <c r="K156" s="54"/>
      <c r="L156" s="57"/>
      <c r="M156" s="57"/>
      <c r="N156" s="4" t="s">
        <v>4255</v>
      </c>
      <c r="O156" s="4">
        <v>1603723875</v>
      </c>
      <c r="P156" s="4">
        <v>1603723875</v>
      </c>
      <c r="Q156" s="767"/>
      <c r="R156" s="767"/>
      <c r="S156" s="4"/>
      <c r="T156" s="4" t="s">
        <v>4451</v>
      </c>
      <c r="U156" s="4">
        <v>1645090319</v>
      </c>
      <c r="V156" s="4">
        <v>1645090319</v>
      </c>
      <c r="W156" s="4"/>
      <c r="X156" s="4" t="s">
        <v>4255</v>
      </c>
      <c r="Y156" s="4"/>
      <c r="Z156" s="35"/>
      <c r="AA156" s="1" t="str">
        <f>IFERROR(VLOOKUP(D:D,[1]Габариты!$A:$I,9,0),"")</f>
        <v>Вакансия</v>
      </c>
      <c r="AB156" s="6" t="str">
        <f>IFERROR(VLOOKUP(D:D,[1]Габариты!$A:$D,4,0),"")</f>
        <v>ОБУВНИЦЫ</v>
      </c>
      <c r="AC156" s="39" t="str">
        <f t="shared" si="18"/>
        <v>3789.17/01</v>
      </c>
      <c r="AD156" s="13" t="str">
        <f t="shared" si="35"/>
        <v>FBO</v>
      </c>
    </row>
    <row r="157" spans="1:30" s="6" customFormat="1" ht="20.100000000000001" customHeight="1" x14ac:dyDescent="0.25">
      <c r="A157" s="631" t="s">
        <v>6008</v>
      </c>
      <c r="B157" s="76"/>
      <c r="C157" s="13" t="s">
        <v>2582</v>
      </c>
      <c r="D157" s="173">
        <v>3769</v>
      </c>
      <c r="E157" s="4">
        <v>26</v>
      </c>
      <c r="F157" s="101">
        <v>3769</v>
      </c>
      <c r="G157" s="75" t="s">
        <v>5968</v>
      </c>
      <c r="H157" s="4" t="s">
        <v>5968</v>
      </c>
      <c r="I157" s="73"/>
      <c r="J157" s="73"/>
      <c r="K157" s="54" t="s">
        <v>7808</v>
      </c>
      <c r="L157" s="57">
        <v>1589716391</v>
      </c>
      <c r="M157" s="57">
        <v>1589716391</v>
      </c>
      <c r="N157" s="771" t="s">
        <v>8853</v>
      </c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67"/>
      <c r="AA157" s="1" t="str">
        <f>IFERROR(VLOOKUP(D:D,[1]Габариты!$A:$I,9,0),"")</f>
        <v>Основной ассортимент</v>
      </c>
      <c r="AB157" s="6" t="str">
        <f>IFERROR(VLOOKUP(D:D,[1]Габариты!$A:$D,4,0),"")</f>
        <v>ОБУВНИЦЫ</v>
      </c>
      <c r="AC157" s="39">
        <f t="shared" si="18"/>
        <v>3769</v>
      </c>
      <c r="AD157" s="13" t="str">
        <f t="shared" ref="AD157:AD159" si="36">C157</f>
        <v>FBO</v>
      </c>
    </row>
    <row r="158" spans="1:30" s="6" customFormat="1" ht="20.100000000000001" customHeight="1" x14ac:dyDescent="0.25">
      <c r="A158" s="631" t="s">
        <v>6011</v>
      </c>
      <c r="B158" s="76"/>
      <c r="C158" s="13" t="s">
        <v>2582</v>
      </c>
      <c r="D158" s="396" t="s">
        <v>6042</v>
      </c>
      <c r="E158" s="4">
        <v>26</v>
      </c>
      <c r="F158" s="101" t="s">
        <v>5938</v>
      </c>
      <c r="G158" s="75" t="s">
        <v>5971</v>
      </c>
      <c r="H158" s="4"/>
      <c r="I158" s="73"/>
      <c r="J158" s="73"/>
      <c r="K158" s="54" t="s">
        <v>5938</v>
      </c>
      <c r="L158" s="57">
        <v>1595600862</v>
      </c>
      <c r="M158" s="57">
        <v>1595600862</v>
      </c>
      <c r="N158" s="771" t="s">
        <v>8854</v>
      </c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67"/>
      <c r="AA158" s="1" t="str">
        <f>IFERROR(VLOOKUP(D:D,[1]Габариты!$A:$I,9,0),"")</f>
        <v>Основной ассортимент</v>
      </c>
      <c r="AB158" s="6" t="str">
        <f>IFERROR(VLOOKUP(D:D,[1]Габариты!$A:$D,4,0),"")</f>
        <v>ОБУВНИЦЫ</v>
      </c>
      <c r="AC158" s="39" t="str">
        <f>D158</f>
        <v>3769.05/01</v>
      </c>
      <c r="AD158" s="13" t="str">
        <f t="shared" ref="AD158" si="37">C158</f>
        <v>FBO</v>
      </c>
    </row>
    <row r="159" spans="1:30" s="6" customFormat="1" ht="20.100000000000001" customHeight="1" x14ac:dyDescent="0.25">
      <c r="A159" s="631" t="s">
        <v>6009</v>
      </c>
      <c r="B159" s="76"/>
      <c r="C159" s="13" t="s">
        <v>2582</v>
      </c>
      <c r="D159" s="44" t="s">
        <v>6040</v>
      </c>
      <c r="E159" s="4">
        <v>26</v>
      </c>
      <c r="F159" s="101" t="s">
        <v>6285</v>
      </c>
      <c r="G159" s="75" t="s">
        <v>5969</v>
      </c>
      <c r="H159" s="4" t="s">
        <v>5969</v>
      </c>
      <c r="I159" s="73"/>
      <c r="J159" s="73"/>
      <c r="K159" s="54" t="s">
        <v>6285</v>
      </c>
      <c r="L159" s="57">
        <v>1595604277</v>
      </c>
      <c r="M159" s="57">
        <v>1595604277</v>
      </c>
      <c r="N159" s="769" t="s">
        <v>8849</v>
      </c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67"/>
      <c r="AA159" s="1" t="str">
        <f>IFERROR(VLOOKUP(D:D,[1]Габариты!$A:$I,9,0),"")</f>
        <v>Основной ассортимент</v>
      </c>
      <c r="AB159" s="6" t="str">
        <f>IFERROR(VLOOKUP(D:D,[1]Габариты!$A:$D,4,0),"")</f>
        <v>ОБУВНИЦЫ</v>
      </c>
      <c r="AC159" s="39" t="str">
        <f t="shared" si="18"/>
        <v>3769.06/01</v>
      </c>
      <c r="AD159" s="13" t="str">
        <f t="shared" si="36"/>
        <v>FBO</v>
      </c>
    </row>
    <row r="160" spans="1:30" s="6" customFormat="1" ht="20.100000000000001" customHeight="1" outlineLevel="1" x14ac:dyDescent="0.25">
      <c r="A160" s="633" t="s">
        <v>4297</v>
      </c>
      <c r="B160" s="3"/>
      <c r="C160" s="13" t="s">
        <v>2582</v>
      </c>
      <c r="D160" s="44" t="s">
        <v>4296</v>
      </c>
      <c r="E160" s="4">
        <v>26</v>
      </c>
      <c r="F160" s="106" t="s">
        <v>4743</v>
      </c>
      <c r="G160" s="57" t="s">
        <v>5729</v>
      </c>
      <c r="H160" s="4" t="s">
        <v>6540</v>
      </c>
      <c r="I160" s="4"/>
      <c r="J160" s="4"/>
      <c r="K160" s="54"/>
      <c r="L160" s="57"/>
      <c r="M160" s="57"/>
      <c r="N160" s="4" t="s">
        <v>4358</v>
      </c>
      <c r="O160" s="4">
        <v>1617776291</v>
      </c>
      <c r="P160" s="4">
        <v>1617776291</v>
      </c>
      <c r="Q160" s="767"/>
      <c r="R160" s="767"/>
      <c r="S160" s="4"/>
      <c r="T160" s="4"/>
      <c r="U160" s="4"/>
      <c r="V160" s="4"/>
      <c r="W160" s="4"/>
      <c r="X160" s="4" t="s">
        <v>4358</v>
      </c>
      <c r="Y160" s="4"/>
      <c r="Z160" s="35"/>
      <c r="AA160" s="1" t="str">
        <f>IFERROR(VLOOKUP(D:D,[1]Габариты!$A:$I,9,0),"")</f>
        <v>Основной ассортимент</v>
      </c>
      <c r="AB160" s="6" t="str">
        <f>IFERROR(VLOOKUP(D:D,[1]Габариты!$A:$D,4,0),"")</f>
        <v>ОБУВНИЦЫ</v>
      </c>
      <c r="AC160" s="39" t="str">
        <f t="shared" si="18"/>
        <v>3769.17/01</v>
      </c>
      <c r="AD160" s="13" t="str">
        <f t="shared" si="35"/>
        <v>FBO</v>
      </c>
    </row>
    <row r="161" spans="1:30" s="6" customFormat="1" ht="20.100000000000001" customHeight="1" x14ac:dyDescent="0.25">
      <c r="A161" s="631" t="s">
        <v>6012</v>
      </c>
      <c r="B161" s="76"/>
      <c r="C161" s="13" t="s">
        <v>2582</v>
      </c>
      <c r="D161" s="44" t="s">
        <v>6043</v>
      </c>
      <c r="E161" s="4">
        <v>26</v>
      </c>
      <c r="F161" s="101" t="s">
        <v>5939</v>
      </c>
      <c r="G161" s="75" t="s">
        <v>5972</v>
      </c>
      <c r="H161" s="4" t="s">
        <v>5972</v>
      </c>
      <c r="I161" s="73"/>
      <c r="J161" s="73"/>
      <c r="K161" s="74"/>
      <c r="L161" s="57"/>
      <c r="M161" s="57"/>
      <c r="N161" s="769" t="s">
        <v>8371</v>
      </c>
      <c r="O161" s="73"/>
      <c r="P161" s="73"/>
      <c r="Q161" s="73"/>
      <c r="R161" s="73"/>
      <c r="S161" s="73"/>
      <c r="T161" s="73"/>
      <c r="U161" s="73"/>
      <c r="V161" s="73"/>
      <c r="W161" s="73"/>
      <c r="X161" s="73" t="s">
        <v>8371</v>
      </c>
      <c r="Y161" s="73"/>
      <c r="Z161" s="67"/>
      <c r="AA161" s="1" t="str">
        <f>IFERROR(VLOOKUP(D:D,[1]Габариты!$A:$I,9,0),"")</f>
        <v>Основной ассортимент</v>
      </c>
      <c r="AB161" s="6" t="str">
        <f>IFERROR(VLOOKUP(D:D,[1]Габариты!$A:$D,4,0),"")</f>
        <v>ОБУВНИЦЫ</v>
      </c>
      <c r="AC161" s="39" t="str">
        <f t="shared" si="18"/>
        <v>3769.20/01</v>
      </c>
      <c r="AD161" s="13" t="str">
        <f t="shared" si="35"/>
        <v>FBO</v>
      </c>
    </row>
    <row r="162" spans="1:30" s="6" customFormat="1" ht="20.100000000000001" customHeight="1" x14ac:dyDescent="0.25">
      <c r="A162" s="631" t="s">
        <v>5574</v>
      </c>
      <c r="B162" s="3"/>
      <c r="C162" s="13" t="s">
        <v>2582</v>
      </c>
      <c r="D162" s="39" t="s">
        <v>5432</v>
      </c>
      <c r="E162" s="4">
        <v>21</v>
      </c>
      <c r="F162" s="101" t="s">
        <v>5307</v>
      </c>
      <c r="G162" s="57" t="s">
        <v>5714</v>
      </c>
      <c r="H162" s="4" t="s">
        <v>8290</v>
      </c>
      <c r="I162" s="4"/>
      <c r="J162" s="4"/>
      <c r="K162" s="54" t="s">
        <v>5307</v>
      </c>
      <c r="L162" s="57">
        <v>1525318164</v>
      </c>
      <c r="M162" s="57">
        <v>1525318164</v>
      </c>
      <c r="N162" s="4" t="s">
        <v>8349</v>
      </c>
      <c r="O162" s="4"/>
      <c r="P162" s="4"/>
      <c r="Q162" s="4"/>
      <c r="R162" s="4"/>
      <c r="S162" s="4"/>
      <c r="T162" s="4"/>
      <c r="U162" s="4"/>
      <c r="V162" s="4"/>
      <c r="W162" s="4"/>
      <c r="X162" s="4" t="s">
        <v>8349</v>
      </c>
      <c r="Y162" s="4"/>
      <c r="Z162" s="3"/>
      <c r="AA162" s="1" t="str">
        <f>IFERROR(VLOOKUP(D:D,[1]Габариты!$A:$I,9,0),"")</f>
        <v>Основной ассортимент</v>
      </c>
      <c r="AB162" s="6" t="str">
        <f>IFERROR(VLOOKUP(D:D,[1]Габариты!$A:$D,4,0),"")</f>
        <v>ОБУВНИЦЫ</v>
      </c>
      <c r="AC162" s="39" t="str">
        <f>D162</f>
        <v>3871.05/01</v>
      </c>
      <c r="AD162" s="13" t="str">
        <f>C162</f>
        <v>FBO</v>
      </c>
    </row>
    <row r="163" spans="1:30" s="6" customFormat="1" ht="20.100000000000001" customHeight="1" x14ac:dyDescent="0.25">
      <c r="A163" s="631" t="s">
        <v>8378</v>
      </c>
      <c r="B163" s="412"/>
      <c r="C163" s="13" t="s">
        <v>2582</v>
      </c>
      <c r="D163" s="414" t="s">
        <v>8379</v>
      </c>
      <c r="E163" s="4">
        <v>21</v>
      </c>
      <c r="F163" s="416" t="s">
        <v>8384</v>
      </c>
      <c r="G163" s="417" t="s">
        <v>8383</v>
      </c>
      <c r="H163" s="415" t="s">
        <v>8383</v>
      </c>
      <c r="I163" s="415"/>
      <c r="J163" s="415"/>
      <c r="K163" s="416"/>
      <c r="L163" s="417"/>
      <c r="M163" s="417"/>
      <c r="N163" s="415" t="s">
        <v>8855</v>
      </c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9"/>
      <c r="AA163" s="1" t="str">
        <f>IFERROR(VLOOKUP(D:D,[1]Габариты!$A:$I,9,0),"")</f>
        <v>Основной ассортимент</v>
      </c>
      <c r="AB163" s="6" t="str">
        <f>IFERROR(VLOOKUP(D:D,[1]Габариты!$A:$D,4,0),"")</f>
        <v>ОБУВНИЦЫ</v>
      </c>
      <c r="AC163" s="39" t="str">
        <f>D163</f>
        <v>3871.06/01</v>
      </c>
      <c r="AD163" s="13" t="str">
        <f t="shared" ref="AD163" si="38">C163</f>
        <v>FBO</v>
      </c>
    </row>
    <row r="164" spans="1:30" s="6" customFormat="1" ht="20.100000000000001" customHeight="1" x14ac:dyDescent="0.25">
      <c r="A164" s="631" t="s">
        <v>5589</v>
      </c>
      <c r="B164" s="3"/>
      <c r="C164" s="13" t="s">
        <v>2582</v>
      </c>
      <c r="D164" s="44" t="s">
        <v>5451</v>
      </c>
      <c r="E164" s="4">
        <v>21</v>
      </c>
      <c r="F164" s="101" t="s">
        <v>5493</v>
      </c>
      <c r="G164" s="57" t="s">
        <v>5674</v>
      </c>
      <c r="H164" s="4" t="s">
        <v>5674</v>
      </c>
      <c r="I164" s="4"/>
      <c r="J164" s="4"/>
      <c r="K164" s="54" t="s">
        <v>5493</v>
      </c>
      <c r="L164" s="57">
        <v>1623580240</v>
      </c>
      <c r="M164" s="57">
        <v>1623580240</v>
      </c>
      <c r="N164" s="4" t="s">
        <v>8346</v>
      </c>
      <c r="O164" s="4"/>
      <c r="P164" s="4"/>
      <c r="Q164" s="4"/>
      <c r="R164" s="4"/>
      <c r="S164" s="4"/>
      <c r="T164" s="4"/>
      <c r="U164" s="4"/>
      <c r="V164" s="4"/>
      <c r="W164" s="4"/>
      <c r="X164" s="4" t="s">
        <v>8346</v>
      </c>
      <c r="Y164" s="4"/>
      <c r="Z164" s="3"/>
      <c r="AA164" s="1" t="str">
        <f>IFERROR(VLOOKUP(D:D,[1]Габариты!$A:$I,9,0),"")</f>
        <v>Основной ассортимент</v>
      </c>
      <c r="AB164" s="6" t="str">
        <f>IFERROR(VLOOKUP(D:D,[1]Габариты!$A:$D,4,0),"")</f>
        <v>ОБУВНИЦЫ</v>
      </c>
      <c r="AC164" s="39" t="str">
        <f t="shared" si="18"/>
        <v>3871.17/01</v>
      </c>
      <c r="AD164" s="13" t="str">
        <f>C164</f>
        <v>FBO</v>
      </c>
    </row>
    <row r="165" spans="1:30" s="6" customFormat="1" ht="20.100000000000001" customHeight="1" x14ac:dyDescent="0.25">
      <c r="A165" s="631" t="s">
        <v>6010</v>
      </c>
      <c r="B165" s="76"/>
      <c r="C165" s="13" t="s">
        <v>2582</v>
      </c>
      <c r="D165" s="44" t="s">
        <v>6041</v>
      </c>
      <c r="E165" s="4">
        <v>21</v>
      </c>
      <c r="F165" s="101" t="s">
        <v>5937</v>
      </c>
      <c r="G165" s="75" t="s">
        <v>5970</v>
      </c>
      <c r="H165" s="4" t="s">
        <v>8289</v>
      </c>
      <c r="I165" s="73"/>
      <c r="J165" s="73"/>
      <c r="K165" s="54" t="s">
        <v>5937</v>
      </c>
      <c r="L165" s="57">
        <v>1595660385</v>
      </c>
      <c r="M165" s="57">
        <v>1595660385</v>
      </c>
      <c r="N165" s="769" t="s">
        <v>8347</v>
      </c>
      <c r="O165" s="73"/>
      <c r="P165" s="73"/>
      <c r="Q165" s="73"/>
      <c r="R165" s="73"/>
      <c r="S165" s="73"/>
      <c r="T165" s="73"/>
      <c r="U165" s="73"/>
      <c r="V165" s="73"/>
      <c r="W165" s="73"/>
      <c r="X165" s="73" t="s">
        <v>8347</v>
      </c>
      <c r="Y165" s="73"/>
      <c r="Z165" s="67"/>
      <c r="AA165" s="1" t="str">
        <f>IFERROR(VLOOKUP(D:D,[1]Габариты!$A:$I,9,0),"")</f>
        <v>Основной ассортимент</v>
      </c>
      <c r="AB165" s="6" t="str">
        <f>IFERROR(VLOOKUP(D:D,[1]Габариты!$A:$D,4,0),"")</f>
        <v>ОБУВНИЦЫ</v>
      </c>
      <c r="AC165" s="39" t="str">
        <f t="shared" si="18"/>
        <v>3871.01.09/01</v>
      </c>
      <c r="AD165" s="13" t="str">
        <f t="shared" ref="AD165:AD166" si="39">C165</f>
        <v>FBO</v>
      </c>
    </row>
    <row r="166" spans="1:30" s="6" customFormat="1" ht="20.100000000000001" customHeight="1" x14ac:dyDescent="0.25">
      <c r="A166" s="631" t="s">
        <v>5650</v>
      </c>
      <c r="B166" s="3"/>
      <c r="C166" s="13" t="s">
        <v>2582</v>
      </c>
      <c r="D166" s="39" t="s">
        <v>5442</v>
      </c>
      <c r="E166" s="4">
        <v>21</v>
      </c>
      <c r="F166" s="101" t="s">
        <v>6250</v>
      </c>
      <c r="G166" s="57" t="s">
        <v>5670</v>
      </c>
      <c r="H166" s="4" t="s">
        <v>5670</v>
      </c>
      <c r="I166" s="4"/>
      <c r="J166" s="4"/>
      <c r="K166" s="54" t="s">
        <v>6250</v>
      </c>
      <c r="L166" s="57">
        <v>1618482085</v>
      </c>
      <c r="M166" s="57">
        <v>1618482085</v>
      </c>
      <c r="N166" s="4" t="s">
        <v>8348</v>
      </c>
      <c r="O166" s="4"/>
      <c r="P166" s="4"/>
      <c r="Q166" s="4"/>
      <c r="R166" s="4"/>
      <c r="S166" s="4"/>
      <c r="T166" s="4"/>
      <c r="U166" s="4"/>
      <c r="V166" s="4"/>
      <c r="W166" s="4"/>
      <c r="X166" s="4" t="s">
        <v>8348</v>
      </c>
      <c r="Y166" s="4"/>
      <c r="Z166" s="3"/>
      <c r="AA166" s="1" t="str">
        <f>IFERROR(VLOOKUP(D:D,[1]Габариты!$A:$I,9,0),"")</f>
        <v>Основной ассортимент</v>
      </c>
      <c r="AB166" s="6" t="str">
        <f>IFERROR(VLOOKUP(D:D,[1]Габариты!$A:$D,4,0),"")</f>
        <v>ОБУВНИЦЫ</v>
      </c>
      <c r="AC166" s="39" t="str">
        <f t="shared" si="18"/>
        <v>3871.17.08/01</v>
      </c>
      <c r="AD166" s="13" t="str">
        <f t="shared" si="39"/>
        <v>FBO</v>
      </c>
    </row>
    <row r="167" spans="1:30" s="6" customFormat="1" ht="20.100000000000001" customHeight="1" outlineLevel="1" x14ac:dyDescent="0.25">
      <c r="A167" s="635" t="s">
        <v>148</v>
      </c>
      <c r="B167" s="3"/>
      <c r="C167" s="13" t="s">
        <v>2581</v>
      </c>
      <c r="D167" s="39">
        <v>2640</v>
      </c>
      <c r="E167" s="4">
        <v>16</v>
      </c>
      <c r="F167" s="101">
        <v>2640</v>
      </c>
      <c r="G167" s="57" t="s">
        <v>4849</v>
      </c>
      <c r="H167" s="4" t="s">
        <v>6496</v>
      </c>
      <c r="I167" s="4" t="s">
        <v>1209</v>
      </c>
      <c r="J167" s="4" t="s">
        <v>4293</v>
      </c>
      <c r="K167" s="54" t="s">
        <v>2184</v>
      </c>
      <c r="L167" s="57">
        <v>232972891</v>
      </c>
      <c r="M167" s="57">
        <v>232972891</v>
      </c>
      <c r="N167" s="4" t="s">
        <v>629</v>
      </c>
      <c r="O167" s="4">
        <v>266954547</v>
      </c>
      <c r="P167" s="4">
        <v>266954559</v>
      </c>
      <c r="Q167" s="767" t="s">
        <v>2748</v>
      </c>
      <c r="R167" s="767">
        <v>356122562</v>
      </c>
      <c r="S167" s="4">
        <v>356122561</v>
      </c>
      <c r="T167" s="4" t="s">
        <v>4303</v>
      </c>
      <c r="U167" s="4">
        <v>1608592883</v>
      </c>
      <c r="V167" s="4">
        <v>1608592883</v>
      </c>
      <c r="W167" s="4" t="s">
        <v>2184</v>
      </c>
      <c r="X167" s="4" t="s">
        <v>629</v>
      </c>
      <c r="Y167" s="4">
        <v>2640</v>
      </c>
      <c r="Z167" s="35"/>
      <c r="AA167" s="1" t="str">
        <f>IFERROR(VLOOKUP(D:D,[1]Габариты!$A:$I,9,0),"")</f>
        <v>Основной ассортимент</v>
      </c>
      <c r="AB167" s="6" t="str">
        <f>IFERROR(VLOOKUP(D:D,[1]Габариты!$A:$D,4,0),"")</f>
        <v>ОБУВНИЦЫ</v>
      </c>
      <c r="AC167" s="39">
        <f t="shared" si="18"/>
        <v>2640</v>
      </c>
      <c r="AD167" s="13" t="str">
        <f t="shared" ref="AD167:AD181" si="40">C167</f>
        <v>FBS</v>
      </c>
    </row>
    <row r="168" spans="1:30" s="6" customFormat="1" ht="20.100000000000001" customHeight="1" outlineLevel="1" x14ac:dyDescent="0.25">
      <c r="A168" s="635" t="s">
        <v>149</v>
      </c>
      <c r="B168" s="3"/>
      <c r="C168" s="13" t="s">
        <v>2582</v>
      </c>
      <c r="D168" s="39">
        <v>2641</v>
      </c>
      <c r="E168" s="4">
        <v>18</v>
      </c>
      <c r="F168" s="101">
        <v>2641</v>
      </c>
      <c r="G168" s="57" t="s">
        <v>4850</v>
      </c>
      <c r="H168" s="4" t="s">
        <v>6497</v>
      </c>
      <c r="I168" s="4" t="s">
        <v>1210</v>
      </c>
      <c r="J168" s="4" t="s">
        <v>1934</v>
      </c>
      <c r="K168" s="54" t="s">
        <v>2185</v>
      </c>
      <c r="L168" s="57">
        <v>248888140</v>
      </c>
      <c r="M168" s="57">
        <v>248888140</v>
      </c>
      <c r="N168" s="4" t="s">
        <v>630</v>
      </c>
      <c r="O168" s="4">
        <v>266325035</v>
      </c>
      <c r="P168" s="4">
        <v>266325036</v>
      </c>
      <c r="Q168" s="767" t="s">
        <v>2749</v>
      </c>
      <c r="R168" s="767">
        <v>348125957</v>
      </c>
      <c r="S168" s="4">
        <v>348125966</v>
      </c>
      <c r="T168" s="4" t="s">
        <v>4314</v>
      </c>
      <c r="U168" s="4">
        <v>1609318521</v>
      </c>
      <c r="V168" s="4">
        <v>1609318521</v>
      </c>
      <c r="W168" s="4" t="s">
        <v>2185</v>
      </c>
      <c r="X168" s="4" t="s">
        <v>630</v>
      </c>
      <c r="Y168" s="4">
        <v>2641</v>
      </c>
      <c r="Z168" s="35"/>
      <c r="AA168" s="1" t="str">
        <f>IFERROR(VLOOKUP(D:D,[1]Габариты!$A:$I,9,0),"")</f>
        <v>Основной ассортимент</v>
      </c>
      <c r="AB168" s="6" t="str">
        <f>IFERROR(VLOOKUP(D:D,[1]Габариты!$A:$D,4,0),"")</f>
        <v>ОБУВНИЦЫ</v>
      </c>
      <c r="AC168" s="39">
        <f t="shared" si="18"/>
        <v>2641</v>
      </c>
      <c r="AD168" s="13" t="str">
        <f t="shared" si="40"/>
        <v>FBO</v>
      </c>
    </row>
    <row r="169" spans="1:30" s="6" customFormat="1" ht="20.100000000000001" customHeight="1" outlineLevel="1" x14ac:dyDescent="0.25">
      <c r="A169" s="635" t="s">
        <v>215</v>
      </c>
      <c r="B169" s="3"/>
      <c r="C169" s="13" t="s">
        <v>2582</v>
      </c>
      <c r="D169" s="39">
        <v>2952</v>
      </c>
      <c r="E169" s="4">
        <v>39</v>
      </c>
      <c r="F169" s="101">
        <v>2952</v>
      </c>
      <c r="G169" s="57" t="s">
        <v>4911</v>
      </c>
      <c r="H169" s="4" t="s">
        <v>6499</v>
      </c>
      <c r="I169" s="4" t="s">
        <v>1206</v>
      </c>
      <c r="J169" s="4" t="s">
        <v>2027</v>
      </c>
      <c r="K169" s="54" t="s">
        <v>2181</v>
      </c>
      <c r="L169" s="57">
        <v>272617485</v>
      </c>
      <c r="M169" s="57">
        <v>272617485</v>
      </c>
      <c r="N169" s="4" t="s">
        <v>694</v>
      </c>
      <c r="O169" s="4">
        <v>270796658</v>
      </c>
      <c r="P169" s="4">
        <v>270796701</v>
      </c>
      <c r="Q169" s="767" t="s">
        <v>2746</v>
      </c>
      <c r="R169" s="767">
        <v>356635201</v>
      </c>
      <c r="S169" s="4">
        <v>356635202</v>
      </c>
      <c r="T169" s="4" t="s">
        <v>3312</v>
      </c>
      <c r="U169" s="4">
        <v>962746406</v>
      </c>
      <c r="V169" s="4">
        <v>962746406</v>
      </c>
      <c r="W169" s="4" t="s">
        <v>2181</v>
      </c>
      <c r="X169" s="4" t="s">
        <v>694</v>
      </c>
      <c r="Y169" s="4">
        <v>2952</v>
      </c>
      <c r="Z169" s="35"/>
      <c r="AA169" s="1" t="str">
        <f>IFERROR(VLOOKUP(D:D,[1]Габариты!$A:$I,9,0),"")</f>
        <v>Основной ассортимент</v>
      </c>
      <c r="AB169" s="6" t="str">
        <f>IFERROR(VLOOKUP(D:D,[1]Габариты!$A:$D,4,0),"")</f>
        <v>ОБУВНИЦЫ</v>
      </c>
      <c r="AC169" s="39">
        <f t="shared" si="18"/>
        <v>2952</v>
      </c>
      <c r="AD169" s="13" t="str">
        <f t="shared" si="40"/>
        <v>FBO</v>
      </c>
    </row>
    <row r="170" spans="1:30" s="6" customFormat="1" ht="20.100000000000001" customHeight="1" outlineLevel="1" x14ac:dyDescent="0.25">
      <c r="A170" s="635" t="s">
        <v>216</v>
      </c>
      <c r="B170" s="3"/>
      <c r="C170" s="13" t="s">
        <v>2582</v>
      </c>
      <c r="D170" s="39">
        <v>2953</v>
      </c>
      <c r="E170" s="4">
        <v>40</v>
      </c>
      <c r="F170" s="101">
        <v>2953</v>
      </c>
      <c r="G170" s="57" t="s">
        <v>4912</v>
      </c>
      <c r="H170" s="4" t="s">
        <v>6500</v>
      </c>
      <c r="I170" s="4" t="s">
        <v>1208</v>
      </c>
      <c r="J170" s="4" t="s">
        <v>2029</v>
      </c>
      <c r="K170" s="54" t="s">
        <v>2183</v>
      </c>
      <c r="L170" s="57">
        <v>272603429</v>
      </c>
      <c r="M170" s="57">
        <v>272603429</v>
      </c>
      <c r="N170" s="4" t="s">
        <v>695</v>
      </c>
      <c r="O170" s="4">
        <v>272101495</v>
      </c>
      <c r="P170" s="4">
        <v>272101499</v>
      </c>
      <c r="Q170" s="767" t="s">
        <v>2747</v>
      </c>
      <c r="R170" s="767">
        <v>375463311</v>
      </c>
      <c r="S170" s="4">
        <v>375463310</v>
      </c>
      <c r="T170" s="4" t="s">
        <v>3313</v>
      </c>
      <c r="U170" s="4">
        <v>962737509</v>
      </c>
      <c r="V170" s="4">
        <v>962737509</v>
      </c>
      <c r="W170" s="4" t="s">
        <v>2183</v>
      </c>
      <c r="X170" s="4" t="s">
        <v>695</v>
      </c>
      <c r="Y170" s="4">
        <v>2953</v>
      </c>
      <c r="Z170" s="35"/>
      <c r="AA170" s="1" t="str">
        <f>IFERROR(VLOOKUP(D:D,[1]Габариты!$A:$I,9,0),"")</f>
        <v>Основной ассортимент</v>
      </c>
      <c r="AB170" s="6" t="str">
        <f>IFERROR(VLOOKUP(D:D,[1]Габариты!$A:$D,4,0),"")</f>
        <v>ОБУВНИЦЫ</v>
      </c>
      <c r="AC170" s="39">
        <f t="shared" si="18"/>
        <v>2953</v>
      </c>
      <c r="AD170" s="13" t="str">
        <f t="shared" si="40"/>
        <v>FBO</v>
      </c>
    </row>
    <row r="171" spans="1:30" s="6" customFormat="1" ht="20.100000000000001" customHeight="1" outlineLevel="1" x14ac:dyDescent="0.25">
      <c r="A171" s="635" t="s">
        <v>217</v>
      </c>
      <c r="B171" s="3"/>
      <c r="C171" s="13" t="s">
        <v>2582</v>
      </c>
      <c r="D171" s="39">
        <v>2954</v>
      </c>
      <c r="E171" s="4">
        <v>39</v>
      </c>
      <c r="F171" s="101">
        <v>2954</v>
      </c>
      <c r="G171" s="57" t="s">
        <v>4913</v>
      </c>
      <c r="H171" s="4" t="s">
        <v>6501</v>
      </c>
      <c r="I171" s="4" t="s">
        <v>1207</v>
      </c>
      <c r="J171" s="4" t="s">
        <v>2028</v>
      </c>
      <c r="K171" s="54" t="s">
        <v>2182</v>
      </c>
      <c r="L171" s="57">
        <v>272617248</v>
      </c>
      <c r="M171" s="57">
        <v>272617248</v>
      </c>
      <c r="N171" s="4" t="s">
        <v>696</v>
      </c>
      <c r="O171" s="4">
        <v>272101885</v>
      </c>
      <c r="P171" s="4">
        <v>272101891</v>
      </c>
      <c r="Q171" s="767" t="s">
        <v>4334</v>
      </c>
      <c r="R171" s="767">
        <v>1609774775</v>
      </c>
      <c r="S171" s="4">
        <v>1609774775</v>
      </c>
      <c r="T171" s="4" t="s">
        <v>3129</v>
      </c>
      <c r="U171" s="4">
        <v>962636521</v>
      </c>
      <c r="V171" s="4">
        <v>962636521</v>
      </c>
      <c r="W171" s="4" t="s">
        <v>2182</v>
      </c>
      <c r="X171" s="4" t="s">
        <v>696</v>
      </c>
      <c r="Y171" s="4">
        <v>2954</v>
      </c>
      <c r="Z171" s="35"/>
      <c r="AA171" s="1" t="str">
        <f>IFERROR(VLOOKUP(D:D,[1]Габариты!$A:$I,9,0),"")</f>
        <v>Основной ассортимент</v>
      </c>
      <c r="AB171" s="6" t="str">
        <f>IFERROR(VLOOKUP(D:D,[1]Габариты!$A:$D,4,0),"")</f>
        <v>ОБУВНИЦЫ</v>
      </c>
      <c r="AC171" s="39">
        <f t="shared" si="18"/>
        <v>2954</v>
      </c>
      <c r="AD171" s="13" t="str">
        <f t="shared" si="40"/>
        <v>FBO</v>
      </c>
    </row>
    <row r="172" spans="1:30" s="6" customFormat="1" ht="20.100000000000001" customHeight="1" outlineLevel="1" x14ac:dyDescent="0.25">
      <c r="A172" s="635" t="s">
        <v>808</v>
      </c>
      <c r="B172" s="3"/>
      <c r="C172" s="13" t="s">
        <v>2581</v>
      </c>
      <c r="D172" s="39">
        <v>3357</v>
      </c>
      <c r="E172" s="4">
        <v>16</v>
      </c>
      <c r="F172" s="101">
        <v>3357</v>
      </c>
      <c r="G172" s="57" t="s">
        <v>5060</v>
      </c>
      <c r="H172" s="4" t="s">
        <v>6506</v>
      </c>
      <c r="I172" s="4"/>
      <c r="J172" s="4" t="s">
        <v>5318</v>
      </c>
      <c r="K172" s="54" t="s">
        <v>2188</v>
      </c>
      <c r="L172" s="57">
        <v>1209241665</v>
      </c>
      <c r="M172" s="57">
        <v>1209241665</v>
      </c>
      <c r="N172" s="4" t="s">
        <v>857</v>
      </c>
      <c r="O172" s="4">
        <v>515209030</v>
      </c>
      <c r="P172" s="4">
        <v>515209031</v>
      </c>
      <c r="Q172" s="767"/>
      <c r="R172" s="767"/>
      <c r="S172" s="4"/>
      <c r="T172" s="4" t="s">
        <v>4434</v>
      </c>
      <c r="U172" s="4">
        <v>1625226022</v>
      </c>
      <c r="V172" s="4">
        <v>1625226022</v>
      </c>
      <c r="W172" s="4" t="s">
        <v>2188</v>
      </c>
      <c r="X172" s="4" t="s">
        <v>857</v>
      </c>
      <c r="Y172" s="4">
        <v>3357</v>
      </c>
      <c r="Z172" s="35"/>
      <c r="AA172" s="1" t="str">
        <f>IFERROR(VLOOKUP(D:D,[1]Габариты!$A:$I,9,0),"")</f>
        <v>Основной ассортимент</v>
      </c>
      <c r="AB172" s="6" t="str">
        <f>IFERROR(VLOOKUP(D:D,[1]Габариты!$A:$D,4,0),"")</f>
        <v>ОБУВНИЦЫ</v>
      </c>
      <c r="AC172" s="39">
        <f t="shared" si="18"/>
        <v>3357</v>
      </c>
      <c r="AD172" s="13" t="str">
        <f t="shared" si="40"/>
        <v>FBS</v>
      </c>
    </row>
    <row r="173" spans="1:30" s="6" customFormat="1" ht="20.100000000000001" customHeight="1" outlineLevel="1" x14ac:dyDescent="0.25">
      <c r="A173" s="635" t="s">
        <v>3185</v>
      </c>
      <c r="B173" s="3"/>
      <c r="C173" s="13" t="s">
        <v>2582</v>
      </c>
      <c r="D173" s="39">
        <v>3617</v>
      </c>
      <c r="E173" s="4">
        <v>24</v>
      </c>
      <c r="F173" s="101">
        <v>3617</v>
      </c>
      <c r="G173" s="57" t="s">
        <v>5099</v>
      </c>
      <c r="H173" s="4" t="s">
        <v>6517</v>
      </c>
      <c r="I173" s="4" t="s">
        <v>3293</v>
      </c>
      <c r="J173" s="4" t="s">
        <v>3291</v>
      </c>
      <c r="K173" s="54" t="s">
        <v>7878</v>
      </c>
      <c r="L173" s="57">
        <v>1617460302</v>
      </c>
      <c r="M173" s="57">
        <v>1617460302</v>
      </c>
      <c r="N173" s="4" t="s">
        <v>3182</v>
      </c>
      <c r="O173" s="4">
        <v>994239107</v>
      </c>
      <c r="P173" s="4">
        <v>994239106</v>
      </c>
      <c r="Q173" s="767" t="s">
        <v>3411</v>
      </c>
      <c r="R173" s="767">
        <v>997880722</v>
      </c>
      <c r="S173" s="4">
        <v>997880723</v>
      </c>
      <c r="T173" s="4" t="s">
        <v>3315</v>
      </c>
      <c r="U173" s="4">
        <v>997740869</v>
      </c>
      <c r="V173" s="4">
        <v>997740869</v>
      </c>
      <c r="W173" s="4"/>
      <c r="X173" s="4" t="s">
        <v>3182</v>
      </c>
      <c r="Y173" s="4">
        <v>3617</v>
      </c>
      <c r="Z173" s="35"/>
      <c r="AA173" s="1" t="str">
        <f>IFERROR(VLOOKUP(D:D,[1]Габариты!$A:$I,9,0),"")</f>
        <v>Основной ассортимент</v>
      </c>
      <c r="AB173" s="6" t="str">
        <f>IFERROR(VLOOKUP(D:D,[1]Габариты!$A:$D,4,0),"")</f>
        <v>ОБУВНИЦЫ</v>
      </c>
      <c r="AC173" s="39">
        <f t="shared" si="18"/>
        <v>3617</v>
      </c>
      <c r="AD173" s="13" t="str">
        <f t="shared" si="40"/>
        <v>FBO</v>
      </c>
    </row>
    <row r="174" spans="1:30" s="6" customFormat="1" ht="20.100000000000001" customHeight="1" outlineLevel="1" x14ac:dyDescent="0.25">
      <c r="A174" s="635" t="s">
        <v>3186</v>
      </c>
      <c r="B174" s="3"/>
      <c r="C174" s="13" t="s">
        <v>2582</v>
      </c>
      <c r="D174" s="39">
        <v>3618</v>
      </c>
      <c r="E174" s="4">
        <v>24</v>
      </c>
      <c r="F174" s="101">
        <v>3618</v>
      </c>
      <c r="G174" s="57" t="s">
        <v>5100</v>
      </c>
      <c r="H174" s="4" t="s">
        <v>6518</v>
      </c>
      <c r="I174" s="4" t="s">
        <v>3294</v>
      </c>
      <c r="J174" s="4" t="s">
        <v>3290</v>
      </c>
      <c r="K174" s="54" t="s">
        <v>7879</v>
      </c>
      <c r="L174" s="57">
        <v>1545905616</v>
      </c>
      <c r="M174" s="57">
        <v>1545905616</v>
      </c>
      <c r="N174" s="4" t="s">
        <v>3183</v>
      </c>
      <c r="O174" s="4">
        <v>995270640</v>
      </c>
      <c r="P174" s="4">
        <v>995270641</v>
      </c>
      <c r="Q174" s="767" t="s">
        <v>3410</v>
      </c>
      <c r="R174" s="767">
        <v>997903099</v>
      </c>
      <c r="S174" s="4">
        <v>997903098</v>
      </c>
      <c r="T174" s="4" t="s">
        <v>3316</v>
      </c>
      <c r="U174" s="4">
        <v>997801086</v>
      </c>
      <c r="V174" s="4">
        <v>997801086</v>
      </c>
      <c r="W174" s="4"/>
      <c r="X174" s="4" t="s">
        <v>3183</v>
      </c>
      <c r="Y174" s="4">
        <v>3618</v>
      </c>
      <c r="Z174" s="35"/>
      <c r="AA174" s="1" t="str">
        <f>IFERROR(VLOOKUP(D:D,[1]Габариты!$A:$I,9,0),"")</f>
        <v>Основной ассортимент</v>
      </c>
      <c r="AB174" s="6" t="str">
        <f>IFERROR(VLOOKUP(D:D,[1]Габариты!$A:$D,4,0),"")</f>
        <v>ОБУВНИЦЫ</v>
      </c>
      <c r="AC174" s="39">
        <f t="shared" si="18"/>
        <v>3618</v>
      </c>
      <c r="AD174" s="13" t="str">
        <f t="shared" si="40"/>
        <v>FBO</v>
      </c>
    </row>
    <row r="175" spans="1:30" s="6" customFormat="1" ht="20.100000000000001" customHeight="1" outlineLevel="1" x14ac:dyDescent="0.25">
      <c r="A175" s="635" t="s">
        <v>3187</v>
      </c>
      <c r="B175" s="3"/>
      <c r="C175" s="13" t="s">
        <v>2582</v>
      </c>
      <c r="D175" s="39">
        <v>3619</v>
      </c>
      <c r="E175" s="4">
        <v>24</v>
      </c>
      <c r="F175" s="101">
        <v>3619</v>
      </c>
      <c r="G175" s="57" t="s">
        <v>5101</v>
      </c>
      <c r="H175" s="4" t="s">
        <v>6519</v>
      </c>
      <c r="I175" s="4" t="s">
        <v>3292</v>
      </c>
      <c r="J175" s="4" t="s">
        <v>3265</v>
      </c>
      <c r="K175" s="54" t="s">
        <v>7880</v>
      </c>
      <c r="L175" s="57">
        <v>1345179302</v>
      </c>
      <c r="M175" s="57">
        <v>1345179302</v>
      </c>
      <c r="N175" s="4" t="s">
        <v>3184</v>
      </c>
      <c r="O175" s="4">
        <v>995494147</v>
      </c>
      <c r="P175" s="4">
        <v>995494146</v>
      </c>
      <c r="Q175" s="767" t="s">
        <v>3409</v>
      </c>
      <c r="R175" s="767">
        <v>997912566</v>
      </c>
      <c r="S175" s="4">
        <v>997912567</v>
      </c>
      <c r="T175" s="4" t="s">
        <v>3317</v>
      </c>
      <c r="U175" s="4">
        <v>997802470</v>
      </c>
      <c r="V175" s="4">
        <v>997802470</v>
      </c>
      <c r="W175" s="4"/>
      <c r="X175" s="4" t="s">
        <v>3184</v>
      </c>
      <c r="Y175" s="4">
        <v>3619</v>
      </c>
      <c r="Z175" s="35"/>
      <c r="AA175" s="1" t="str">
        <f>IFERROR(VLOOKUP(D:D,[1]Габариты!$A:$I,9,0),"")</f>
        <v>Основной ассортимент</v>
      </c>
      <c r="AB175" s="6" t="str">
        <f>IFERROR(VLOOKUP(D:D,[1]Габариты!$A:$D,4,0),"")</f>
        <v>ОБУВНИЦЫ</v>
      </c>
      <c r="AC175" s="39">
        <f t="shared" si="18"/>
        <v>3619</v>
      </c>
      <c r="AD175" s="13" t="str">
        <f t="shared" si="40"/>
        <v>FBO</v>
      </c>
    </row>
    <row r="176" spans="1:30" s="6" customFormat="1" ht="20.100000000000001" customHeight="1" outlineLevel="1" x14ac:dyDescent="0.25">
      <c r="A176" s="635" t="s">
        <v>3361</v>
      </c>
      <c r="B176" s="3"/>
      <c r="C176" s="13" t="s">
        <v>2582</v>
      </c>
      <c r="D176" s="39">
        <v>3544</v>
      </c>
      <c r="E176" s="4">
        <v>24</v>
      </c>
      <c r="F176" s="101">
        <v>3544</v>
      </c>
      <c r="G176" s="57" t="s">
        <v>5077</v>
      </c>
      <c r="H176" s="4" t="s">
        <v>6527</v>
      </c>
      <c r="I176" s="4" t="s">
        <v>3422</v>
      </c>
      <c r="J176" s="4" t="s">
        <v>3475</v>
      </c>
      <c r="K176" s="54" t="s">
        <v>7881</v>
      </c>
      <c r="L176" s="57">
        <v>882058251</v>
      </c>
      <c r="M176" s="57">
        <v>882058251</v>
      </c>
      <c r="N176" s="4" t="s">
        <v>3425</v>
      </c>
      <c r="O176" s="4">
        <v>1034206753</v>
      </c>
      <c r="P176" s="4">
        <v>1034206753</v>
      </c>
      <c r="Q176" s="767" t="s">
        <v>3394</v>
      </c>
      <c r="R176" s="767">
        <v>1033743355</v>
      </c>
      <c r="S176" s="4">
        <v>1033743356</v>
      </c>
      <c r="T176" s="4" t="s">
        <v>3440</v>
      </c>
      <c r="U176" s="4">
        <v>1033723627</v>
      </c>
      <c r="V176" s="4">
        <v>1033723627</v>
      </c>
      <c r="W176" s="4"/>
      <c r="X176" s="4" t="s">
        <v>3425</v>
      </c>
      <c r="Y176" s="4">
        <v>3544</v>
      </c>
      <c r="Z176" s="35"/>
      <c r="AA176" s="1" t="str">
        <f>IFERROR(VLOOKUP(D:D,[1]Габариты!$A:$I,9,0),"")</f>
        <v>Основной ассортимент</v>
      </c>
      <c r="AB176" s="6" t="str">
        <f>IFERROR(VLOOKUP(D:D,[1]Габариты!$A:$D,4,0),"")</f>
        <v>ОБУВНИЦЫ</v>
      </c>
      <c r="AC176" s="39">
        <f t="shared" si="18"/>
        <v>3544</v>
      </c>
      <c r="AD176" s="13" t="str">
        <f t="shared" si="40"/>
        <v>FBO</v>
      </c>
    </row>
    <row r="177" spans="1:30" s="6" customFormat="1" ht="20.100000000000001" customHeight="1" outlineLevel="1" x14ac:dyDescent="0.25">
      <c r="A177" s="635" t="s">
        <v>3362</v>
      </c>
      <c r="B177" s="3"/>
      <c r="C177" s="13" t="s">
        <v>2582</v>
      </c>
      <c r="D177" s="39">
        <v>3620</v>
      </c>
      <c r="E177" s="4">
        <v>22</v>
      </c>
      <c r="F177" s="101">
        <v>3620</v>
      </c>
      <c r="G177" s="57" t="s">
        <v>5102</v>
      </c>
      <c r="H177" s="4" t="s">
        <v>6520</v>
      </c>
      <c r="I177" s="4" t="s">
        <v>3421</v>
      </c>
      <c r="J177" s="4" t="s">
        <v>3473</v>
      </c>
      <c r="K177" s="54" t="s">
        <v>7882</v>
      </c>
      <c r="L177" s="57"/>
      <c r="M177" s="57"/>
      <c r="N177" s="4" t="s">
        <v>3426</v>
      </c>
      <c r="O177" s="4">
        <v>1033898288</v>
      </c>
      <c r="P177" s="4">
        <v>1033898289</v>
      </c>
      <c r="Q177" s="767" t="s">
        <v>3395</v>
      </c>
      <c r="R177" s="767">
        <v>1033957396</v>
      </c>
      <c r="S177" s="4">
        <v>1033957395</v>
      </c>
      <c r="T177" s="4" t="s">
        <v>3441</v>
      </c>
      <c r="U177" s="4">
        <v>1033933344</v>
      </c>
      <c r="V177" s="4">
        <v>1033933344</v>
      </c>
      <c r="W177" s="4"/>
      <c r="X177" s="4" t="s">
        <v>3426</v>
      </c>
      <c r="Y177" s="4" t="s">
        <v>4066</v>
      </c>
      <c r="Z177" s="35"/>
      <c r="AA177" s="1" t="str">
        <f>IFERROR(VLOOKUP(D:D,[1]Габариты!$A:$I,9,0),"")</f>
        <v>Основной ассортимент</v>
      </c>
      <c r="AB177" s="6" t="str">
        <f>IFERROR(VLOOKUP(D:D,[1]Габариты!$A:$D,4,0),"")</f>
        <v>ОБУВНИЦЫ</v>
      </c>
      <c r="AC177" s="39">
        <f t="shared" si="18"/>
        <v>3620</v>
      </c>
      <c r="AD177" s="13" t="str">
        <f t="shared" si="40"/>
        <v>FBO</v>
      </c>
    </row>
    <row r="178" spans="1:30" s="6" customFormat="1" ht="20.100000000000001" customHeight="1" outlineLevel="1" x14ac:dyDescent="0.25">
      <c r="A178" s="635" t="s">
        <v>3363</v>
      </c>
      <c r="B178" s="3"/>
      <c r="C178" s="13" t="s">
        <v>2582</v>
      </c>
      <c r="D178" s="39">
        <v>3621</v>
      </c>
      <c r="E178" s="4">
        <v>22</v>
      </c>
      <c r="F178" s="101">
        <v>3621</v>
      </c>
      <c r="G178" s="57" t="s">
        <v>5103</v>
      </c>
      <c r="H178" s="4" t="s">
        <v>6521</v>
      </c>
      <c r="I178" s="4" t="s">
        <v>3420</v>
      </c>
      <c r="J178" s="4" t="s">
        <v>3474</v>
      </c>
      <c r="K178" s="54" t="s">
        <v>7883</v>
      </c>
      <c r="L178" s="57">
        <v>1192635946</v>
      </c>
      <c r="M178" s="57">
        <v>1192635946</v>
      </c>
      <c r="N178" s="4" t="s">
        <v>3427</v>
      </c>
      <c r="O178" s="4">
        <v>1033909624</v>
      </c>
      <c r="P178" s="4">
        <v>1033909623</v>
      </c>
      <c r="Q178" s="767" t="s">
        <v>3396</v>
      </c>
      <c r="R178" s="767">
        <v>1033965538</v>
      </c>
      <c r="S178" s="4">
        <v>1033965537</v>
      </c>
      <c r="T178" s="4" t="s">
        <v>3442</v>
      </c>
      <c r="U178" s="4">
        <v>1033938546</v>
      </c>
      <c r="V178" s="4">
        <v>1033938546</v>
      </c>
      <c r="W178" s="4"/>
      <c r="X178" s="4" t="s">
        <v>3427</v>
      </c>
      <c r="Y178" s="4">
        <v>3621</v>
      </c>
      <c r="Z178" s="35"/>
      <c r="AA178" s="1" t="str">
        <f>IFERROR(VLOOKUP(D:D,[1]Габариты!$A:$I,9,0),"")</f>
        <v>Основной ассортимент</v>
      </c>
      <c r="AB178" s="6" t="str">
        <f>IFERROR(VLOOKUP(D:D,[1]Габариты!$A:$D,4,0),"")</f>
        <v>ОБУВНИЦЫ</v>
      </c>
      <c r="AC178" s="39">
        <f t="shared" si="18"/>
        <v>3621</v>
      </c>
      <c r="AD178" s="13" t="str">
        <f t="shared" si="40"/>
        <v>FBO</v>
      </c>
    </row>
    <row r="179" spans="1:30" s="6" customFormat="1" ht="20.100000000000001" customHeight="1" outlineLevel="1" x14ac:dyDescent="0.25">
      <c r="A179" s="633" t="s">
        <v>3943</v>
      </c>
      <c r="B179" s="3"/>
      <c r="C179" s="13" t="s">
        <v>2581</v>
      </c>
      <c r="D179" s="44" t="s">
        <v>3942</v>
      </c>
      <c r="E179" s="4">
        <v>16</v>
      </c>
      <c r="F179" s="106" t="s">
        <v>8247</v>
      </c>
      <c r="G179" s="57"/>
      <c r="H179" s="4" t="s">
        <v>6534</v>
      </c>
      <c r="I179" s="4"/>
      <c r="J179" s="4" t="s">
        <v>4294</v>
      </c>
      <c r="K179" s="54"/>
      <c r="L179" s="57"/>
      <c r="M179" s="57"/>
      <c r="N179" s="4" t="s">
        <v>4035</v>
      </c>
      <c r="O179" s="4">
        <v>1487830718</v>
      </c>
      <c r="P179" s="4">
        <v>1487830718</v>
      </c>
      <c r="Q179" s="767"/>
      <c r="R179" s="767"/>
      <c r="S179" s="4"/>
      <c r="T179" s="4" t="s">
        <v>4435</v>
      </c>
      <c r="U179" s="4">
        <v>1625365911</v>
      </c>
      <c r="V179" s="4">
        <v>1625365911</v>
      </c>
      <c r="W179" s="4"/>
      <c r="X179" s="4" t="s">
        <v>4035</v>
      </c>
      <c r="Y179" s="4" t="s">
        <v>4066</v>
      </c>
      <c r="Z179" s="35"/>
      <c r="AA179" s="1" t="str">
        <f>IFERROR(VLOOKUP(D:D,[1]Габариты!$A:$I,9,0),"")</f>
        <v>Основной ассортимент</v>
      </c>
      <c r="AB179" s="6" t="str">
        <f>IFERROR(VLOOKUP(D:D,[1]Габариты!$A:$D,4,0),"")</f>
        <v>ОБУВНИЦЫ</v>
      </c>
      <c r="AC179" s="39" t="str">
        <f t="shared" si="18"/>
        <v>3357.09/01</v>
      </c>
      <c r="AD179" s="13" t="str">
        <f t="shared" si="40"/>
        <v>FBS</v>
      </c>
    </row>
    <row r="180" spans="1:30" s="6" customFormat="1" ht="20.100000000000001" customHeight="1" outlineLevel="1" x14ac:dyDescent="0.25">
      <c r="A180" s="660" t="s">
        <v>4000</v>
      </c>
      <c r="B180" s="3"/>
      <c r="C180" s="13" t="s">
        <v>2581</v>
      </c>
      <c r="D180" s="44" t="s">
        <v>3984</v>
      </c>
      <c r="E180" s="4">
        <v>16</v>
      </c>
      <c r="F180" s="106" t="s">
        <v>6203</v>
      </c>
      <c r="G180" s="57" t="s">
        <v>5141</v>
      </c>
      <c r="H180" s="4" t="s">
        <v>6535</v>
      </c>
      <c r="I180" s="4"/>
      <c r="J180" s="4" t="s">
        <v>4295</v>
      </c>
      <c r="K180" s="54" t="s">
        <v>6203</v>
      </c>
      <c r="L180" s="57">
        <v>1588864533</v>
      </c>
      <c r="M180" s="57">
        <v>1588864533</v>
      </c>
      <c r="N180" s="4" t="s">
        <v>4033</v>
      </c>
      <c r="O180" s="4">
        <v>1485826433</v>
      </c>
      <c r="P180" s="4">
        <v>1485826433</v>
      </c>
      <c r="Q180" s="767"/>
      <c r="R180" s="767"/>
      <c r="S180" s="4"/>
      <c r="T180" s="4" t="s">
        <v>4436</v>
      </c>
      <c r="U180" s="4">
        <v>1625345674</v>
      </c>
      <c r="V180" s="4">
        <v>1625345674</v>
      </c>
      <c r="W180" s="4"/>
      <c r="X180" s="4" t="s">
        <v>4033</v>
      </c>
      <c r="Y180" s="4" t="s">
        <v>4066</v>
      </c>
      <c r="Z180" s="35"/>
      <c r="AA180" s="1" t="str">
        <f>IFERROR(VLOOKUP(D:D,[1]Габариты!$A:$I,9,0),"")</f>
        <v>Основной ассортимент</v>
      </c>
      <c r="AB180" s="6" t="str">
        <f>IFERROR(VLOOKUP(D:D,[1]Габариты!$A:$D,4,0),"")</f>
        <v>ОБУВНИЦЫ</v>
      </c>
      <c r="AC180" s="39" t="str">
        <f t="shared" si="18"/>
        <v>3357.20/01</v>
      </c>
      <c r="AD180" s="13" t="str">
        <f t="shared" si="40"/>
        <v>FBS</v>
      </c>
    </row>
    <row r="181" spans="1:30" s="6" customFormat="1" ht="20.100000000000001" customHeight="1" outlineLevel="1" x14ac:dyDescent="0.25">
      <c r="A181" s="661" t="s">
        <v>8328</v>
      </c>
      <c r="B181" s="395"/>
      <c r="C181" s="164" t="s">
        <v>2582</v>
      </c>
      <c r="D181" s="396">
        <v>3761</v>
      </c>
      <c r="E181" s="166">
        <v>24</v>
      </c>
      <c r="F181" s="401">
        <v>3761</v>
      </c>
      <c r="G181" s="399" t="s">
        <v>5421</v>
      </c>
      <c r="H181" s="397" t="s">
        <v>8388</v>
      </c>
      <c r="I181" s="397"/>
      <c r="J181" s="397"/>
      <c r="K181" s="398" t="s">
        <v>7848</v>
      </c>
      <c r="L181" s="399">
        <v>1617526273</v>
      </c>
      <c r="M181" s="399">
        <v>1617526273</v>
      </c>
      <c r="N181" s="397"/>
      <c r="O181" s="397"/>
      <c r="P181" s="397"/>
      <c r="Q181" s="800"/>
      <c r="R181" s="800"/>
      <c r="S181" s="397"/>
      <c r="T181" s="397"/>
      <c r="U181" s="397"/>
      <c r="V181" s="397"/>
      <c r="W181" s="397"/>
      <c r="X181" s="397"/>
      <c r="Y181" s="397"/>
      <c r="Z181" s="35"/>
      <c r="AA181" s="1" t="str">
        <f>IFERROR(VLOOKUP(D:D,[1]Габариты!$A:$I,9,0),"")</f>
        <v>Основной ассортимент</v>
      </c>
      <c r="AB181" s="6" t="str">
        <f>IFERROR(VLOOKUP(D:D,[1]Габариты!$A:$D,4,0),"")</f>
        <v>ОБУВНИЦЫ</v>
      </c>
      <c r="AC181" s="39">
        <f t="shared" si="18"/>
        <v>3761</v>
      </c>
      <c r="AD181" s="13" t="str">
        <f t="shared" si="40"/>
        <v>FBO</v>
      </c>
    </row>
    <row r="182" spans="1:30" s="6" customFormat="1" ht="20.100000000000001" customHeight="1" x14ac:dyDescent="0.25">
      <c r="A182" s="631" t="s">
        <v>5894</v>
      </c>
      <c r="B182" s="76"/>
      <c r="C182" s="13" t="s">
        <v>2582</v>
      </c>
      <c r="D182" s="39" t="s">
        <v>5780</v>
      </c>
      <c r="E182" s="4">
        <v>15</v>
      </c>
      <c r="F182" s="101" t="s">
        <v>6335</v>
      </c>
      <c r="G182" s="75" t="s">
        <v>5827</v>
      </c>
      <c r="H182" s="4" t="s">
        <v>5827</v>
      </c>
      <c r="I182" s="73"/>
      <c r="J182" s="73"/>
      <c r="K182" s="54" t="s">
        <v>6335</v>
      </c>
      <c r="L182" s="57">
        <v>1471544861</v>
      </c>
      <c r="M182" s="57">
        <v>1471544861</v>
      </c>
      <c r="N182" s="771" t="s">
        <v>7795</v>
      </c>
      <c r="O182" s="73">
        <v>1758975806</v>
      </c>
      <c r="P182" s="73">
        <v>1758975806</v>
      </c>
      <c r="Q182" s="73"/>
      <c r="R182" s="73"/>
      <c r="S182" s="73"/>
      <c r="T182" s="73"/>
      <c r="U182" s="73"/>
      <c r="V182" s="73"/>
      <c r="W182" s="73"/>
      <c r="X182" s="73" t="s">
        <v>7795</v>
      </c>
      <c r="Y182" s="73"/>
      <c r="Z182" s="67"/>
      <c r="AA182" s="1" t="str">
        <f>IFERROR(VLOOKUP(D:D,[1]Габариты!$A:$I,9,0),"")</f>
        <v>Вакансия</v>
      </c>
      <c r="AB182" s="6" t="str">
        <f>IFERROR(VLOOKUP(D:D,[1]Габариты!$A:$D,4,0),"")</f>
        <v>ОБУВНИЦЫ</v>
      </c>
      <c r="AC182" s="39" t="str">
        <f>D182</f>
        <v>MK1930101</v>
      </c>
      <c r="AD182" s="13" t="str">
        <f>C182</f>
        <v>FBO</v>
      </c>
    </row>
    <row r="183" spans="1:30" s="6" customFormat="1" ht="20.100000000000001" customHeight="1" outlineLevel="1" x14ac:dyDescent="0.25">
      <c r="A183" s="635" t="s">
        <v>1361</v>
      </c>
      <c r="B183" s="3"/>
      <c r="C183" s="13" t="s">
        <v>2582</v>
      </c>
      <c r="D183" s="39" t="s">
        <v>1485</v>
      </c>
      <c r="E183" s="4">
        <v>24</v>
      </c>
      <c r="F183" s="101" t="s">
        <v>6198</v>
      </c>
      <c r="G183" s="57" t="s">
        <v>5206</v>
      </c>
      <c r="H183" s="4" t="s">
        <v>6510</v>
      </c>
      <c r="I183" s="4"/>
      <c r="J183" s="4"/>
      <c r="K183" s="54" t="s">
        <v>6198</v>
      </c>
      <c r="L183" s="57">
        <v>1160364093</v>
      </c>
      <c r="M183" s="57">
        <v>1160364093</v>
      </c>
      <c r="N183" s="4" t="s">
        <v>1411</v>
      </c>
      <c r="O183" s="4">
        <v>701559192</v>
      </c>
      <c r="P183" s="4">
        <v>701559191</v>
      </c>
      <c r="Q183" s="767"/>
      <c r="R183" s="767"/>
      <c r="S183" s="4"/>
      <c r="T183" s="4"/>
      <c r="U183" s="4"/>
      <c r="V183" s="4"/>
      <c r="W183" s="4"/>
      <c r="X183" s="4" t="s">
        <v>1411</v>
      </c>
      <c r="Y183" s="4" t="s">
        <v>4066</v>
      </c>
      <c r="Z183" s="35"/>
      <c r="AA183" s="1" t="str">
        <f>IFERROR(VLOOKUP(D:D,[1]Габариты!$A:$I,9,0),"")</f>
        <v>Вакансия</v>
      </c>
      <c r="AB183" s="6" t="str">
        <f>IFERROR(VLOOKUP(D:D,[1]Габариты!$A:$D,4,0),"")</f>
        <v>ОБУВНИЦЫ</v>
      </c>
      <c r="AC183" s="39" t="str">
        <f>D183</f>
        <v>MK130010101</v>
      </c>
      <c r="AD183" s="13" t="str">
        <f>C183</f>
        <v>FBO</v>
      </c>
    </row>
    <row r="184" spans="1:30" s="6" customFormat="1" ht="20.100000000000001" customHeight="1" outlineLevel="1" x14ac:dyDescent="0.25">
      <c r="A184" s="635" t="s">
        <v>227</v>
      </c>
      <c r="B184" s="3"/>
      <c r="C184" s="13" t="s">
        <v>2581</v>
      </c>
      <c r="D184" s="39">
        <v>2970</v>
      </c>
      <c r="E184" s="4">
        <v>18</v>
      </c>
      <c r="F184" s="101">
        <v>2970</v>
      </c>
      <c r="G184" s="57" t="s">
        <v>4923</v>
      </c>
      <c r="H184" s="4" t="s">
        <v>6490</v>
      </c>
      <c r="I184" s="4"/>
      <c r="J184" s="4" t="s">
        <v>1842</v>
      </c>
      <c r="K184" s="54" t="s">
        <v>2165</v>
      </c>
      <c r="L184" s="57">
        <v>268681667</v>
      </c>
      <c r="M184" s="57">
        <v>268681667</v>
      </c>
      <c r="N184" s="4" t="s">
        <v>706</v>
      </c>
      <c r="O184" s="4">
        <v>268933618</v>
      </c>
      <c r="P184" s="4">
        <v>268933642</v>
      </c>
      <c r="Q184" s="767" t="s">
        <v>2735</v>
      </c>
      <c r="R184" s="767">
        <v>375432634</v>
      </c>
      <c r="S184" s="4">
        <v>375432633</v>
      </c>
      <c r="T184" s="4" t="s">
        <v>4300</v>
      </c>
      <c r="U184" s="4">
        <v>1608407758</v>
      </c>
      <c r="V184" s="4">
        <v>1608407758</v>
      </c>
      <c r="W184" s="4" t="s">
        <v>2165</v>
      </c>
      <c r="X184" s="4" t="s">
        <v>706</v>
      </c>
      <c r="Y184" s="4">
        <v>2970</v>
      </c>
      <c r="Z184" s="35"/>
      <c r="AA184" s="1" t="str">
        <f>IFERROR(VLOOKUP(D:D,[1]Габариты!$A:$I,9,0),"")</f>
        <v>Вакансия</v>
      </c>
      <c r="AB184" s="6" t="str">
        <f>IFERROR(VLOOKUP(D:D,[1]Габариты!$A:$D,4,0),"")</f>
        <v>ОБУВНИЦЫ</v>
      </c>
      <c r="AC184" s="39">
        <f>D184</f>
        <v>2970</v>
      </c>
      <c r="AD184" s="13" t="str">
        <f>C184</f>
        <v>FBS</v>
      </c>
    </row>
    <row r="185" spans="1:30" s="6" customFormat="1" ht="20.100000000000001" customHeight="1" outlineLevel="1" x14ac:dyDescent="0.25">
      <c r="A185" s="901" t="s">
        <v>8831</v>
      </c>
      <c r="B185" s="902"/>
      <c r="C185" s="13" t="s">
        <v>2582</v>
      </c>
      <c r="D185" s="903" t="s">
        <v>8830</v>
      </c>
      <c r="E185" s="4">
        <v>21</v>
      </c>
      <c r="F185" s="898"/>
      <c r="G185" s="899"/>
      <c r="H185" s="897" t="s">
        <v>8832</v>
      </c>
      <c r="I185" s="897"/>
      <c r="J185" s="897"/>
      <c r="K185" s="898"/>
      <c r="L185" s="899"/>
      <c r="M185" s="899"/>
      <c r="N185" s="897" t="s">
        <v>8847</v>
      </c>
      <c r="O185" s="897"/>
      <c r="P185" s="897"/>
      <c r="Q185" s="900"/>
      <c r="R185" s="900"/>
      <c r="S185" s="897"/>
      <c r="T185" s="897"/>
      <c r="U185" s="897"/>
      <c r="V185" s="897"/>
      <c r="W185" s="897"/>
      <c r="X185" s="897"/>
      <c r="Y185" s="897"/>
      <c r="Z185" s="35"/>
      <c r="AA185" s="1" t="str">
        <f>IFERROR(VLOOKUP(D:D,[1]Габариты!$A:$I,9,0),"")</f>
        <v>Основной ассортимент</v>
      </c>
      <c r="AB185" s="6" t="str">
        <f>IFERROR(VLOOKUP(D:D,[1]Габариты!$A:$D,4,0),"")</f>
        <v>ОБУВНИЦЫ</v>
      </c>
      <c r="AC185" s="39" t="str">
        <f t="shared" ref="AC185:AC186" si="41">D185</f>
        <v>3871.09/01</v>
      </c>
      <c r="AD185" s="13" t="str">
        <f t="shared" ref="AD185:AD186" si="42">C185</f>
        <v>FBO</v>
      </c>
    </row>
    <row r="186" spans="1:30" s="6" customFormat="1" ht="20.100000000000001" customHeight="1" outlineLevel="1" x14ac:dyDescent="0.2">
      <c r="A186" s="753" t="s">
        <v>427</v>
      </c>
      <c r="B186" s="756" t="s">
        <v>5530</v>
      </c>
      <c r="C186" s="109"/>
      <c r="D186" s="104"/>
      <c r="E186" s="100"/>
      <c r="F186" s="101"/>
      <c r="G186" s="102"/>
      <c r="H186" s="100"/>
      <c r="I186" s="100"/>
      <c r="J186" s="100"/>
      <c r="K186" s="101"/>
      <c r="L186" s="102"/>
      <c r="M186" s="102"/>
      <c r="N186" s="100"/>
      <c r="O186" s="100"/>
      <c r="P186" s="100"/>
      <c r="Q186" s="774"/>
      <c r="R186" s="774"/>
      <c r="S186" s="100"/>
      <c r="T186" s="100"/>
      <c r="U186" s="100"/>
      <c r="V186" s="100"/>
      <c r="W186" s="100"/>
      <c r="X186" s="100"/>
      <c r="Y186" s="100"/>
      <c r="Z186" s="35"/>
      <c r="AA186" s="1" t="str">
        <f>IFERROR(VLOOKUP(D:D,[1]Габариты!$A:$I,9,0),"")</f>
        <v/>
      </c>
      <c r="AB186" s="6" t="str">
        <f>IFERROR(VLOOKUP(D:D,[1]Габариты!$A:$D,4,0),"")</f>
        <v/>
      </c>
      <c r="AC186" s="39">
        <f t="shared" si="41"/>
        <v>0</v>
      </c>
      <c r="AD186" s="13">
        <f t="shared" si="42"/>
        <v>0</v>
      </c>
    </row>
    <row r="187" spans="1:30" s="6" customFormat="1" ht="20.100000000000001" customHeight="1" outlineLevel="1" x14ac:dyDescent="0.25">
      <c r="A187" s="633" t="s">
        <v>4370</v>
      </c>
      <c r="B187" s="3"/>
      <c r="C187" s="13" t="s">
        <v>2581</v>
      </c>
      <c r="D187" s="39">
        <v>3792</v>
      </c>
      <c r="E187" s="4">
        <v>20</v>
      </c>
      <c r="F187" s="101">
        <v>3792</v>
      </c>
      <c r="G187" s="57" t="s">
        <v>7625</v>
      </c>
      <c r="H187" s="4" t="s">
        <v>6541</v>
      </c>
      <c r="I187" s="4"/>
      <c r="J187" s="4"/>
      <c r="K187" s="54" t="s">
        <v>7890</v>
      </c>
      <c r="L187" s="57"/>
      <c r="M187" s="57"/>
      <c r="N187" s="4" t="s">
        <v>4371</v>
      </c>
      <c r="O187" s="4">
        <v>1626042526</v>
      </c>
      <c r="P187" s="4">
        <v>1626042526</v>
      </c>
      <c r="Q187" s="767"/>
      <c r="R187" s="767"/>
      <c r="S187" s="4"/>
      <c r="T187" s="4"/>
      <c r="U187" s="4"/>
      <c r="V187" s="4"/>
      <c r="W187" s="4"/>
      <c r="X187" s="4" t="s">
        <v>4371</v>
      </c>
      <c r="Y187" s="4"/>
      <c r="Z187" s="35"/>
      <c r="AA187" s="1" t="str">
        <f>IFERROR(VLOOKUP(D:D,[1]Габариты!$A:$I,9,0),"")</f>
        <v>Основной ассортимент</v>
      </c>
      <c r="AB187" s="6" t="str">
        <f>IFERROR(VLOOKUP(D:D,[1]Габариты!$A:$D,4,0),"")</f>
        <v>ОБУВНИЦЫ</v>
      </c>
      <c r="AC187" s="39">
        <f>D187</f>
        <v>3792</v>
      </c>
      <c r="AD187" s="13" t="str">
        <f>C187</f>
        <v>FBS</v>
      </c>
    </row>
    <row r="188" spans="1:30" s="6" customFormat="1" ht="20.100000000000001" customHeight="1" outlineLevel="1" x14ac:dyDescent="0.25">
      <c r="A188" s="656" t="s">
        <v>8437</v>
      </c>
      <c r="B188" s="437"/>
      <c r="C188" s="432" t="s">
        <v>2582</v>
      </c>
      <c r="D188" s="438" t="s">
        <v>8436</v>
      </c>
      <c r="E188" s="434">
        <v>20</v>
      </c>
      <c r="F188" s="435"/>
      <c r="G188" s="436"/>
      <c r="H188" s="434" t="s">
        <v>8438</v>
      </c>
      <c r="I188" s="434"/>
      <c r="J188" s="434"/>
      <c r="K188" s="435"/>
      <c r="L188" s="436"/>
      <c r="M188" s="436"/>
      <c r="N188" s="434" t="s">
        <v>8520</v>
      </c>
      <c r="O188" s="434">
        <v>1922881552</v>
      </c>
      <c r="P188" s="434">
        <v>1922881552</v>
      </c>
      <c r="Q188" s="796"/>
      <c r="R188" s="796"/>
      <c r="S188" s="434"/>
      <c r="T188" s="434"/>
      <c r="U188" s="434"/>
      <c r="V188" s="434"/>
      <c r="W188" s="434"/>
      <c r="X188" s="434"/>
      <c r="Y188" s="434"/>
      <c r="Z188" s="35"/>
      <c r="AA188" s="1" t="str">
        <f>IFERROR(VLOOKUP(D:D,[1]Габариты!$A:$I,9,0),"")</f>
        <v>Основной ассортимент</v>
      </c>
      <c r="AB188" s="6" t="str">
        <f>IFERROR(VLOOKUP(D:D,[1]Габариты!$A:$D,4,0),"")</f>
        <v>ОБУВНИЦЫ</v>
      </c>
      <c r="AC188" s="39" t="str">
        <f t="shared" ref="AC188:AC238" si="43">D188</f>
        <v>4302.07.05.24/01</v>
      </c>
      <c r="AD188" s="13" t="str">
        <f>C188</f>
        <v>FBO</v>
      </c>
    </row>
    <row r="189" spans="1:30" s="6" customFormat="1" ht="20.100000000000001" customHeight="1" outlineLevel="1" x14ac:dyDescent="0.2">
      <c r="A189" s="754" t="s">
        <v>426</v>
      </c>
      <c r="B189" s="754" t="s">
        <v>7774</v>
      </c>
      <c r="C189" s="109"/>
      <c r="D189" s="104"/>
      <c r="E189" s="100"/>
      <c r="F189" s="101"/>
      <c r="G189" s="102"/>
      <c r="H189" s="100"/>
      <c r="I189" s="100"/>
      <c r="J189" s="100"/>
      <c r="K189" s="101"/>
      <c r="L189" s="102"/>
      <c r="M189" s="102"/>
      <c r="N189" s="100"/>
      <c r="O189" s="100"/>
      <c r="P189" s="100"/>
      <c r="Q189" s="774"/>
      <c r="R189" s="774"/>
      <c r="S189" s="100"/>
      <c r="T189" s="100"/>
      <c r="U189" s="100"/>
      <c r="V189" s="100"/>
      <c r="W189" s="100"/>
      <c r="X189" s="100"/>
      <c r="Y189" s="100"/>
      <c r="Z189" s="35"/>
      <c r="AA189" s="1" t="str">
        <f>IFERROR(VLOOKUP(D:D,[1]Габариты!$A:$I,9,0),"")</f>
        <v/>
      </c>
      <c r="AB189" s="6" t="str">
        <f>IFERROR(VLOOKUP(D:D,[1]Габариты!$A:$D,4,0),"")</f>
        <v/>
      </c>
      <c r="AC189" s="39"/>
      <c r="AD189" s="3"/>
    </row>
    <row r="190" spans="1:30" s="6" customFormat="1" ht="20.100000000000001" customHeight="1" outlineLevel="1" x14ac:dyDescent="0.25">
      <c r="A190" s="631" t="s">
        <v>6265</v>
      </c>
      <c r="B190" s="110"/>
      <c r="C190" s="109" t="s">
        <v>2582</v>
      </c>
      <c r="D190" s="104" t="s">
        <v>6264</v>
      </c>
      <c r="E190" s="100">
        <v>60</v>
      </c>
      <c r="F190" s="101" t="s">
        <v>6266</v>
      </c>
      <c r="G190" s="102"/>
      <c r="H190" s="100" t="s">
        <v>6564</v>
      </c>
      <c r="I190" s="100"/>
      <c r="J190" s="100"/>
      <c r="K190" s="101"/>
      <c r="L190" s="102"/>
      <c r="M190" s="102"/>
      <c r="N190" s="100" t="s">
        <v>7503</v>
      </c>
      <c r="O190" s="100">
        <v>1718170756</v>
      </c>
      <c r="P190" s="100">
        <v>1718170756</v>
      </c>
      <c r="Q190" s="774"/>
      <c r="R190" s="774"/>
      <c r="S190" s="100"/>
      <c r="T190" s="100"/>
      <c r="U190" s="100"/>
      <c r="V190" s="100"/>
      <c r="W190" s="100"/>
      <c r="X190" s="100" t="s">
        <v>7503</v>
      </c>
      <c r="Y190" s="100"/>
      <c r="Z190" s="35"/>
      <c r="AA190" s="1" t="str">
        <f>IFERROR(VLOOKUP(D:D,[1]Габариты!$A:$I,9,0),"")</f>
        <v>Вакансия</v>
      </c>
      <c r="AB190" s="6" t="str">
        <f>IFERROR(VLOOKUP(D:D,[1]Габариты!$A:$D,4,0),"")</f>
        <v>ПОЛКИ</v>
      </c>
      <c r="AC190" s="39" t="str">
        <f t="shared" si="43"/>
        <v>3963.17/01</v>
      </c>
      <c r="AD190" s="13" t="str">
        <f t="shared" si="35"/>
        <v>FBO</v>
      </c>
    </row>
    <row r="191" spans="1:30" s="1" customFormat="1" ht="20.100000000000001" customHeight="1" outlineLevel="1" x14ac:dyDescent="0.2">
      <c r="A191" s="754" t="s">
        <v>434</v>
      </c>
      <c r="B191" s="757" t="s">
        <v>3844</v>
      </c>
      <c r="C191" s="13"/>
      <c r="D191" s="42"/>
      <c r="E191" s="4"/>
      <c r="F191" s="101"/>
      <c r="G191" s="57"/>
      <c r="H191" s="4"/>
      <c r="I191" s="4"/>
      <c r="J191" s="4"/>
      <c r="K191" s="54"/>
      <c r="L191" s="57"/>
      <c r="M191" s="57"/>
      <c r="N191" s="766"/>
      <c r="O191" s="4"/>
      <c r="P191" s="4"/>
      <c r="Q191" s="767"/>
      <c r="R191" s="767"/>
      <c r="S191" s="4"/>
      <c r="T191" s="4"/>
      <c r="U191" s="4"/>
      <c r="V191" s="4"/>
      <c r="W191" s="4"/>
      <c r="X191" s="4"/>
      <c r="Y191" s="4" t="s">
        <v>4066</v>
      </c>
      <c r="Z191" s="35"/>
      <c r="AA191" s="1" t="str">
        <f>IFERROR(VLOOKUP(D:D,[1]Габариты!$A:$I,9,0),"")</f>
        <v/>
      </c>
      <c r="AB191" s="6" t="str">
        <f>IFERROR(VLOOKUP(D:D,[1]Габариты!$A:$D,4,0),"")</f>
        <v/>
      </c>
      <c r="AC191" s="39"/>
      <c r="AD191" s="3"/>
    </row>
    <row r="192" spans="1:30" s="6" customFormat="1" ht="20.100000000000001" customHeight="1" outlineLevel="1" x14ac:dyDescent="0.25">
      <c r="A192" s="633" t="s">
        <v>3996</v>
      </c>
      <c r="B192" s="2"/>
      <c r="C192" s="13" t="s">
        <v>2582</v>
      </c>
      <c r="D192" s="39">
        <v>3728</v>
      </c>
      <c r="E192" s="4">
        <v>30</v>
      </c>
      <c r="F192" s="101">
        <v>3728</v>
      </c>
      <c r="G192" s="57"/>
      <c r="H192" s="4" t="s">
        <v>6632</v>
      </c>
      <c r="I192" s="4"/>
      <c r="J192" s="4" t="s">
        <v>4138</v>
      </c>
      <c r="K192" s="54" t="s">
        <v>7893</v>
      </c>
      <c r="L192" s="57"/>
      <c r="M192" s="57"/>
      <c r="N192" s="4" t="s">
        <v>4104</v>
      </c>
      <c r="O192" s="4">
        <v>1543191698</v>
      </c>
      <c r="P192" s="4">
        <v>1543191698</v>
      </c>
      <c r="Q192" s="767"/>
      <c r="R192" s="767"/>
      <c r="S192" s="4"/>
      <c r="T192" s="4"/>
      <c r="U192" s="4"/>
      <c r="V192" s="4"/>
      <c r="W192" s="4"/>
      <c r="X192" s="4" t="s">
        <v>4106</v>
      </c>
      <c r="Y192" s="4" t="s">
        <v>4066</v>
      </c>
      <c r="Z192" s="35"/>
      <c r="AA192" s="1" t="str">
        <f>IFERROR(VLOOKUP(D:D,[1]Габариты!$A:$I,9,0),"")</f>
        <v>Основной ассортимент</v>
      </c>
      <c r="AB192" s="6" t="str">
        <f>IFERROR(VLOOKUP(D:D,[1]Габариты!$A:$D,4,0),"")</f>
        <v>СТЕЛЛАЖИ</v>
      </c>
      <c r="AC192" s="39">
        <f t="shared" si="43"/>
        <v>3728</v>
      </c>
      <c r="AD192" s="13" t="str">
        <f t="shared" si="35"/>
        <v>FBO</v>
      </c>
    </row>
    <row r="193" spans="1:30" s="6" customFormat="1" ht="20.100000000000001" customHeight="1" outlineLevel="1" x14ac:dyDescent="0.25">
      <c r="A193" s="633" t="s">
        <v>4048</v>
      </c>
      <c r="B193" s="2"/>
      <c r="C193" s="13" t="s">
        <v>2582</v>
      </c>
      <c r="D193" s="44" t="s">
        <v>4047</v>
      </c>
      <c r="E193" s="4">
        <v>30</v>
      </c>
      <c r="F193" s="106" t="s">
        <v>7894</v>
      </c>
      <c r="G193" s="57"/>
      <c r="H193" s="4" t="s">
        <v>6633</v>
      </c>
      <c r="I193" s="4"/>
      <c r="J193" s="4" t="s">
        <v>4169</v>
      </c>
      <c r="K193" s="54"/>
      <c r="L193" s="57"/>
      <c r="M193" s="57"/>
      <c r="N193" s="4" t="s">
        <v>4105</v>
      </c>
      <c r="O193" s="4">
        <v>1543192194</v>
      </c>
      <c r="P193" s="4">
        <v>1543192194</v>
      </c>
      <c r="Q193" s="767"/>
      <c r="R193" s="767"/>
      <c r="S193" s="4"/>
      <c r="T193" s="4"/>
      <c r="U193" s="4"/>
      <c r="V193" s="4"/>
      <c r="W193" s="4"/>
      <c r="X193" s="4" t="s">
        <v>4251</v>
      </c>
      <c r="Y193" s="4" t="s">
        <v>4066</v>
      </c>
      <c r="Z193" s="35"/>
      <c r="AA193" s="1" t="str">
        <f>IFERROR(VLOOKUP(D:D,[1]Габариты!$A:$I,9,0),"")</f>
        <v>Основной ассортимент</v>
      </c>
      <c r="AB193" s="6" t="str">
        <f>IFERROR(VLOOKUP(D:D,[1]Габариты!$A:$D,4,0),"")</f>
        <v>СТЕЛЛАЖИ</v>
      </c>
      <c r="AC193" s="39" t="str">
        <f t="shared" si="43"/>
        <v>3728.05/01</v>
      </c>
      <c r="AD193" s="13" t="str">
        <f t="shared" si="35"/>
        <v>FBO</v>
      </c>
    </row>
    <row r="194" spans="1:30" s="6" customFormat="1" ht="20.100000000000001" customHeight="1" outlineLevel="1" x14ac:dyDescent="0.25">
      <c r="A194" s="633" t="s">
        <v>3995</v>
      </c>
      <c r="B194" s="2"/>
      <c r="C194" s="13" t="s">
        <v>2582</v>
      </c>
      <c r="D194" s="44" t="s">
        <v>3994</v>
      </c>
      <c r="E194" s="4">
        <v>30</v>
      </c>
      <c r="F194" s="106" t="s">
        <v>7895</v>
      </c>
      <c r="G194" s="57"/>
      <c r="H194" s="4" t="s">
        <v>6634</v>
      </c>
      <c r="I194" s="4"/>
      <c r="J194" s="4" t="s">
        <v>4168</v>
      </c>
      <c r="K194" s="54"/>
      <c r="L194" s="57"/>
      <c r="M194" s="57"/>
      <c r="N194" s="4" t="s">
        <v>4106</v>
      </c>
      <c r="O194" s="4">
        <v>1543191683</v>
      </c>
      <c r="P194" s="4">
        <v>1543191683</v>
      </c>
      <c r="Q194" s="767"/>
      <c r="R194" s="767"/>
      <c r="S194" s="4"/>
      <c r="T194" s="4"/>
      <c r="U194" s="4"/>
      <c r="V194" s="4"/>
      <c r="W194" s="4"/>
      <c r="X194" s="4" t="s">
        <v>4207</v>
      </c>
      <c r="Y194" s="4" t="s">
        <v>4066</v>
      </c>
      <c r="Z194" s="35"/>
      <c r="AA194" s="1" t="str">
        <f>IFERROR(VLOOKUP(D:D,[1]Габариты!$A:$I,9,0),"")</f>
        <v>Основной ассортимент</v>
      </c>
      <c r="AB194" s="6" t="str">
        <f>IFERROR(VLOOKUP(D:D,[1]Габариты!$A:$D,4,0),"")</f>
        <v>СТЕЛЛАЖИ</v>
      </c>
      <c r="AC194" s="39" t="str">
        <f t="shared" si="43"/>
        <v>3728.06/01</v>
      </c>
      <c r="AD194" s="13" t="str">
        <f t="shared" si="35"/>
        <v>FBO</v>
      </c>
    </row>
    <row r="195" spans="1:30" s="6" customFormat="1" ht="20.100000000000001" customHeight="1" outlineLevel="1" x14ac:dyDescent="0.25">
      <c r="A195" s="633" t="s">
        <v>4068</v>
      </c>
      <c r="B195" s="2"/>
      <c r="C195" s="13" t="s">
        <v>2582</v>
      </c>
      <c r="D195" s="44" t="s">
        <v>4067</v>
      </c>
      <c r="E195" s="4">
        <v>30</v>
      </c>
      <c r="F195" s="106" t="s">
        <v>7896</v>
      </c>
      <c r="G195" s="57"/>
      <c r="H195" s="4" t="s">
        <v>6635</v>
      </c>
      <c r="I195" s="4"/>
      <c r="J195" s="4" t="s">
        <v>4170</v>
      </c>
      <c r="K195" s="54"/>
      <c r="L195" s="57"/>
      <c r="M195" s="57"/>
      <c r="N195" s="4" t="s">
        <v>4107</v>
      </c>
      <c r="O195" s="4">
        <v>1543191343</v>
      </c>
      <c r="P195" s="4">
        <v>1543191343</v>
      </c>
      <c r="Q195" s="767"/>
      <c r="R195" s="767"/>
      <c r="S195" s="4"/>
      <c r="T195" s="4"/>
      <c r="U195" s="4"/>
      <c r="V195" s="4"/>
      <c r="W195" s="4"/>
      <c r="X195" s="4" t="s">
        <v>4208</v>
      </c>
      <c r="Y195" s="4"/>
      <c r="Z195" s="35"/>
      <c r="AA195" s="1" t="str">
        <f>IFERROR(VLOOKUP(D:D,[1]Габариты!$A:$I,9,0),"")</f>
        <v>Основной ассортимент</v>
      </c>
      <c r="AB195" s="6" t="str">
        <f>IFERROR(VLOOKUP(D:D,[1]Габариты!$A:$D,4,0),"")</f>
        <v>СТЕЛЛАЖИ</v>
      </c>
      <c r="AC195" s="39" t="str">
        <f t="shared" si="43"/>
        <v>3728.20/01</v>
      </c>
      <c r="AD195" s="13" t="str">
        <f t="shared" si="35"/>
        <v>FBO</v>
      </c>
    </row>
    <row r="196" spans="1:30" s="6" customFormat="1" ht="20.100000000000001" customHeight="1" outlineLevel="1" x14ac:dyDescent="0.25">
      <c r="A196" s="633" t="s">
        <v>4326</v>
      </c>
      <c r="B196" s="25"/>
      <c r="C196" s="13" t="s">
        <v>4328</v>
      </c>
      <c r="D196" s="39">
        <v>30611</v>
      </c>
      <c r="E196" s="4">
        <v>16</v>
      </c>
      <c r="F196" s="101">
        <v>3378</v>
      </c>
      <c r="G196" s="402" t="s">
        <v>6343</v>
      </c>
      <c r="H196" s="4" t="s">
        <v>6645</v>
      </c>
      <c r="I196" s="4"/>
      <c r="J196" s="4"/>
      <c r="K196" s="54" t="s">
        <v>7899</v>
      </c>
      <c r="L196" s="57">
        <v>956514291</v>
      </c>
      <c r="M196" s="57">
        <v>956514291</v>
      </c>
      <c r="N196" s="4" t="s">
        <v>4360</v>
      </c>
      <c r="O196" s="4">
        <v>1618465002</v>
      </c>
      <c r="P196" s="4">
        <v>1618465002</v>
      </c>
      <c r="Q196" s="767"/>
      <c r="R196" s="767"/>
      <c r="S196" s="4"/>
      <c r="T196" s="4"/>
      <c r="U196" s="4"/>
      <c r="V196" s="4"/>
      <c r="W196" s="4"/>
      <c r="X196" s="4" t="s">
        <v>4360</v>
      </c>
      <c r="Y196" s="4"/>
      <c r="Z196" s="35"/>
      <c r="AA196" s="1" t="str">
        <f>IFERROR(VLOOKUP(D:D,[1]Габариты!$A:$I,9,0),"")</f>
        <v>Вакансия</v>
      </c>
      <c r="AB196" s="6" t="str">
        <f>IFERROR(VLOOKUP(D:D,[1]Габариты!$A:$D,4,0),"")</f>
        <v>СТЕЛЛАЖИ</v>
      </c>
      <c r="AC196" s="39">
        <f t="shared" si="43"/>
        <v>30611</v>
      </c>
      <c r="AD196" s="13" t="str">
        <f t="shared" si="35"/>
        <v>СКГТ</v>
      </c>
    </row>
    <row r="197" spans="1:30" s="6" customFormat="1" ht="20.100000000000001" customHeight="1" x14ac:dyDescent="0.25">
      <c r="A197" s="631" t="s">
        <v>5870</v>
      </c>
      <c r="B197" s="113"/>
      <c r="C197" s="13" t="s">
        <v>2582</v>
      </c>
      <c r="D197" s="119" t="s">
        <v>5788</v>
      </c>
      <c r="E197" s="116">
        <v>28</v>
      </c>
      <c r="F197" s="117" t="s">
        <v>6300</v>
      </c>
      <c r="G197" s="118" t="s">
        <v>5836</v>
      </c>
      <c r="H197" s="116" t="s">
        <v>7525</v>
      </c>
      <c r="I197" s="116"/>
      <c r="J197" s="116"/>
      <c r="K197" s="54" t="s">
        <v>6300</v>
      </c>
      <c r="L197" s="118">
        <v>1399281527</v>
      </c>
      <c r="M197" s="118">
        <v>1399281527</v>
      </c>
      <c r="N197" s="801" t="s">
        <v>7653</v>
      </c>
      <c r="O197" s="116">
        <v>1756700636</v>
      </c>
      <c r="P197" s="116">
        <v>1756700636</v>
      </c>
      <c r="Q197" s="116"/>
      <c r="R197" s="116"/>
      <c r="S197" s="116"/>
      <c r="T197" s="116"/>
      <c r="U197" s="116"/>
      <c r="V197" s="116"/>
      <c r="W197" s="116"/>
      <c r="X197" s="116" t="s">
        <v>7653</v>
      </c>
      <c r="Y197" s="116"/>
      <c r="AA197" s="1" t="str">
        <f>IFERROR(VLOOKUP(D:D,[1]Габариты!$A:$I,9,0),"")</f>
        <v>Вакансия</v>
      </c>
      <c r="AB197" s="6" t="str">
        <f>IFERROR(VLOOKUP(D:D,[1]Габариты!$A:$D,4,0),"")</f>
        <v>СТЕЛЛАЖИ</v>
      </c>
      <c r="AC197" s="39" t="str">
        <f t="shared" si="43"/>
        <v>MK2410101</v>
      </c>
      <c r="AD197" s="13" t="str">
        <f t="shared" si="35"/>
        <v>FBO</v>
      </c>
    </row>
    <row r="198" spans="1:30" s="6" customFormat="1" ht="20.100000000000001" customHeight="1" x14ac:dyDescent="0.25">
      <c r="A198" s="631" t="s">
        <v>6094</v>
      </c>
      <c r="B198" s="76"/>
      <c r="C198" s="13" t="s">
        <v>2582</v>
      </c>
      <c r="D198" s="119" t="s">
        <v>6059</v>
      </c>
      <c r="E198" s="116">
        <v>28</v>
      </c>
      <c r="F198" s="101" t="s">
        <v>7746</v>
      </c>
      <c r="G198" s="75" t="s">
        <v>6070</v>
      </c>
      <c r="H198" s="4" t="s">
        <v>8059</v>
      </c>
      <c r="I198" s="73"/>
      <c r="J198" s="73"/>
      <c r="K198" s="54" t="s">
        <v>7746</v>
      </c>
      <c r="L198" s="75">
        <v>1734963737</v>
      </c>
      <c r="M198" s="75">
        <v>1734963737</v>
      </c>
      <c r="N198" s="769" t="s">
        <v>8321</v>
      </c>
      <c r="O198" s="73"/>
      <c r="P198" s="73"/>
      <c r="Q198" s="73"/>
      <c r="R198" s="73"/>
      <c r="S198" s="73"/>
      <c r="T198" s="73"/>
      <c r="U198" s="73"/>
      <c r="V198" s="73"/>
      <c r="W198" s="73"/>
      <c r="X198" s="73" t="s">
        <v>8321</v>
      </c>
      <c r="Y198" s="73"/>
      <c r="AA198" s="1" t="str">
        <f>IFERROR(VLOOKUP(D:D,[1]Габариты!$A:$I,9,0),"")</f>
        <v>Вакансия</v>
      </c>
      <c r="AB198" s="6" t="str">
        <f>IFERROR(VLOOKUP(D:D,[1]Габариты!$A:$D,4,0),"")</f>
        <v>СТЕЛЛАЖИ</v>
      </c>
      <c r="AC198" s="39" t="str">
        <f t="shared" si="43"/>
        <v>MK2412501</v>
      </c>
      <c r="AD198" s="13" t="str">
        <f t="shared" si="35"/>
        <v>FBO</v>
      </c>
    </row>
    <row r="199" spans="1:30" s="6" customFormat="1" ht="20.100000000000001" customHeight="1" outlineLevel="1" x14ac:dyDescent="0.25">
      <c r="A199" s="662" t="s">
        <v>5373</v>
      </c>
      <c r="B199" s="203"/>
      <c r="C199" s="209" t="s">
        <v>2582</v>
      </c>
      <c r="D199" s="208" t="s">
        <v>5356</v>
      </c>
      <c r="E199" s="205">
        <v>12</v>
      </c>
      <c r="F199" s="206" t="s">
        <v>6299</v>
      </c>
      <c r="G199" s="207" t="s">
        <v>5357</v>
      </c>
      <c r="H199" s="205" t="s">
        <v>5357</v>
      </c>
      <c r="I199" s="205"/>
      <c r="J199" s="205"/>
      <c r="K199" s="54" t="s">
        <v>6299</v>
      </c>
      <c r="L199" s="207">
        <v>1315790840</v>
      </c>
      <c r="M199" s="207">
        <v>1315790840</v>
      </c>
      <c r="N199" s="205" t="s">
        <v>7788</v>
      </c>
      <c r="O199" s="205">
        <v>1757483539</v>
      </c>
      <c r="P199" s="205">
        <v>1757483539</v>
      </c>
      <c r="Q199" s="787"/>
      <c r="R199" s="787"/>
      <c r="S199" s="205"/>
      <c r="T199" s="205"/>
      <c r="U199" s="205"/>
      <c r="V199" s="205"/>
      <c r="W199" s="205"/>
      <c r="X199" s="205" t="s">
        <v>7788</v>
      </c>
      <c r="Y199" s="205"/>
      <c r="Z199" s="35"/>
      <c r="AA199" s="1" t="str">
        <f>IFERROR(VLOOKUP(D:D,[1]Габариты!$A:$I,9,0),"")</f>
        <v>Основной ассортимент</v>
      </c>
      <c r="AB199" s="6" t="str">
        <f>IFERROR(VLOOKUP(D:D,[1]Габариты!$A:$D,4,0),"")</f>
        <v>СТЕЛЛАЖИ</v>
      </c>
      <c r="AC199" s="39" t="str">
        <f t="shared" si="43"/>
        <v>MK2220101</v>
      </c>
      <c r="AD199" s="13" t="str">
        <f t="shared" ref="AD199:AD200" si="44">C199</f>
        <v>FBO</v>
      </c>
    </row>
    <row r="200" spans="1:30" s="6" customFormat="1" ht="20.100000000000001" customHeight="1" outlineLevel="1" x14ac:dyDescent="0.25">
      <c r="A200" s="635" t="s">
        <v>4347</v>
      </c>
      <c r="B200" s="25"/>
      <c r="C200" s="13" t="s">
        <v>2582</v>
      </c>
      <c r="D200" s="39" t="s">
        <v>4346</v>
      </c>
      <c r="E200" s="4">
        <v>24</v>
      </c>
      <c r="F200" s="101" t="s">
        <v>4698</v>
      </c>
      <c r="G200" s="57" t="s">
        <v>5232</v>
      </c>
      <c r="H200" s="4" t="s">
        <v>6607</v>
      </c>
      <c r="I200" s="4"/>
      <c r="J200" s="4"/>
      <c r="K200" s="54" t="s">
        <v>4698</v>
      </c>
      <c r="L200" s="57">
        <v>1209233369</v>
      </c>
      <c r="M200" s="57">
        <v>1209233369</v>
      </c>
      <c r="N200" s="4" t="s">
        <v>4433</v>
      </c>
      <c r="O200" s="4">
        <v>1636112624</v>
      </c>
      <c r="P200" s="4">
        <v>1636112624</v>
      </c>
      <c r="Q200" s="767"/>
      <c r="R200" s="767"/>
      <c r="S200" s="4"/>
      <c r="T200" s="4"/>
      <c r="U200" s="4"/>
      <c r="V200" s="4"/>
      <c r="W200" s="4"/>
      <c r="X200" s="4" t="s">
        <v>4433</v>
      </c>
      <c r="Y200" s="4"/>
      <c r="Z200" s="35"/>
      <c r="AA200" s="1" t="str">
        <f>IFERROR(VLOOKUP(D:D,[1]Габариты!$A:$I,9,0),"")</f>
        <v>Основной ассортимент</v>
      </c>
      <c r="AB200" s="6" t="str">
        <f>IFERROR(VLOOKUP(D:D,[1]Габариты!$A:$D,4,0),"")</f>
        <v>СТЕЛЛАЖИ</v>
      </c>
      <c r="AC200" s="39" t="str">
        <f t="shared" si="43"/>
        <v>MK2500101</v>
      </c>
      <c r="AD200" s="13" t="str">
        <f t="shared" si="44"/>
        <v>FBO</v>
      </c>
    </row>
    <row r="201" spans="1:30" s="6" customFormat="1" ht="20.100000000000001" customHeight="1" outlineLevel="1" x14ac:dyDescent="0.25">
      <c r="A201" s="635" t="s">
        <v>1022</v>
      </c>
      <c r="B201" s="25"/>
      <c r="C201" s="13" t="s">
        <v>2582</v>
      </c>
      <c r="D201" s="39" t="s">
        <v>1491</v>
      </c>
      <c r="E201" s="4">
        <v>20</v>
      </c>
      <c r="F201" s="101" t="s">
        <v>4730</v>
      </c>
      <c r="G201" s="57" t="s">
        <v>5158</v>
      </c>
      <c r="H201" s="4" t="s">
        <v>6653</v>
      </c>
      <c r="I201" s="4"/>
      <c r="J201" s="4"/>
      <c r="K201" s="54" t="s">
        <v>4730</v>
      </c>
      <c r="L201" s="57">
        <v>885449445</v>
      </c>
      <c r="M201" s="57">
        <v>885449445</v>
      </c>
      <c r="N201" s="4" t="s">
        <v>1417</v>
      </c>
      <c r="O201" s="4">
        <v>578405474</v>
      </c>
      <c r="P201" s="4">
        <v>578405473</v>
      </c>
      <c r="Q201" s="767"/>
      <c r="R201" s="767"/>
      <c r="S201" s="4"/>
      <c r="T201" s="4"/>
      <c r="U201" s="4"/>
      <c r="V201" s="4"/>
      <c r="W201" s="4"/>
      <c r="X201" s="4" t="s">
        <v>1417</v>
      </c>
      <c r="Y201" s="4" t="s">
        <v>4066</v>
      </c>
      <c r="Z201" s="35"/>
      <c r="AA201" s="1" t="str">
        <f>IFERROR(VLOOKUP(D:D,[1]Габариты!$A:$I,9,0),"")</f>
        <v>Основной ассортимент</v>
      </c>
      <c r="AB201" s="6" t="str">
        <f>IFERROR(VLOOKUP(D:D,[1]Габариты!$A:$D,4,0),"")</f>
        <v>СТЕЛЛАЖИ</v>
      </c>
      <c r="AC201" s="39" t="str">
        <f t="shared" si="43"/>
        <v>MK00001</v>
      </c>
      <c r="AD201" s="13" t="str">
        <f t="shared" ref="AD201:AD217" si="45">C201</f>
        <v>FBO</v>
      </c>
    </row>
    <row r="202" spans="1:30" s="6" customFormat="1" ht="20.100000000000001" customHeight="1" outlineLevel="1" x14ac:dyDescent="0.25">
      <c r="A202" s="635" t="s">
        <v>1355</v>
      </c>
      <c r="B202" s="25"/>
      <c r="C202" s="13" t="s">
        <v>2581</v>
      </c>
      <c r="D202" s="39" t="s">
        <v>1494</v>
      </c>
      <c r="E202" s="4">
        <v>12</v>
      </c>
      <c r="F202" s="101" t="s">
        <v>4707</v>
      </c>
      <c r="G202" s="57" t="s">
        <v>5214</v>
      </c>
      <c r="H202" s="4" t="s">
        <v>6654</v>
      </c>
      <c r="I202" s="4" t="s">
        <v>3276</v>
      </c>
      <c r="J202" s="4" t="s">
        <v>3632</v>
      </c>
      <c r="K202" s="54" t="s">
        <v>4707</v>
      </c>
      <c r="L202" s="57">
        <v>901244020</v>
      </c>
      <c r="M202" s="57">
        <v>901244020</v>
      </c>
      <c r="N202" s="4" t="s">
        <v>1812</v>
      </c>
      <c r="O202" s="4">
        <v>677973972</v>
      </c>
      <c r="P202" s="4">
        <v>677973971</v>
      </c>
      <c r="Q202" s="767"/>
      <c r="R202" s="767"/>
      <c r="S202" s="4"/>
      <c r="T202" s="4"/>
      <c r="U202" s="4"/>
      <c r="V202" s="4"/>
      <c r="W202" s="4"/>
      <c r="X202" s="4" t="s">
        <v>1812</v>
      </c>
      <c r="Y202" s="4" t="s">
        <v>4066</v>
      </c>
      <c r="Z202" s="35"/>
      <c r="AA202" s="1" t="str">
        <f>IFERROR(VLOOKUP(D:D,[1]Габариты!$A:$I,9,0),"")</f>
        <v>Основной ассортимент</v>
      </c>
      <c r="AB202" s="6" t="str">
        <f>IFERROR(VLOOKUP(D:D,[1]Габариты!$A:$D,4,0),"")</f>
        <v>СТЕЛЛАЖИ</v>
      </c>
      <c r="AC202" s="39" t="str">
        <f t="shared" si="43"/>
        <v>MK1440101</v>
      </c>
      <c r="AD202" s="13" t="str">
        <f t="shared" si="45"/>
        <v>FBS</v>
      </c>
    </row>
    <row r="203" spans="1:30" s="6" customFormat="1" ht="20.100000000000001" customHeight="1" outlineLevel="1" x14ac:dyDescent="0.25">
      <c r="A203" s="635" t="s">
        <v>1367</v>
      </c>
      <c r="B203" s="25"/>
      <c r="C203" s="13" t="s">
        <v>2581</v>
      </c>
      <c r="D203" s="39" t="s">
        <v>1496</v>
      </c>
      <c r="E203" s="4">
        <v>14</v>
      </c>
      <c r="F203" s="101" t="s">
        <v>4710</v>
      </c>
      <c r="G203" s="57" t="s">
        <v>5217</v>
      </c>
      <c r="H203" s="4" t="s">
        <v>6655</v>
      </c>
      <c r="I203" s="4"/>
      <c r="J203" s="4"/>
      <c r="K203" s="54" t="s">
        <v>4710</v>
      </c>
      <c r="L203" s="57">
        <v>880996221</v>
      </c>
      <c r="M203" s="57">
        <v>880996221</v>
      </c>
      <c r="N203" s="4" t="s">
        <v>2615</v>
      </c>
      <c r="O203" s="4">
        <v>703152492</v>
      </c>
      <c r="P203" s="4">
        <v>703152493</v>
      </c>
      <c r="Q203" s="767"/>
      <c r="R203" s="767"/>
      <c r="S203" s="4"/>
      <c r="T203" s="4"/>
      <c r="U203" s="4"/>
      <c r="V203" s="4"/>
      <c r="W203" s="4"/>
      <c r="X203" s="4" t="s">
        <v>2546</v>
      </c>
      <c r="Y203" s="4" t="s">
        <v>4066</v>
      </c>
      <c r="Z203" s="35"/>
      <c r="AA203" s="1" t="str">
        <f>IFERROR(VLOOKUP(D:D,[1]Габариты!$A:$I,9,0),"")</f>
        <v>Основной ассортимент</v>
      </c>
      <c r="AB203" s="6" t="str">
        <f>IFERROR(VLOOKUP(D:D,[1]Габариты!$A:$D,4,0),"")</f>
        <v>СТЕЛЛАЖИ</v>
      </c>
      <c r="AC203" s="39" t="str">
        <f t="shared" si="43"/>
        <v>MK1470101</v>
      </c>
      <c r="AD203" s="13" t="str">
        <f t="shared" si="45"/>
        <v>FBS</v>
      </c>
    </row>
    <row r="204" spans="1:30" s="6" customFormat="1" ht="20.100000000000001" customHeight="1" outlineLevel="1" x14ac:dyDescent="0.25">
      <c r="A204" s="635" t="s">
        <v>4411</v>
      </c>
      <c r="B204" s="25"/>
      <c r="C204" s="13" t="s">
        <v>4050</v>
      </c>
      <c r="D204" s="39" t="s">
        <v>4412</v>
      </c>
      <c r="E204" s="4">
        <v>8</v>
      </c>
      <c r="F204" s="101" t="s">
        <v>4744</v>
      </c>
      <c r="G204" s="57" t="s">
        <v>5701</v>
      </c>
      <c r="H204" s="4" t="s">
        <v>6610</v>
      </c>
      <c r="I204" s="4"/>
      <c r="J204" s="4"/>
      <c r="K204" s="54"/>
      <c r="L204" s="57"/>
      <c r="M204" s="57"/>
      <c r="N204" s="4" t="s">
        <v>4456</v>
      </c>
      <c r="O204" s="4">
        <v>1642983650</v>
      </c>
      <c r="P204" s="4">
        <v>1642983650</v>
      </c>
      <c r="Q204" s="767"/>
      <c r="R204" s="767"/>
      <c r="S204" s="4"/>
      <c r="T204" s="4"/>
      <c r="U204" s="4"/>
      <c r="V204" s="4"/>
      <c r="W204" s="4"/>
      <c r="X204" s="4" t="s">
        <v>4456</v>
      </c>
      <c r="Y204" s="4" t="s">
        <v>1664</v>
      </c>
      <c r="Z204" s="35"/>
      <c r="AA204" s="1" t="str">
        <f>IFERROR(VLOOKUP(D:D,[1]Габариты!$A:$I,9,0),"")</f>
        <v>Основной ассортимент</v>
      </c>
      <c r="AB204" s="6" t="str">
        <f>IFERROR(VLOOKUP(D:D,[1]Габариты!$A:$D,4,0),"")</f>
        <v>СТЕЛЛАЖИ</v>
      </c>
      <c r="AC204" s="39" t="str">
        <f t="shared" si="43"/>
        <v>MK2880101</v>
      </c>
      <c r="AD204" s="13" t="str">
        <f t="shared" si="45"/>
        <v>СКГТ (ОЗОН)</v>
      </c>
    </row>
    <row r="205" spans="1:30" s="6" customFormat="1" ht="20.100000000000001" customHeight="1" outlineLevel="1" x14ac:dyDescent="0.25">
      <c r="A205" s="635" t="s">
        <v>1094</v>
      </c>
      <c r="B205" s="25"/>
      <c r="C205" s="13" t="s">
        <v>2581</v>
      </c>
      <c r="D205" s="39" t="s">
        <v>1095</v>
      </c>
      <c r="E205" s="4">
        <v>20</v>
      </c>
      <c r="F205" s="101" t="s">
        <v>6207</v>
      </c>
      <c r="G205" s="57" t="s">
        <v>5193</v>
      </c>
      <c r="H205" s="4" t="s">
        <v>6591</v>
      </c>
      <c r="I205" s="4"/>
      <c r="J205" s="4"/>
      <c r="K205" s="54" t="s">
        <v>6207</v>
      </c>
      <c r="L205" s="57">
        <v>1123022829</v>
      </c>
      <c r="M205" s="57">
        <v>1123022829</v>
      </c>
      <c r="N205" s="4" t="s">
        <v>1118</v>
      </c>
      <c r="O205" s="4">
        <v>660263630</v>
      </c>
      <c r="P205" s="4">
        <v>660263629</v>
      </c>
      <c r="Q205" s="767"/>
      <c r="R205" s="767"/>
      <c r="S205" s="4"/>
      <c r="T205" s="4"/>
      <c r="U205" s="4"/>
      <c r="V205" s="4"/>
      <c r="W205" s="4"/>
      <c r="X205" s="4" t="s">
        <v>1118</v>
      </c>
      <c r="Y205" s="4" t="s">
        <v>4066</v>
      </c>
      <c r="Z205" s="35"/>
      <c r="AA205" s="1" t="str">
        <f>IFERROR(VLOOKUP(D:D,[1]Габариты!$A:$I,9,0),"")</f>
        <v>Основной ассортимент</v>
      </c>
      <c r="AB205" s="6" t="str">
        <f>IFERROR(VLOOKUP(D:D,[1]Габариты!$A:$D,4,0),"")</f>
        <v>СТЕЛЛАЖИ</v>
      </c>
      <c r="AC205" s="39" t="str">
        <f t="shared" si="43"/>
        <v>MK1100101</v>
      </c>
      <c r="AD205" s="13" t="str">
        <f t="shared" si="45"/>
        <v>FBS</v>
      </c>
    </row>
    <row r="206" spans="1:30" s="6" customFormat="1" ht="20.100000000000001" customHeight="1" outlineLevel="1" x14ac:dyDescent="0.25">
      <c r="A206" s="635" t="s">
        <v>1443</v>
      </c>
      <c r="B206" s="25"/>
      <c r="C206" s="13" t="s">
        <v>2581</v>
      </c>
      <c r="D206" s="39" t="s">
        <v>1497</v>
      </c>
      <c r="E206" s="4">
        <v>15</v>
      </c>
      <c r="F206" s="101" t="s">
        <v>6208</v>
      </c>
      <c r="G206" s="57" t="s">
        <v>5161</v>
      </c>
      <c r="H206" s="4" t="s">
        <v>6592</v>
      </c>
      <c r="I206" s="4"/>
      <c r="J206" s="4"/>
      <c r="K206" s="54" t="s">
        <v>6208</v>
      </c>
      <c r="L206" s="57">
        <v>1417024513</v>
      </c>
      <c r="M206" s="57">
        <v>1417024513</v>
      </c>
      <c r="N206" s="4" t="s">
        <v>2616</v>
      </c>
      <c r="O206" s="4">
        <v>730302380</v>
      </c>
      <c r="P206" s="4">
        <v>730302379</v>
      </c>
      <c r="Q206" s="767"/>
      <c r="R206" s="767"/>
      <c r="S206" s="4"/>
      <c r="T206" s="4"/>
      <c r="U206" s="4"/>
      <c r="V206" s="4"/>
      <c r="W206" s="4"/>
      <c r="X206" s="4" t="s">
        <v>1497</v>
      </c>
      <c r="Y206" s="4" t="s">
        <v>4066</v>
      </c>
      <c r="Z206" s="35"/>
      <c r="AA206" s="1" t="str">
        <f>IFERROR(VLOOKUP(D:D,[1]Габариты!$A:$I,9,0),"")</f>
        <v>Основной ассортимент</v>
      </c>
      <c r="AB206" s="6" t="str">
        <f>IFERROR(VLOOKUP(D:D,[1]Габариты!$A:$D,4,0),"")</f>
        <v>СТЕЛЛАЖИ</v>
      </c>
      <c r="AC206" s="39" t="str">
        <f t="shared" si="43"/>
        <v>MK00010</v>
      </c>
      <c r="AD206" s="13" t="str">
        <f t="shared" si="45"/>
        <v>FBS</v>
      </c>
    </row>
    <row r="207" spans="1:30" s="6" customFormat="1" ht="20.100000000000001" customHeight="1" outlineLevel="1" x14ac:dyDescent="0.25">
      <c r="A207" s="635" t="s">
        <v>1661</v>
      </c>
      <c r="B207" s="25"/>
      <c r="C207" s="13" t="s">
        <v>2581</v>
      </c>
      <c r="D207" s="39" t="s">
        <v>1663</v>
      </c>
      <c r="E207" s="4">
        <v>12</v>
      </c>
      <c r="F207" s="101" t="s">
        <v>6210</v>
      </c>
      <c r="G207" s="57" t="s">
        <v>5211</v>
      </c>
      <c r="H207" s="4" t="s">
        <v>6594</v>
      </c>
      <c r="I207" s="4"/>
      <c r="J207" s="4"/>
      <c r="K207" s="54" t="s">
        <v>6210</v>
      </c>
      <c r="L207" s="57">
        <v>1138577489</v>
      </c>
      <c r="M207" s="57">
        <v>1138577489</v>
      </c>
      <c r="N207" s="4" t="s">
        <v>2619</v>
      </c>
      <c r="O207" s="4">
        <v>814443575</v>
      </c>
      <c r="P207" s="4">
        <v>814443573</v>
      </c>
      <c r="Q207" s="767"/>
      <c r="R207" s="767"/>
      <c r="S207" s="4"/>
      <c r="T207" s="4"/>
      <c r="U207" s="4"/>
      <c r="V207" s="4"/>
      <c r="W207" s="4"/>
      <c r="X207" s="4" t="s">
        <v>2619</v>
      </c>
      <c r="Y207" s="4" t="s">
        <v>4066</v>
      </c>
      <c r="Z207" s="35"/>
      <c r="AA207" s="1" t="str">
        <f>IFERROR(VLOOKUP(D:D,[1]Габариты!$A:$I,9,0),"")</f>
        <v>Основной ассортимент</v>
      </c>
      <c r="AB207" s="6" t="str">
        <f>IFERROR(VLOOKUP(D:D,[1]Габариты!$A:$D,4,0),"")</f>
        <v>СТЕЛЛАЖИ</v>
      </c>
      <c r="AC207" s="39" t="str">
        <f t="shared" si="43"/>
        <v>MK1400101</v>
      </c>
      <c r="AD207" s="13" t="str">
        <f t="shared" si="45"/>
        <v>FBS</v>
      </c>
    </row>
    <row r="208" spans="1:30" s="6" customFormat="1" ht="20.100000000000001" customHeight="1" outlineLevel="1" x14ac:dyDescent="0.25">
      <c r="A208" s="663" t="s">
        <v>8209</v>
      </c>
      <c r="B208" s="359"/>
      <c r="C208" s="13" t="s">
        <v>2581</v>
      </c>
      <c r="D208" s="366" t="s">
        <v>8210</v>
      </c>
      <c r="E208" s="4">
        <v>12</v>
      </c>
      <c r="F208" s="364" t="s">
        <v>8232</v>
      </c>
      <c r="G208" s="365" t="s">
        <v>8220</v>
      </c>
      <c r="H208" s="363" t="s">
        <v>8220</v>
      </c>
      <c r="I208" s="363"/>
      <c r="J208" s="363"/>
      <c r="K208" s="364"/>
      <c r="L208" s="365"/>
      <c r="M208" s="365"/>
      <c r="N208" s="363" t="s">
        <v>8228</v>
      </c>
      <c r="O208" s="363">
        <v>1843500163</v>
      </c>
      <c r="P208" s="363">
        <v>1843500163</v>
      </c>
      <c r="Q208" s="802"/>
      <c r="R208" s="802"/>
      <c r="S208" s="363"/>
      <c r="T208" s="363"/>
      <c r="U208" s="363"/>
      <c r="V208" s="363"/>
      <c r="W208" s="363"/>
      <c r="X208" s="363" t="s">
        <v>8228</v>
      </c>
      <c r="Y208" s="363"/>
      <c r="Z208" s="35"/>
      <c r="AA208" s="1" t="str">
        <f>IFERROR(VLOOKUP(D:D,[1]Габариты!$A:$I,9,0),"")</f>
        <v>Основной ассортимент</v>
      </c>
      <c r="AB208" s="6" t="str">
        <f>IFERROR(VLOOKUP(D:D,[1]Габариты!$A:$D,4,0),"")</f>
        <v>СТЕЛЛАЖИ</v>
      </c>
      <c r="AC208" s="39" t="str">
        <f t="shared" si="43"/>
        <v>MK1400201</v>
      </c>
      <c r="AD208" s="361" t="str">
        <f t="shared" si="45"/>
        <v>FBS</v>
      </c>
    </row>
    <row r="209" spans="1:30" s="6" customFormat="1" ht="20.100000000000001" customHeight="1" outlineLevel="1" x14ac:dyDescent="0.25">
      <c r="A209" s="635" t="s">
        <v>1671</v>
      </c>
      <c r="B209" s="25"/>
      <c r="C209" s="13" t="s">
        <v>3172</v>
      </c>
      <c r="D209" s="39" t="s">
        <v>1672</v>
      </c>
      <c r="E209" s="4">
        <v>12</v>
      </c>
      <c r="F209" s="101" t="s">
        <v>6212</v>
      </c>
      <c r="G209" s="57" t="s">
        <v>5212</v>
      </c>
      <c r="H209" s="4" t="s">
        <v>6596</v>
      </c>
      <c r="I209" s="4"/>
      <c r="J209" s="4"/>
      <c r="K209" s="54" t="s">
        <v>6212</v>
      </c>
      <c r="L209" s="57">
        <v>1139366634</v>
      </c>
      <c r="M209" s="57">
        <v>1139366634</v>
      </c>
      <c r="N209" s="4" t="s">
        <v>1733</v>
      </c>
      <c r="O209" s="4">
        <v>819818086</v>
      </c>
      <c r="P209" s="4">
        <v>819818085</v>
      </c>
      <c r="Q209" s="767"/>
      <c r="R209" s="767"/>
      <c r="S209" s="4"/>
      <c r="T209" s="4"/>
      <c r="U209" s="4"/>
      <c r="V209" s="4"/>
      <c r="W209" s="4"/>
      <c r="X209" s="4" t="s">
        <v>1733</v>
      </c>
      <c r="Y209" s="4" t="s">
        <v>4066</v>
      </c>
      <c r="Z209" s="35"/>
      <c r="AA209" s="1" t="str">
        <f>IFERROR(VLOOKUP(D:D,[1]Габариты!$A:$I,9,0),"")</f>
        <v>Основной ассортимент</v>
      </c>
      <c r="AB209" s="6" t="str">
        <f>IFERROR(VLOOKUP(D:D,[1]Габариты!$A:$D,4,0),"")</f>
        <v>СТЕЛЛАЖИ</v>
      </c>
      <c r="AC209" s="39" t="str">
        <f t="shared" si="43"/>
        <v>MK1410101</v>
      </c>
      <c r="AD209" s="13" t="str">
        <f t="shared" si="45"/>
        <v xml:space="preserve">СКГТ </v>
      </c>
    </row>
    <row r="210" spans="1:30" s="6" customFormat="1" ht="20.100000000000001" customHeight="1" x14ac:dyDescent="0.25">
      <c r="A210" s="631" t="s">
        <v>5891</v>
      </c>
      <c r="B210" s="76"/>
      <c r="C210" s="13" t="s">
        <v>2582</v>
      </c>
      <c r="D210" s="39" t="s">
        <v>5784</v>
      </c>
      <c r="E210" s="4">
        <v>20</v>
      </c>
      <c r="F210" s="101" t="s">
        <v>5760</v>
      </c>
      <c r="G210" s="75" t="s">
        <v>5832</v>
      </c>
      <c r="H210" s="4" t="s">
        <v>7699</v>
      </c>
      <c r="I210" s="73"/>
      <c r="J210" s="73"/>
      <c r="K210" s="54" t="s">
        <v>5760</v>
      </c>
      <c r="L210" s="57">
        <v>1123026241</v>
      </c>
      <c r="M210" s="57">
        <v>1123026241</v>
      </c>
      <c r="N210" s="73" t="s">
        <v>7605</v>
      </c>
      <c r="O210" s="73">
        <v>1829929000</v>
      </c>
      <c r="P210" s="73">
        <v>1829929000</v>
      </c>
      <c r="Q210" s="73"/>
      <c r="R210" s="73"/>
      <c r="S210" s="73"/>
      <c r="T210" s="73"/>
      <c r="U210" s="73"/>
      <c r="V210" s="73"/>
      <c r="W210" s="73"/>
      <c r="X210" s="73" t="s">
        <v>7605</v>
      </c>
      <c r="Y210" s="73"/>
      <c r="Z210" s="67"/>
      <c r="AA210" s="1" t="str">
        <f>IFERROR(VLOOKUP(D:D,[1]Габариты!$A:$I,9,0),"")</f>
        <v>Основной ассортимент</v>
      </c>
      <c r="AB210" s="6" t="str">
        <f>IFERROR(VLOOKUP(D:D,[1]Габариты!$A:$D,4,0),"")</f>
        <v>СТЕЛЛАЖИ</v>
      </c>
      <c r="AC210" s="39" t="str">
        <f t="shared" si="43"/>
        <v>MK1100201</v>
      </c>
      <c r="AD210" s="13" t="str">
        <f t="shared" si="45"/>
        <v>FBO</v>
      </c>
    </row>
    <row r="211" spans="1:30" s="6" customFormat="1" ht="20.100000000000001" customHeight="1" outlineLevel="1" x14ac:dyDescent="0.25">
      <c r="A211" s="631" t="s">
        <v>4355</v>
      </c>
      <c r="B211" s="29"/>
      <c r="C211" s="13" t="s">
        <v>2582</v>
      </c>
      <c r="D211" s="40" t="s">
        <v>4352</v>
      </c>
      <c r="E211" s="4">
        <v>18</v>
      </c>
      <c r="F211" s="101" t="s">
        <v>4674</v>
      </c>
      <c r="G211" s="57" t="s">
        <v>5230</v>
      </c>
      <c r="H211" s="4" t="s">
        <v>6420</v>
      </c>
      <c r="I211" s="4"/>
      <c r="J211" s="4"/>
      <c r="K211" s="54" t="s">
        <v>4674</v>
      </c>
      <c r="L211" s="57">
        <v>1361810637</v>
      </c>
      <c r="M211" s="57">
        <v>1361810637</v>
      </c>
      <c r="N211" s="4" t="s">
        <v>4593</v>
      </c>
      <c r="O211" s="4">
        <v>1653767384</v>
      </c>
      <c r="P211" s="4">
        <v>1653767384</v>
      </c>
      <c r="Q211" s="767"/>
      <c r="R211" s="767"/>
      <c r="S211" s="4"/>
      <c r="T211" s="4"/>
      <c r="U211" s="4"/>
      <c r="V211" s="4"/>
      <c r="W211" s="4"/>
      <c r="X211" s="4" t="s">
        <v>4593</v>
      </c>
      <c r="Y211" s="4"/>
      <c r="Z211" s="35"/>
      <c r="AA211" s="1" t="str">
        <f>IFERROR(VLOOKUP(D:D,[1]Габариты!$A:$I,9,0),"")</f>
        <v>Основной ассортимент</v>
      </c>
      <c r="AB211" s="6" t="str">
        <f>IFERROR(VLOOKUP(D:D,[1]Габариты!$A:$D,4,0),"")</f>
        <v>СТЕЛЛАЖИ</v>
      </c>
      <c r="AC211" s="39" t="str">
        <f t="shared" si="43"/>
        <v>MK2350101</v>
      </c>
      <c r="AD211" s="13" t="str">
        <f t="shared" si="45"/>
        <v>FBO</v>
      </c>
    </row>
    <row r="212" spans="1:30" s="6" customFormat="1" ht="20.100000000000001" customHeight="1" outlineLevel="1" x14ac:dyDescent="0.25">
      <c r="A212" s="635" t="s">
        <v>1562</v>
      </c>
      <c r="B212" s="25"/>
      <c r="C212" s="13" t="s">
        <v>2581</v>
      </c>
      <c r="D212" s="39" t="s">
        <v>1492</v>
      </c>
      <c r="E212" s="4">
        <v>18</v>
      </c>
      <c r="F212" s="101" t="s">
        <v>4703</v>
      </c>
      <c r="G212" s="57" t="s">
        <v>5200</v>
      </c>
      <c r="H212" s="4" t="s">
        <v>5200</v>
      </c>
      <c r="I212" s="4" t="s">
        <v>3278</v>
      </c>
      <c r="J212" s="4" t="s">
        <v>2039</v>
      </c>
      <c r="K212" s="54" t="s">
        <v>4703</v>
      </c>
      <c r="L212" s="57">
        <v>1032083842</v>
      </c>
      <c r="M212" s="57">
        <v>1032083842</v>
      </c>
      <c r="N212" s="4" t="s">
        <v>1418</v>
      </c>
      <c r="O212" s="4">
        <v>677741387</v>
      </c>
      <c r="P212" s="4">
        <v>677741386</v>
      </c>
      <c r="Q212" s="767"/>
      <c r="R212" s="767"/>
      <c r="S212" s="4"/>
      <c r="T212" s="4" t="s">
        <v>3327</v>
      </c>
      <c r="U212" s="4">
        <v>956930094</v>
      </c>
      <c r="V212" s="4">
        <v>956930094</v>
      </c>
      <c r="W212" s="4"/>
      <c r="X212" s="4" t="s">
        <v>1418</v>
      </c>
      <c r="Y212" s="4" t="s">
        <v>4066</v>
      </c>
      <c r="Z212" s="35"/>
      <c r="AA212" s="1" t="str">
        <f>IFERROR(VLOOKUP(D:D,[1]Габариты!$A:$I,9,0),"")</f>
        <v>Основной ассортимент</v>
      </c>
      <c r="AB212" s="6" t="str">
        <f>IFERROR(VLOOKUP(D:D,[1]Габариты!$A:$D,4,0),"")</f>
        <v>СТЕЛЛАЖИ</v>
      </c>
      <c r="AC212" s="39" t="str">
        <f t="shared" si="43"/>
        <v>MK1250101</v>
      </c>
      <c r="AD212" s="13" t="str">
        <f t="shared" si="45"/>
        <v>FBS</v>
      </c>
    </row>
    <row r="213" spans="1:30" s="6" customFormat="1" ht="20.100000000000001" customHeight="1" outlineLevel="1" x14ac:dyDescent="0.25">
      <c r="A213" s="662" t="s">
        <v>7761</v>
      </c>
      <c r="B213" s="203"/>
      <c r="C213" s="13" t="s">
        <v>2581</v>
      </c>
      <c r="D213" s="208" t="s">
        <v>7760</v>
      </c>
      <c r="E213" s="4">
        <v>18</v>
      </c>
      <c r="F213" s="101" t="s">
        <v>7759</v>
      </c>
      <c r="G213" s="207" t="s">
        <v>7762</v>
      </c>
      <c r="H213" s="205" t="s">
        <v>7762</v>
      </c>
      <c r="I213" s="205"/>
      <c r="J213" s="205"/>
      <c r="K213" s="206" t="s">
        <v>7759</v>
      </c>
      <c r="L213" s="207">
        <v>1781379213</v>
      </c>
      <c r="M213" s="207">
        <v>1781379213</v>
      </c>
      <c r="N213" s="205" t="s">
        <v>7789</v>
      </c>
      <c r="O213" s="205">
        <v>1757500871</v>
      </c>
      <c r="P213" s="205">
        <v>1757500871</v>
      </c>
      <c r="Q213" s="787"/>
      <c r="R213" s="787"/>
      <c r="S213" s="205"/>
      <c r="T213" s="205"/>
      <c r="U213" s="205"/>
      <c r="V213" s="205"/>
      <c r="W213" s="205"/>
      <c r="X213" s="205" t="s">
        <v>7789</v>
      </c>
      <c r="Y213" s="205"/>
      <c r="Z213" s="35"/>
      <c r="AA213" s="1" t="str">
        <f>IFERROR(VLOOKUP(D:D,[1]Габариты!$A:$I,9,0),"")</f>
        <v>Основной ассортимент</v>
      </c>
      <c r="AB213" s="6" t="str">
        <f>IFERROR(VLOOKUP(D:D,[1]Габариты!$A:$D,4,0),"")</f>
        <v>СТЕЛЛАЖИ</v>
      </c>
      <c r="AC213" s="39" t="str">
        <f t="shared" si="43"/>
        <v>MK1250601</v>
      </c>
      <c r="AD213" s="13" t="str">
        <f t="shared" si="45"/>
        <v>FBS</v>
      </c>
    </row>
    <row r="214" spans="1:30" s="6" customFormat="1" ht="20.100000000000001" customHeight="1" outlineLevel="1" x14ac:dyDescent="0.25">
      <c r="A214" s="664" t="s">
        <v>8042</v>
      </c>
      <c r="B214" s="274"/>
      <c r="C214" s="13" t="s">
        <v>2581</v>
      </c>
      <c r="D214" s="281" t="s">
        <v>8041</v>
      </c>
      <c r="E214" s="4">
        <v>18</v>
      </c>
      <c r="F214" s="279" t="s">
        <v>8049</v>
      </c>
      <c r="G214" s="280" t="s">
        <v>8058</v>
      </c>
      <c r="H214" s="278" t="s">
        <v>8058</v>
      </c>
      <c r="I214" s="278"/>
      <c r="J214" s="278"/>
      <c r="K214" s="279" t="s">
        <v>8049</v>
      </c>
      <c r="L214" s="280">
        <v>1842459516</v>
      </c>
      <c r="M214" s="280">
        <v>1842459516</v>
      </c>
      <c r="N214" s="278" t="s">
        <v>8317</v>
      </c>
      <c r="O214" s="278">
        <v>1861127572</v>
      </c>
      <c r="P214" s="278">
        <v>1861127572</v>
      </c>
      <c r="Q214" s="803"/>
      <c r="R214" s="803"/>
      <c r="S214" s="278"/>
      <c r="T214" s="278"/>
      <c r="U214" s="278"/>
      <c r="V214" s="278"/>
      <c r="W214" s="278"/>
      <c r="X214" s="278" t="s">
        <v>8317</v>
      </c>
      <c r="Y214" s="278"/>
      <c r="Z214" s="35"/>
      <c r="AA214" s="1" t="str">
        <f>IFERROR(VLOOKUP(D:D,[1]Габариты!$A:$I,9,0),"")</f>
        <v>Основной ассортимент</v>
      </c>
      <c r="AB214" s="6" t="str">
        <f>IFERROR(VLOOKUP(D:D,[1]Габариты!$A:$D,4,0),"")</f>
        <v>СТЕЛЛАЖИ</v>
      </c>
      <c r="AC214" s="39" t="str">
        <f t="shared" si="43"/>
        <v>MK1252501</v>
      </c>
      <c r="AD214" s="13" t="str">
        <f t="shared" si="45"/>
        <v>FBS</v>
      </c>
    </row>
    <row r="215" spans="1:30" s="6" customFormat="1" ht="20.100000000000001" customHeight="1" outlineLevel="1" x14ac:dyDescent="0.25">
      <c r="A215" s="635" t="s">
        <v>1132</v>
      </c>
      <c r="B215" s="25"/>
      <c r="C215" s="13" t="s">
        <v>2581</v>
      </c>
      <c r="D215" s="39" t="s">
        <v>1493</v>
      </c>
      <c r="E215" s="4">
        <v>16</v>
      </c>
      <c r="F215" s="101" t="s">
        <v>4717</v>
      </c>
      <c r="G215" s="57" t="s">
        <v>5201</v>
      </c>
      <c r="H215" s="4" t="s">
        <v>6601</v>
      </c>
      <c r="I215" s="4"/>
      <c r="J215" s="4"/>
      <c r="K215" s="54" t="s">
        <v>4717</v>
      </c>
      <c r="L215" s="57">
        <v>933338839</v>
      </c>
      <c r="M215" s="57">
        <v>933338839</v>
      </c>
      <c r="N215" s="4" t="s">
        <v>1419</v>
      </c>
      <c r="O215" s="4">
        <v>677797537</v>
      </c>
      <c r="P215" s="4">
        <v>677797533</v>
      </c>
      <c r="Q215" s="767"/>
      <c r="R215" s="767"/>
      <c r="S215" s="4"/>
      <c r="T215" s="4"/>
      <c r="U215" s="4"/>
      <c r="V215" s="4"/>
      <c r="W215" s="4"/>
      <c r="X215" s="4" t="s">
        <v>1419</v>
      </c>
      <c r="Y215" s="4" t="s">
        <v>4066</v>
      </c>
      <c r="Z215" s="35"/>
      <c r="AA215" s="1" t="str">
        <f>IFERROR(VLOOKUP(D:D,[1]Габариты!$A:$I,9,0),"")</f>
        <v>Основной ассортимент</v>
      </c>
      <c r="AB215" s="6" t="str">
        <f>IFERROR(VLOOKUP(D:D,[1]Габариты!$A:$D,4,0),"")</f>
        <v>СТЕЛЛАЖИ</v>
      </c>
      <c r="AC215" s="39" t="str">
        <f t="shared" si="43"/>
        <v>MK1260101</v>
      </c>
      <c r="AD215" s="13" t="str">
        <f t="shared" si="45"/>
        <v>FBS</v>
      </c>
    </row>
    <row r="216" spans="1:30" s="6" customFormat="1" ht="20.100000000000001" customHeight="1" outlineLevel="1" x14ac:dyDescent="0.25">
      <c r="A216" s="635" t="s">
        <v>1133</v>
      </c>
      <c r="B216" s="25"/>
      <c r="C216" s="13" t="s">
        <v>2581</v>
      </c>
      <c r="D216" s="39" t="s">
        <v>1165</v>
      </c>
      <c r="E216" s="4">
        <v>27</v>
      </c>
      <c r="F216" s="101" t="s">
        <v>4715</v>
      </c>
      <c r="G216" s="57" t="s">
        <v>5202</v>
      </c>
      <c r="H216" s="4" t="s">
        <v>5202</v>
      </c>
      <c r="I216" s="4"/>
      <c r="J216" s="4"/>
      <c r="K216" s="54" t="s">
        <v>4715</v>
      </c>
      <c r="L216" s="57">
        <v>933799695</v>
      </c>
      <c r="M216" s="57">
        <v>933799695</v>
      </c>
      <c r="N216" s="4" t="s">
        <v>1420</v>
      </c>
      <c r="O216" s="4">
        <v>677868659</v>
      </c>
      <c r="P216" s="4">
        <v>677868666</v>
      </c>
      <c r="Q216" s="767"/>
      <c r="R216" s="767"/>
      <c r="S216" s="4"/>
      <c r="T216" s="4"/>
      <c r="U216" s="4"/>
      <c r="V216" s="4"/>
      <c r="W216" s="4"/>
      <c r="X216" s="4" t="s">
        <v>1420</v>
      </c>
      <c r="Y216" s="4" t="s">
        <v>1165</v>
      </c>
      <c r="Z216" s="35"/>
      <c r="AA216" s="1" t="str">
        <f>IFERROR(VLOOKUP(D:D,[1]Габариты!$A:$I,9,0),"")</f>
        <v>Основной ассортимент</v>
      </c>
      <c r="AB216" s="6" t="str">
        <f>IFERROR(VLOOKUP(D:D,[1]Габариты!$A:$D,4,0),"")</f>
        <v>СТЕЛЛАЖИ</v>
      </c>
      <c r="AC216" s="39" t="str">
        <f t="shared" si="43"/>
        <v>MK1270101</v>
      </c>
      <c r="AD216" s="13" t="str">
        <f t="shared" si="45"/>
        <v>FBS</v>
      </c>
    </row>
    <row r="217" spans="1:30" s="6" customFormat="1" ht="20.100000000000001" customHeight="1" outlineLevel="1" x14ac:dyDescent="0.25">
      <c r="A217" s="635" t="s">
        <v>4184</v>
      </c>
      <c r="B217" s="25"/>
      <c r="C217" s="13" t="s">
        <v>2581</v>
      </c>
      <c r="D217" s="39" t="s">
        <v>4183</v>
      </c>
      <c r="E217" s="4">
        <v>27</v>
      </c>
      <c r="F217" s="101" t="s">
        <v>4692</v>
      </c>
      <c r="G217" s="57" t="s">
        <v>5203</v>
      </c>
      <c r="H217" s="4" t="s">
        <v>6602</v>
      </c>
      <c r="I217" s="4"/>
      <c r="J217" s="4"/>
      <c r="K217" s="54" t="s">
        <v>4692</v>
      </c>
      <c r="L217" s="57">
        <v>1327247685</v>
      </c>
      <c r="M217" s="57">
        <v>1327247685</v>
      </c>
      <c r="N217" s="4" t="s">
        <v>4216</v>
      </c>
      <c r="O217" s="4">
        <v>1594353024</v>
      </c>
      <c r="P217" s="4">
        <v>1594353024</v>
      </c>
      <c r="Q217" s="767"/>
      <c r="R217" s="767"/>
      <c r="S217" s="4"/>
      <c r="T217" s="4"/>
      <c r="U217" s="4"/>
      <c r="V217" s="4"/>
      <c r="W217" s="4"/>
      <c r="X217" s="4" t="s">
        <v>4216</v>
      </c>
      <c r="Y217" s="4" t="s">
        <v>4183</v>
      </c>
      <c r="Z217" s="35"/>
      <c r="AA217" s="1" t="str">
        <f>IFERROR(VLOOKUP(D:D,[1]Габариты!$A:$I,9,0),"")</f>
        <v>Основной ассортимент</v>
      </c>
      <c r="AB217" s="6" t="str">
        <f>IFERROR(VLOOKUP(D:D,[1]Габариты!$A:$D,4,0),"")</f>
        <v>СТЕЛЛАЖИ</v>
      </c>
      <c r="AC217" s="39" t="str">
        <f t="shared" si="43"/>
        <v>MK1270201</v>
      </c>
      <c r="AD217" s="13" t="str">
        <f t="shared" si="45"/>
        <v>FBS</v>
      </c>
    </row>
    <row r="218" spans="1:30" s="6" customFormat="1" ht="20.100000000000001" customHeight="1" x14ac:dyDescent="0.25">
      <c r="A218" s="631" t="s">
        <v>5889</v>
      </c>
      <c r="B218" s="76"/>
      <c r="C218" s="343" t="s">
        <v>2582</v>
      </c>
      <c r="D218" s="349" t="s">
        <v>5791</v>
      </c>
      <c r="E218" s="4">
        <v>18</v>
      </c>
      <c r="F218" s="101" t="s">
        <v>7750</v>
      </c>
      <c r="G218" s="75" t="s">
        <v>5839</v>
      </c>
      <c r="H218" s="4" t="s">
        <v>5839</v>
      </c>
      <c r="I218" s="73"/>
      <c r="J218" s="73"/>
      <c r="K218" s="54" t="s">
        <v>7750</v>
      </c>
      <c r="L218" s="57">
        <v>1288586228</v>
      </c>
      <c r="M218" s="57">
        <v>1288586228</v>
      </c>
      <c r="N218" s="771" t="s">
        <v>8422</v>
      </c>
      <c r="O218" s="73">
        <v>1904806014</v>
      </c>
      <c r="P218" s="73">
        <v>1904806014</v>
      </c>
      <c r="Q218" s="73"/>
      <c r="R218" s="73"/>
      <c r="S218" s="73"/>
      <c r="T218" s="73"/>
      <c r="U218" s="73"/>
      <c r="V218" s="73"/>
      <c r="W218" s="73"/>
      <c r="X218" s="73" t="s">
        <v>8422</v>
      </c>
      <c r="Y218" s="73"/>
      <c r="Z218" s="67"/>
      <c r="AA218" s="1" t="str">
        <f>IFERROR(VLOOKUP(D:D,[1]Габариты!$A:$I,9,0),"")</f>
        <v>Основной ассортимент</v>
      </c>
      <c r="AB218" s="6" t="str">
        <f>IFERROR(VLOOKUP(D:D,[1]Габариты!$A:$D,4,0),"")</f>
        <v>СТЕЛЛАЖИ</v>
      </c>
      <c r="AC218" s="39" t="str">
        <f t="shared" si="43"/>
        <v>MK1900101</v>
      </c>
      <c r="AD218" s="343" t="str">
        <f t="shared" ref="AD218:AD219" si="46">C218</f>
        <v>FBO</v>
      </c>
    </row>
    <row r="219" spans="1:30" s="6" customFormat="1" ht="20.100000000000001" customHeight="1" x14ac:dyDescent="0.25">
      <c r="A219" s="665" t="s">
        <v>5369</v>
      </c>
      <c r="B219" s="3"/>
      <c r="C219" s="343" t="s">
        <v>2582</v>
      </c>
      <c r="D219" s="349" t="s">
        <v>5363</v>
      </c>
      <c r="E219" s="4">
        <v>14</v>
      </c>
      <c r="F219" s="101" t="s">
        <v>5368</v>
      </c>
      <c r="G219" s="57" t="s">
        <v>5367</v>
      </c>
      <c r="H219" s="4" t="s">
        <v>8392</v>
      </c>
      <c r="I219" s="4"/>
      <c r="J219" s="4"/>
      <c r="K219" s="54" t="s">
        <v>5368</v>
      </c>
      <c r="L219" s="57">
        <v>1055863105</v>
      </c>
      <c r="M219" s="57">
        <v>1055863105</v>
      </c>
      <c r="N219" s="4" t="s">
        <v>8427</v>
      </c>
      <c r="O219" s="4">
        <v>1911436868</v>
      </c>
      <c r="P219" s="4">
        <v>1911436868</v>
      </c>
      <c r="Q219" s="4"/>
      <c r="R219" s="4"/>
      <c r="S219" s="4"/>
      <c r="T219" s="4"/>
      <c r="U219" s="4"/>
      <c r="V219" s="4"/>
      <c r="W219" s="4"/>
      <c r="X219" s="4" t="s">
        <v>8427</v>
      </c>
      <c r="Y219" s="4"/>
      <c r="Z219" s="3"/>
      <c r="AA219" s="1" t="str">
        <f>IFERROR(VLOOKUP(D:D,[1]Габариты!$A:$I,9,0),"")</f>
        <v>Основной ассортимент</v>
      </c>
      <c r="AB219" s="6" t="str">
        <f>IFERROR(VLOOKUP(D:D,[1]Габариты!$A:$D,4,0),"")</f>
        <v>СТЕЛЛАЖИ</v>
      </c>
      <c r="AC219" s="39" t="str">
        <f t="shared" si="43"/>
        <v>MK1470201</v>
      </c>
      <c r="AD219" s="343" t="str">
        <f t="shared" si="46"/>
        <v>FBO</v>
      </c>
    </row>
    <row r="220" spans="1:30" s="6" customFormat="1" ht="20.100000000000001" customHeight="1" outlineLevel="1" x14ac:dyDescent="0.25">
      <c r="A220" s="635" t="s">
        <v>5699</v>
      </c>
      <c r="B220" s="25"/>
      <c r="C220" s="13" t="s">
        <v>2582</v>
      </c>
      <c r="D220" s="39" t="s">
        <v>4427</v>
      </c>
      <c r="E220" s="4">
        <v>20</v>
      </c>
      <c r="F220" s="101" t="s">
        <v>6214</v>
      </c>
      <c r="G220" s="57" t="s">
        <v>5704</v>
      </c>
      <c r="H220" s="4" t="s">
        <v>6612</v>
      </c>
      <c r="I220" s="4"/>
      <c r="J220" s="4"/>
      <c r="K220" s="54"/>
      <c r="L220" s="57"/>
      <c r="M220" s="57"/>
      <c r="N220" s="4" t="s">
        <v>4460</v>
      </c>
      <c r="O220" s="4">
        <v>1651733795</v>
      </c>
      <c r="P220" s="4">
        <v>1651733795</v>
      </c>
      <c r="Q220" s="767"/>
      <c r="R220" s="767"/>
      <c r="S220" s="4"/>
      <c r="T220" s="4"/>
      <c r="U220" s="4"/>
      <c r="V220" s="4"/>
      <c r="W220" s="4"/>
      <c r="X220" s="4" t="s">
        <v>4460</v>
      </c>
      <c r="Y220" s="4"/>
      <c r="Z220" s="35"/>
      <c r="AA220" s="1" t="str">
        <f>IFERROR(VLOOKUP(D:D,[1]Габариты!$A:$I,9,0),"")</f>
        <v>Основной ассортимент</v>
      </c>
      <c r="AB220" s="6" t="str">
        <f>IFERROR(VLOOKUP(D:D,[1]Габариты!$A:$D,4,0),"")</f>
        <v>СТЕЛЛАЖИ</v>
      </c>
      <c r="AC220" s="39" t="str">
        <f>D220</f>
        <v>MK2040101</v>
      </c>
      <c r="AD220" s="13" t="str">
        <f>C220</f>
        <v>FBO</v>
      </c>
    </row>
    <row r="221" spans="1:30" s="6" customFormat="1" ht="20.100000000000001" customHeight="1" x14ac:dyDescent="0.25">
      <c r="A221" s="631" t="s">
        <v>5890</v>
      </c>
      <c r="B221" s="76"/>
      <c r="C221" s="13" t="s">
        <v>2581</v>
      </c>
      <c r="D221" s="39" t="s">
        <v>5785</v>
      </c>
      <c r="E221" s="4">
        <v>15</v>
      </c>
      <c r="F221" s="101" t="s">
        <v>5761</v>
      </c>
      <c r="G221" s="75" t="s">
        <v>5833</v>
      </c>
      <c r="H221" s="4" t="s">
        <v>5833</v>
      </c>
      <c r="I221" s="73"/>
      <c r="J221" s="73"/>
      <c r="K221" s="74"/>
      <c r="L221" s="57"/>
      <c r="M221" s="57"/>
      <c r="N221" s="769" t="s">
        <v>8851</v>
      </c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67"/>
      <c r="AA221" s="1" t="str">
        <f>IFERROR(VLOOKUP(D:D,[1]Габариты!$A:$I,9,0),"")</f>
        <v>Основной ассортимент</v>
      </c>
      <c r="AB221" s="6" t="str">
        <f>IFERROR(VLOOKUP(D:D,[1]Габариты!$A:$D,4,0),"")</f>
        <v>СТЕЛЛАЖИ</v>
      </c>
      <c r="AC221" s="39" t="str">
        <f>D221</f>
        <v>MK000100201</v>
      </c>
      <c r="AD221" s="13" t="str">
        <f>C221</f>
        <v>FBS</v>
      </c>
    </row>
    <row r="222" spans="1:30" s="6" customFormat="1" ht="20.100000000000001" customHeight="1" outlineLevel="1" x14ac:dyDescent="0.25">
      <c r="A222" s="635" t="s">
        <v>97</v>
      </c>
      <c r="B222" s="3"/>
      <c r="C222" s="13" t="s">
        <v>2582</v>
      </c>
      <c r="D222" s="39">
        <v>2611</v>
      </c>
      <c r="E222" s="4">
        <v>20</v>
      </c>
      <c r="F222" s="101">
        <v>2611</v>
      </c>
      <c r="G222" s="57" t="s">
        <v>4833</v>
      </c>
      <c r="H222" s="4" t="s">
        <v>6646</v>
      </c>
      <c r="I222" s="4" t="s">
        <v>1247</v>
      </c>
      <c r="J222" s="4" t="s">
        <v>1848</v>
      </c>
      <c r="K222" s="54" t="s">
        <v>2260</v>
      </c>
      <c r="L222" s="57">
        <v>202069428</v>
      </c>
      <c r="M222" s="57">
        <v>202069428</v>
      </c>
      <c r="N222" s="4" t="s">
        <v>616</v>
      </c>
      <c r="O222" s="4">
        <v>262728425</v>
      </c>
      <c r="P222" s="4">
        <v>262728453</v>
      </c>
      <c r="Q222" s="767" t="s">
        <v>2798</v>
      </c>
      <c r="R222" s="767">
        <v>322726404</v>
      </c>
      <c r="S222" s="4">
        <v>322726448</v>
      </c>
      <c r="T222" s="4" t="s">
        <v>3013</v>
      </c>
      <c r="U222" s="4">
        <v>895127312</v>
      </c>
      <c r="V222" s="4">
        <v>895127312</v>
      </c>
      <c r="W222" s="4" t="s">
        <v>2260</v>
      </c>
      <c r="X222" s="4" t="s">
        <v>616</v>
      </c>
      <c r="Y222" s="4">
        <v>2611</v>
      </c>
      <c r="Z222" s="35"/>
      <c r="AA222" s="1" t="str">
        <f>IFERROR(VLOOKUP(D:D,[1]Габариты!$A:$I,9,0),"")</f>
        <v>Основной ассортимент</v>
      </c>
      <c r="AB222" s="6" t="str">
        <f>IFERROR(VLOOKUP(D:D,[1]Габариты!$A:$D,4,0),"")</f>
        <v>СТЕЛЛАЖИ</v>
      </c>
      <c r="AC222" s="39">
        <f t="shared" si="43"/>
        <v>2611</v>
      </c>
      <c r="AD222" s="13" t="str">
        <f t="shared" si="35"/>
        <v>FBO</v>
      </c>
    </row>
    <row r="223" spans="1:30" s="6" customFormat="1" ht="20.100000000000001" customHeight="1" outlineLevel="1" x14ac:dyDescent="0.25">
      <c r="A223" s="635" t="s">
        <v>98</v>
      </c>
      <c r="B223" s="3"/>
      <c r="C223" s="13" t="s">
        <v>2582</v>
      </c>
      <c r="D223" s="39">
        <v>2612</v>
      </c>
      <c r="E223" s="4">
        <v>20</v>
      </c>
      <c r="F223" s="101">
        <v>2612</v>
      </c>
      <c r="G223" s="57" t="s">
        <v>4834</v>
      </c>
      <c r="H223" s="4" t="s">
        <v>6647</v>
      </c>
      <c r="I223" s="4" t="s">
        <v>1248</v>
      </c>
      <c r="J223" s="4" t="s">
        <v>1849</v>
      </c>
      <c r="K223" s="54" t="s">
        <v>2261</v>
      </c>
      <c r="L223" s="57">
        <v>202056139</v>
      </c>
      <c r="M223" s="57">
        <v>202056139</v>
      </c>
      <c r="N223" s="4" t="s">
        <v>617</v>
      </c>
      <c r="O223" s="4">
        <v>262624634</v>
      </c>
      <c r="P223" s="4">
        <v>262624641</v>
      </c>
      <c r="Q223" s="767" t="s">
        <v>2799</v>
      </c>
      <c r="R223" s="767">
        <v>322728647</v>
      </c>
      <c r="S223" s="4">
        <v>322728674</v>
      </c>
      <c r="T223" s="4" t="s">
        <v>3014</v>
      </c>
      <c r="U223" s="4">
        <v>895109057</v>
      </c>
      <c r="V223" s="4">
        <v>895109057</v>
      </c>
      <c r="W223" s="4" t="s">
        <v>2261</v>
      </c>
      <c r="X223" s="4" t="s">
        <v>617</v>
      </c>
      <c r="Y223" s="4">
        <v>2612</v>
      </c>
      <c r="Z223" s="35"/>
      <c r="AA223" s="1" t="str">
        <f>IFERROR(VLOOKUP(D:D,[1]Габариты!$A:$I,9,0),"")</f>
        <v>Основной ассортимент</v>
      </c>
      <c r="AB223" s="6" t="str">
        <f>IFERROR(VLOOKUP(D:D,[1]Габариты!$A:$D,4,0),"")</f>
        <v>СТЕЛЛАЖИ</v>
      </c>
      <c r="AC223" s="39">
        <f t="shared" si="43"/>
        <v>2612</v>
      </c>
      <c r="AD223" s="13" t="str">
        <f t="shared" si="35"/>
        <v>FBO</v>
      </c>
    </row>
    <row r="224" spans="1:30" s="6" customFormat="1" ht="20.100000000000001" customHeight="1" outlineLevel="1" x14ac:dyDescent="0.25">
      <c r="A224" s="635" t="s">
        <v>99</v>
      </c>
      <c r="B224" s="3"/>
      <c r="C224" s="13" t="s">
        <v>2582</v>
      </c>
      <c r="D224" s="39">
        <v>2613</v>
      </c>
      <c r="E224" s="4">
        <v>20</v>
      </c>
      <c r="F224" s="101">
        <v>2613</v>
      </c>
      <c r="G224" s="57" t="s">
        <v>4835</v>
      </c>
      <c r="H224" s="4" t="s">
        <v>6648</v>
      </c>
      <c r="I224" s="4" t="s">
        <v>1250</v>
      </c>
      <c r="J224" s="4" t="s">
        <v>1850</v>
      </c>
      <c r="K224" s="54" t="s">
        <v>2263</v>
      </c>
      <c r="L224" s="57">
        <v>202056151</v>
      </c>
      <c r="M224" s="57">
        <v>202056151</v>
      </c>
      <c r="N224" s="4" t="s">
        <v>618</v>
      </c>
      <c r="O224" s="4">
        <v>262646900</v>
      </c>
      <c r="P224" s="4">
        <v>262646908</v>
      </c>
      <c r="Q224" s="767" t="s">
        <v>2800</v>
      </c>
      <c r="R224" s="767">
        <v>322744646</v>
      </c>
      <c r="S224" s="4">
        <v>322744690</v>
      </c>
      <c r="T224" s="4" t="s">
        <v>3015</v>
      </c>
      <c r="U224" s="4">
        <v>895164725</v>
      </c>
      <c r="V224" s="4">
        <v>895164725</v>
      </c>
      <c r="W224" s="4" t="s">
        <v>2263</v>
      </c>
      <c r="X224" s="4" t="s">
        <v>618</v>
      </c>
      <c r="Y224" s="4">
        <v>2613</v>
      </c>
      <c r="Z224" s="35"/>
      <c r="AA224" s="1" t="str">
        <f>IFERROR(VLOOKUP(D:D,[1]Габариты!$A:$I,9,0),"")</f>
        <v>Основной ассортимент</v>
      </c>
      <c r="AB224" s="6" t="str">
        <f>IFERROR(VLOOKUP(D:D,[1]Габариты!$A:$D,4,0),"")</f>
        <v>СТЕЛЛАЖИ</v>
      </c>
      <c r="AC224" s="39">
        <f t="shared" si="43"/>
        <v>2613</v>
      </c>
      <c r="AD224" s="13" t="str">
        <f t="shared" si="35"/>
        <v>FBO</v>
      </c>
    </row>
    <row r="225" spans="1:30" s="6" customFormat="1" ht="20.100000000000001" customHeight="1" outlineLevel="1" x14ac:dyDescent="0.25">
      <c r="A225" s="635" t="s">
        <v>1364</v>
      </c>
      <c r="B225" s="25"/>
      <c r="C225" s="13" t="s">
        <v>2582</v>
      </c>
      <c r="D225" s="39">
        <v>2615</v>
      </c>
      <c r="E225" s="4">
        <v>20</v>
      </c>
      <c r="F225" s="101">
        <v>2615</v>
      </c>
      <c r="G225" s="57"/>
      <c r="H225" s="4" t="s">
        <v>6649</v>
      </c>
      <c r="I225" s="4"/>
      <c r="J225" s="4" t="s">
        <v>1852</v>
      </c>
      <c r="K225" s="54"/>
      <c r="L225" s="57"/>
      <c r="M225" s="57"/>
      <c r="N225" s="4" t="s">
        <v>1389</v>
      </c>
      <c r="O225" s="4">
        <v>730184434</v>
      </c>
      <c r="P225" s="4">
        <v>730184433</v>
      </c>
      <c r="Q225" s="767"/>
      <c r="R225" s="767"/>
      <c r="S225" s="4"/>
      <c r="T225" s="4" t="s">
        <v>3017</v>
      </c>
      <c r="U225" s="4">
        <v>895183192</v>
      </c>
      <c r="V225" s="4">
        <v>895183192</v>
      </c>
      <c r="W225" s="4"/>
      <c r="X225" s="4" t="s">
        <v>1389</v>
      </c>
      <c r="Y225" s="4">
        <v>2615</v>
      </c>
      <c r="Z225" s="35"/>
      <c r="AA225" s="1" t="str">
        <f>IFERROR(VLOOKUP(D:D,[1]Габариты!$A:$I,9,0),"")</f>
        <v>Основной ассортимент</v>
      </c>
      <c r="AB225" s="6" t="str">
        <f>IFERROR(VLOOKUP(D:D,[1]Габариты!$A:$D,4,0),"")</f>
        <v>СТЕЛЛАЖИ</v>
      </c>
      <c r="AC225" s="39">
        <f t="shared" si="43"/>
        <v>2615</v>
      </c>
      <c r="AD225" s="13" t="str">
        <f t="shared" si="35"/>
        <v>FBO</v>
      </c>
    </row>
    <row r="226" spans="1:30" s="6" customFormat="1" ht="20.100000000000001" customHeight="1" outlineLevel="1" x14ac:dyDescent="0.25">
      <c r="A226" s="635" t="s">
        <v>1365</v>
      </c>
      <c r="B226" s="25"/>
      <c r="C226" s="13" t="s">
        <v>2582</v>
      </c>
      <c r="D226" s="39">
        <v>2616</v>
      </c>
      <c r="E226" s="4">
        <v>20</v>
      </c>
      <c r="F226" s="101">
        <v>2616</v>
      </c>
      <c r="G226" s="57"/>
      <c r="H226" s="4" t="s">
        <v>6650</v>
      </c>
      <c r="I226" s="4" t="s">
        <v>3272</v>
      </c>
      <c r="J226" s="4" t="s">
        <v>1853</v>
      </c>
      <c r="K226" s="54"/>
      <c r="L226" s="57"/>
      <c r="M226" s="57"/>
      <c r="N226" s="4" t="s">
        <v>1390</v>
      </c>
      <c r="O226" s="4">
        <v>730192837</v>
      </c>
      <c r="P226" s="4">
        <v>730192838</v>
      </c>
      <c r="Q226" s="767"/>
      <c r="R226" s="767"/>
      <c r="S226" s="4"/>
      <c r="T226" s="4" t="s">
        <v>3018</v>
      </c>
      <c r="U226" s="4">
        <v>895155818</v>
      </c>
      <c r="V226" s="4">
        <v>895155818</v>
      </c>
      <c r="W226" s="4"/>
      <c r="X226" s="4" t="s">
        <v>1390</v>
      </c>
      <c r="Y226" s="4">
        <v>2616</v>
      </c>
      <c r="Z226" s="35"/>
      <c r="AA226" s="1" t="str">
        <f>IFERROR(VLOOKUP(D:D,[1]Габариты!$A:$I,9,0),"")</f>
        <v>Основной ассортимент</v>
      </c>
      <c r="AB226" s="6" t="str">
        <f>IFERROR(VLOOKUP(D:D,[1]Габариты!$A:$D,4,0),"")</f>
        <v>СТЕЛЛАЖИ</v>
      </c>
      <c r="AC226" s="39">
        <f t="shared" si="43"/>
        <v>2616</v>
      </c>
      <c r="AD226" s="13" t="str">
        <f t="shared" si="35"/>
        <v>FBO</v>
      </c>
    </row>
    <row r="227" spans="1:30" s="6" customFormat="1" ht="20.100000000000001" customHeight="1" outlineLevel="1" x14ac:dyDescent="0.25">
      <c r="A227" s="665" t="s">
        <v>289</v>
      </c>
      <c r="B227" s="2"/>
      <c r="C227" s="13" t="s">
        <v>2582</v>
      </c>
      <c r="D227" s="39">
        <v>3057</v>
      </c>
      <c r="E227" s="4">
        <v>20</v>
      </c>
      <c r="F227" s="101">
        <v>3057</v>
      </c>
      <c r="G227" s="57" t="s">
        <v>4982</v>
      </c>
      <c r="H227" s="4" t="s">
        <v>6651</v>
      </c>
      <c r="I227" s="4" t="s">
        <v>1251</v>
      </c>
      <c r="J227" s="4" t="s">
        <v>1851</v>
      </c>
      <c r="K227" s="54" t="s">
        <v>2264</v>
      </c>
      <c r="L227" s="57">
        <v>286101599</v>
      </c>
      <c r="M227" s="57">
        <v>286101599</v>
      </c>
      <c r="N227" s="4" t="s">
        <v>763</v>
      </c>
      <c r="O227" s="4">
        <v>286321927</v>
      </c>
      <c r="P227" s="4">
        <v>286321931</v>
      </c>
      <c r="Q227" s="767" t="s">
        <v>2801</v>
      </c>
      <c r="R227" s="767">
        <v>322747576</v>
      </c>
      <c r="S227" s="4">
        <v>322747599</v>
      </c>
      <c r="T227" s="4" t="s">
        <v>3016</v>
      </c>
      <c r="U227" s="4">
        <v>895191676</v>
      </c>
      <c r="V227" s="4">
        <v>895191676</v>
      </c>
      <c r="W227" s="4" t="s">
        <v>2264</v>
      </c>
      <c r="X227" s="4" t="s">
        <v>763</v>
      </c>
      <c r="Y227" s="4">
        <v>3057</v>
      </c>
      <c r="Z227" s="35"/>
      <c r="AA227" s="1" t="str">
        <f>IFERROR(VLOOKUP(D:D,[1]Габариты!$A:$I,9,0),"")</f>
        <v>Основной ассортимент</v>
      </c>
      <c r="AB227" s="6" t="str">
        <f>IFERROR(VLOOKUP(D:D,[1]Габариты!$A:$D,4,0),"")</f>
        <v>СТЕЛЛАЖИ</v>
      </c>
      <c r="AC227" s="39">
        <f t="shared" si="43"/>
        <v>3057</v>
      </c>
      <c r="AD227" s="13" t="str">
        <f t="shared" si="35"/>
        <v>FBO</v>
      </c>
    </row>
    <row r="228" spans="1:30" s="6" customFormat="1" ht="20.100000000000001" customHeight="1" outlineLevel="1" x14ac:dyDescent="0.25">
      <c r="A228" s="635" t="s">
        <v>1823</v>
      </c>
      <c r="B228" s="25"/>
      <c r="C228" s="13" t="s">
        <v>2582</v>
      </c>
      <c r="D228" s="39">
        <v>3058</v>
      </c>
      <c r="E228" s="4">
        <v>20</v>
      </c>
      <c r="F228" s="101">
        <v>3058</v>
      </c>
      <c r="G228" s="57"/>
      <c r="H228" s="4" t="s">
        <v>6652</v>
      </c>
      <c r="I228" s="4"/>
      <c r="J228" s="4"/>
      <c r="K228" s="54"/>
      <c r="L228" s="57"/>
      <c r="M228" s="57"/>
      <c r="N228" s="4" t="s">
        <v>2537</v>
      </c>
      <c r="O228" s="4">
        <v>897734284</v>
      </c>
      <c r="P228" s="4">
        <v>897734283</v>
      </c>
      <c r="Q228" s="767"/>
      <c r="R228" s="767"/>
      <c r="S228" s="4"/>
      <c r="T228" s="4"/>
      <c r="U228" s="4"/>
      <c r="V228" s="4"/>
      <c r="W228" s="4"/>
      <c r="X228" s="4" t="s">
        <v>2537</v>
      </c>
      <c r="Y228" s="4" t="s">
        <v>4066</v>
      </c>
      <c r="Z228" s="35"/>
      <c r="AA228" s="1" t="str">
        <f>IFERROR(VLOOKUP(D:D,[1]Габариты!$A:$I,9,0),"")</f>
        <v>Основной ассортимент</v>
      </c>
      <c r="AB228" s="6" t="str">
        <f>IFERROR(VLOOKUP(D:D,[1]Габариты!$A:$D,4,0),"")</f>
        <v>СТЕЛЛАЖИ</v>
      </c>
      <c r="AC228" s="39">
        <f t="shared" si="43"/>
        <v>3058</v>
      </c>
      <c r="AD228" s="13" t="str">
        <f t="shared" si="35"/>
        <v>FBO</v>
      </c>
    </row>
    <row r="229" spans="1:30" s="6" customFormat="1" ht="20.100000000000001" customHeight="1" outlineLevel="1" x14ac:dyDescent="0.25">
      <c r="A229" s="666" t="s">
        <v>8389</v>
      </c>
      <c r="B229" s="420"/>
      <c r="C229" s="13" t="s">
        <v>2582</v>
      </c>
      <c r="D229" s="414">
        <v>26011</v>
      </c>
      <c r="E229" s="4">
        <v>20</v>
      </c>
      <c r="F229" s="416"/>
      <c r="G229" s="417"/>
      <c r="H229" s="415" t="s">
        <v>8390</v>
      </c>
      <c r="I229" s="415"/>
      <c r="J229" s="415"/>
      <c r="K229" s="416"/>
      <c r="L229" s="417"/>
      <c r="M229" s="417"/>
      <c r="N229" s="415" t="s">
        <v>8612</v>
      </c>
      <c r="O229" s="415">
        <v>2010064209</v>
      </c>
      <c r="P229" s="415">
        <v>2010064209</v>
      </c>
      <c r="Q229" s="804"/>
      <c r="R229" s="804"/>
      <c r="S229" s="415"/>
      <c r="T229" s="415"/>
      <c r="U229" s="415"/>
      <c r="V229" s="415"/>
      <c r="W229" s="415"/>
      <c r="X229" s="415" t="s">
        <v>8612</v>
      </c>
      <c r="Y229" s="415"/>
      <c r="Z229" s="35"/>
      <c r="AA229" s="1" t="str">
        <f>IFERROR(VLOOKUP(D:D,[1]Габариты!$A:$I,9,0),"")</f>
        <v>Основной ассортимент</v>
      </c>
      <c r="AB229" s="6" t="str">
        <f>IFERROR(VLOOKUP(D:D,[1]Габариты!$A:$D,4,0),"")</f>
        <v>СТЕЛЛАЖИ</v>
      </c>
      <c r="AC229" s="39">
        <f t="shared" si="43"/>
        <v>26011</v>
      </c>
      <c r="AD229" s="13" t="str">
        <f t="shared" ref="AD229" si="47">C229</f>
        <v>FBO</v>
      </c>
    </row>
    <row r="230" spans="1:30" s="6" customFormat="1" ht="20.100000000000001" customHeight="1" outlineLevel="1" x14ac:dyDescent="0.25">
      <c r="A230" s="635" t="s">
        <v>1046</v>
      </c>
      <c r="B230" s="25"/>
      <c r="C230" s="13" t="s">
        <v>2582</v>
      </c>
      <c r="D230" s="39">
        <v>3669</v>
      </c>
      <c r="E230" s="4">
        <v>18</v>
      </c>
      <c r="F230" s="101">
        <v>3385</v>
      </c>
      <c r="G230" s="57"/>
      <c r="H230" s="4" t="s">
        <v>6656</v>
      </c>
      <c r="I230" s="4" t="s">
        <v>2503</v>
      </c>
      <c r="J230" s="4" t="s">
        <v>1952</v>
      </c>
      <c r="K230" s="54"/>
      <c r="L230" s="57"/>
      <c r="M230" s="57"/>
      <c r="N230" s="4" t="s">
        <v>1070</v>
      </c>
      <c r="O230" s="4">
        <v>623392891</v>
      </c>
      <c r="P230" s="4">
        <v>623392892</v>
      </c>
      <c r="Q230" s="767"/>
      <c r="R230" s="767"/>
      <c r="S230" s="4"/>
      <c r="T230" s="4" t="s">
        <v>3121</v>
      </c>
      <c r="U230" s="4">
        <v>956930086</v>
      </c>
      <c r="V230" s="4">
        <v>956930086</v>
      </c>
      <c r="W230" s="4"/>
      <c r="X230" s="4" t="s">
        <v>1070</v>
      </c>
      <c r="Y230" s="4">
        <v>3669</v>
      </c>
      <c r="Z230" s="35"/>
      <c r="AA230" s="1" t="str">
        <f>IFERROR(VLOOKUP(D:D,[1]Габариты!$A:$I,9,0),"")</f>
        <v>Основной ассортимент</v>
      </c>
      <c r="AB230" s="6" t="str">
        <f>IFERROR(VLOOKUP(D:D,[1]Габариты!$A:$D,4,0),"")</f>
        <v>СТЕЛЛАЖИ</v>
      </c>
      <c r="AC230" s="39">
        <f t="shared" si="43"/>
        <v>3669</v>
      </c>
      <c r="AD230" s="13" t="str">
        <f t="shared" ref="AD230:AD288" si="48">C230</f>
        <v>FBO</v>
      </c>
    </row>
    <row r="231" spans="1:30" s="6" customFormat="1" ht="20.100000000000001" customHeight="1" outlineLevel="1" x14ac:dyDescent="0.25">
      <c r="A231" s="635" t="s">
        <v>1082</v>
      </c>
      <c r="B231" s="25"/>
      <c r="C231" s="13" t="s">
        <v>2582</v>
      </c>
      <c r="D231" s="39">
        <v>3670</v>
      </c>
      <c r="E231" s="4">
        <v>18</v>
      </c>
      <c r="F231" s="101">
        <v>3696</v>
      </c>
      <c r="G231" s="57"/>
      <c r="H231" s="4" t="s">
        <v>6657</v>
      </c>
      <c r="I231" s="4" t="s">
        <v>2505</v>
      </c>
      <c r="J231" s="4" t="s">
        <v>2036</v>
      </c>
      <c r="K231" s="54"/>
      <c r="L231" s="57"/>
      <c r="M231" s="57"/>
      <c r="N231" s="4" t="s">
        <v>1117</v>
      </c>
      <c r="O231" s="4">
        <v>636753774</v>
      </c>
      <c r="P231" s="4">
        <v>636753772</v>
      </c>
      <c r="Q231" s="767"/>
      <c r="R231" s="767"/>
      <c r="S231" s="4"/>
      <c r="T231" s="4" t="s">
        <v>3237</v>
      </c>
      <c r="U231" s="4">
        <v>956929583</v>
      </c>
      <c r="V231" s="4">
        <v>956929583</v>
      </c>
      <c r="W231" s="4"/>
      <c r="X231" s="4" t="s">
        <v>1117</v>
      </c>
      <c r="Y231" s="4">
        <v>3670</v>
      </c>
      <c r="Z231" s="35"/>
      <c r="AA231" s="1" t="str">
        <f>IFERROR(VLOOKUP(D:D,[1]Габариты!$A:$I,9,0),"")</f>
        <v>Основной ассортимент</v>
      </c>
      <c r="AB231" s="6" t="str">
        <f>IFERROR(VLOOKUP(D:D,[1]Габариты!$A:$D,4,0),"")</f>
        <v>СТЕЛЛАЖИ</v>
      </c>
      <c r="AC231" s="39">
        <f t="shared" si="43"/>
        <v>3670</v>
      </c>
      <c r="AD231" s="13" t="str">
        <f t="shared" si="48"/>
        <v>FBO</v>
      </c>
    </row>
    <row r="232" spans="1:30" s="6" customFormat="1" ht="20.100000000000001" customHeight="1" outlineLevel="1" x14ac:dyDescent="0.25">
      <c r="A232" s="635" t="s">
        <v>1081</v>
      </c>
      <c r="B232" s="25"/>
      <c r="C232" s="13" t="s">
        <v>2582</v>
      </c>
      <c r="D232" s="39">
        <v>3671</v>
      </c>
      <c r="E232" s="4">
        <v>18</v>
      </c>
      <c r="F232" s="101">
        <v>3671</v>
      </c>
      <c r="G232" s="57"/>
      <c r="H232" s="4" t="s">
        <v>6658</v>
      </c>
      <c r="I232" s="4" t="s">
        <v>2504</v>
      </c>
      <c r="J232" s="4" t="s">
        <v>2035</v>
      </c>
      <c r="K232" s="54"/>
      <c r="L232" s="57"/>
      <c r="M232" s="57"/>
      <c r="N232" s="4" t="s">
        <v>1116</v>
      </c>
      <c r="O232" s="4">
        <v>637295917</v>
      </c>
      <c r="P232" s="4">
        <v>637295918</v>
      </c>
      <c r="Q232" s="767"/>
      <c r="R232" s="767"/>
      <c r="S232" s="4"/>
      <c r="T232" s="4" t="s">
        <v>3325</v>
      </c>
      <c r="U232" s="4">
        <v>956929557</v>
      </c>
      <c r="V232" s="4">
        <v>956929557</v>
      </c>
      <c r="W232" s="4"/>
      <c r="X232" s="4" t="s">
        <v>1116</v>
      </c>
      <c r="Y232" s="4">
        <v>3671</v>
      </c>
      <c r="Z232" s="35"/>
      <c r="AA232" s="1" t="str">
        <f>IFERROR(VLOOKUP(D:D,[1]Габариты!$A:$I,9,0),"")</f>
        <v>Основной ассортимент</v>
      </c>
      <c r="AB232" s="6" t="str">
        <f>IFERROR(VLOOKUP(D:D,[1]Габариты!$A:$D,4,0),"")</f>
        <v>СТЕЛЛАЖИ</v>
      </c>
      <c r="AC232" s="39">
        <f t="shared" si="43"/>
        <v>3671</v>
      </c>
      <c r="AD232" s="13" t="str">
        <f t="shared" si="48"/>
        <v>FBO</v>
      </c>
    </row>
    <row r="233" spans="1:30" s="6" customFormat="1" ht="20.100000000000001" customHeight="1" outlineLevel="1" x14ac:dyDescent="0.25">
      <c r="A233" s="635" t="s">
        <v>1125</v>
      </c>
      <c r="B233" s="25"/>
      <c r="C233" s="13" t="s">
        <v>2582</v>
      </c>
      <c r="D233" s="39">
        <v>36691</v>
      </c>
      <c r="E233" s="4">
        <v>18</v>
      </c>
      <c r="F233" s="101">
        <v>3699</v>
      </c>
      <c r="G233" s="57"/>
      <c r="H233" s="4" t="s">
        <v>6659</v>
      </c>
      <c r="I233" s="4" t="s">
        <v>2506</v>
      </c>
      <c r="J233" s="4" t="s">
        <v>2037</v>
      </c>
      <c r="K233" s="54"/>
      <c r="L233" s="57"/>
      <c r="M233" s="57"/>
      <c r="N233" s="4" t="s">
        <v>1149</v>
      </c>
      <c r="O233" s="4">
        <v>667974974</v>
      </c>
      <c r="P233" s="4">
        <v>667974975</v>
      </c>
      <c r="Q233" s="767"/>
      <c r="R233" s="767"/>
      <c r="S233" s="4"/>
      <c r="T233" s="4" t="s">
        <v>3326</v>
      </c>
      <c r="U233" s="4">
        <v>956929575</v>
      </c>
      <c r="V233" s="4">
        <v>956929575</v>
      </c>
      <c r="W233" s="4"/>
      <c r="X233" s="4" t="s">
        <v>1149</v>
      </c>
      <c r="Y233" s="4" t="s">
        <v>4066</v>
      </c>
      <c r="Z233" s="35"/>
      <c r="AA233" s="1" t="str">
        <f>IFERROR(VLOOKUP(D:D,[1]Габариты!$A:$I,9,0),"")</f>
        <v>Основной ассортимент</v>
      </c>
      <c r="AB233" s="6" t="str">
        <f>IFERROR(VLOOKUP(D:D,[1]Габариты!$A:$D,4,0),"")</f>
        <v>СТЕЛЛАЖИ</v>
      </c>
      <c r="AC233" s="39">
        <f t="shared" si="43"/>
        <v>36691</v>
      </c>
      <c r="AD233" s="13" t="str">
        <f t="shared" si="48"/>
        <v>FBO</v>
      </c>
    </row>
    <row r="234" spans="1:30" s="6" customFormat="1" ht="20.100000000000001" customHeight="1" outlineLevel="1" x14ac:dyDescent="0.25">
      <c r="A234" s="635" t="s">
        <v>1126</v>
      </c>
      <c r="B234" s="25"/>
      <c r="C234" s="13" t="s">
        <v>2582</v>
      </c>
      <c r="D234" s="39">
        <v>36701</v>
      </c>
      <c r="E234" s="4">
        <v>18</v>
      </c>
      <c r="F234" s="101">
        <v>36701</v>
      </c>
      <c r="G234" s="57"/>
      <c r="H234" s="4" t="s">
        <v>6660</v>
      </c>
      <c r="I234" s="4" t="s">
        <v>2507</v>
      </c>
      <c r="J234" s="4" t="s">
        <v>2038</v>
      </c>
      <c r="K234" s="54"/>
      <c r="L234" s="57"/>
      <c r="M234" s="57"/>
      <c r="N234" s="4" t="s">
        <v>1150</v>
      </c>
      <c r="O234" s="4">
        <v>668007196</v>
      </c>
      <c r="P234" s="4">
        <v>668007197</v>
      </c>
      <c r="Q234" s="767"/>
      <c r="R234" s="767"/>
      <c r="S234" s="4"/>
      <c r="T234" s="4"/>
      <c r="U234" s="4"/>
      <c r="V234" s="4"/>
      <c r="W234" s="4"/>
      <c r="X234" s="4" t="s">
        <v>1150</v>
      </c>
      <c r="Y234" s="4" t="s">
        <v>4066</v>
      </c>
      <c r="Z234" s="35"/>
      <c r="AA234" s="1" t="str">
        <f>IFERROR(VLOOKUP(D:D,[1]Габариты!$A:$I,9,0),"")</f>
        <v>Основной ассортимент</v>
      </c>
      <c r="AB234" s="6" t="str">
        <f>IFERROR(VLOOKUP(D:D,[1]Габариты!$A:$D,4,0),"")</f>
        <v>СТЕЛЛАЖИ</v>
      </c>
      <c r="AC234" s="39">
        <f t="shared" si="43"/>
        <v>36701</v>
      </c>
      <c r="AD234" s="13" t="str">
        <f t="shared" si="48"/>
        <v>FBO</v>
      </c>
    </row>
    <row r="235" spans="1:30" s="6" customFormat="1" ht="20.100000000000001" customHeight="1" outlineLevel="1" x14ac:dyDescent="0.25">
      <c r="A235" s="635" t="s">
        <v>3845</v>
      </c>
      <c r="B235" s="25"/>
      <c r="C235" s="13" t="s">
        <v>2582</v>
      </c>
      <c r="D235" s="39">
        <v>36690</v>
      </c>
      <c r="E235" s="4">
        <v>18</v>
      </c>
      <c r="F235" s="106" t="s">
        <v>6224</v>
      </c>
      <c r="G235" s="57"/>
      <c r="H235" s="4" t="s">
        <v>6661</v>
      </c>
      <c r="I235" s="4" t="s">
        <v>3901</v>
      </c>
      <c r="J235" s="4" t="s">
        <v>3870</v>
      </c>
      <c r="K235" s="54"/>
      <c r="L235" s="57"/>
      <c r="M235" s="57"/>
      <c r="N235" s="4" t="s">
        <v>3858</v>
      </c>
      <c r="O235" s="4">
        <v>1392383193</v>
      </c>
      <c r="P235" s="4">
        <v>1392383193</v>
      </c>
      <c r="Q235" s="767" t="s">
        <v>4143</v>
      </c>
      <c r="R235" s="767">
        <v>1392551002</v>
      </c>
      <c r="S235" s="4">
        <v>1392551002</v>
      </c>
      <c r="T235" s="4" t="s">
        <v>4074</v>
      </c>
      <c r="U235" s="4">
        <v>1392426114</v>
      </c>
      <c r="V235" s="4">
        <v>1392426114</v>
      </c>
      <c r="W235" s="4"/>
      <c r="X235" s="4" t="s">
        <v>3858</v>
      </c>
      <c r="Y235" s="4" t="s">
        <v>4066</v>
      </c>
      <c r="Z235" s="35"/>
      <c r="AA235" s="1" t="str">
        <f>IFERROR(VLOOKUP(D:D,[1]Габариты!$A:$I,9,0),"")</f>
        <v>Основной ассортимент</v>
      </c>
      <c r="AB235" s="6" t="str">
        <f>IFERROR(VLOOKUP(D:D,[1]Габариты!$A:$D,4,0),"")</f>
        <v>СТЕЛЛАЖИ</v>
      </c>
      <c r="AC235" s="39">
        <f t="shared" si="43"/>
        <v>36690</v>
      </c>
      <c r="AD235" s="13" t="str">
        <f t="shared" si="48"/>
        <v>FBO</v>
      </c>
    </row>
    <row r="236" spans="1:30" s="6" customFormat="1" ht="20.100000000000001" customHeight="1" outlineLevel="1" x14ac:dyDescent="0.25">
      <c r="A236" s="635" t="s">
        <v>3288</v>
      </c>
      <c r="B236" s="25"/>
      <c r="C236" s="13" t="s">
        <v>2582</v>
      </c>
      <c r="D236" s="39">
        <v>36694</v>
      </c>
      <c r="E236" s="4">
        <v>18</v>
      </c>
      <c r="F236" s="101">
        <v>3697</v>
      </c>
      <c r="G236" s="57"/>
      <c r="H236" s="4" t="s">
        <v>6662</v>
      </c>
      <c r="I236" s="4" t="s">
        <v>3900</v>
      </c>
      <c r="J236" s="4" t="s">
        <v>3871</v>
      </c>
      <c r="K236" s="54"/>
      <c r="L236" s="57"/>
      <c r="M236" s="57"/>
      <c r="N236" s="4" t="s">
        <v>3342</v>
      </c>
      <c r="O236" s="4">
        <v>1019388156</v>
      </c>
      <c r="P236" s="4">
        <v>1019388159</v>
      </c>
      <c r="Q236" s="767" t="s">
        <v>4142</v>
      </c>
      <c r="R236" s="767">
        <v>1392544087</v>
      </c>
      <c r="S236" s="4">
        <v>1392544087</v>
      </c>
      <c r="T236" s="4" t="s">
        <v>4073</v>
      </c>
      <c r="U236" s="4">
        <v>1392443398</v>
      </c>
      <c r="V236" s="4">
        <v>1392443398</v>
      </c>
      <c r="W236" s="4"/>
      <c r="X236" s="4" t="s">
        <v>3342</v>
      </c>
      <c r="Y236" s="4" t="s">
        <v>4066</v>
      </c>
      <c r="Z236" s="35"/>
      <c r="AA236" s="1" t="str">
        <f>IFERROR(VLOOKUP(D:D,[1]Габариты!$A:$I,9,0),"")</f>
        <v>Основной ассортимент</v>
      </c>
      <c r="AB236" s="6" t="str">
        <f>IFERROR(VLOOKUP(D:D,[1]Габариты!$A:$D,4,0),"")</f>
        <v>СТЕЛЛАЖИ</v>
      </c>
      <c r="AC236" s="39">
        <f t="shared" si="43"/>
        <v>36694</v>
      </c>
      <c r="AD236" s="13" t="str">
        <f t="shared" si="48"/>
        <v>FBO</v>
      </c>
    </row>
    <row r="237" spans="1:30" s="6" customFormat="1" ht="20.100000000000001" customHeight="1" outlineLevel="1" x14ac:dyDescent="0.25">
      <c r="A237" s="635" t="s">
        <v>1710</v>
      </c>
      <c r="B237" s="25"/>
      <c r="C237" s="13" t="s">
        <v>2582</v>
      </c>
      <c r="D237" s="39">
        <v>135570</v>
      </c>
      <c r="E237" s="4">
        <v>22</v>
      </c>
      <c r="F237" s="101">
        <v>135570</v>
      </c>
      <c r="G237" s="57"/>
      <c r="H237" s="4" t="s">
        <v>6663</v>
      </c>
      <c r="I237" s="4" t="s">
        <v>2559</v>
      </c>
      <c r="J237" s="4" t="s">
        <v>2040</v>
      </c>
      <c r="K237" s="54"/>
      <c r="L237" s="57"/>
      <c r="M237" s="57"/>
      <c r="N237" s="4" t="s">
        <v>1734</v>
      </c>
      <c r="O237" s="4">
        <v>838907511</v>
      </c>
      <c r="P237" s="4">
        <v>838907510</v>
      </c>
      <c r="Q237" s="767"/>
      <c r="R237" s="767"/>
      <c r="S237" s="4"/>
      <c r="T237" s="4"/>
      <c r="U237" s="4"/>
      <c r="V237" s="4"/>
      <c r="W237" s="4"/>
      <c r="X237" s="4" t="s">
        <v>1734</v>
      </c>
      <c r="Y237" s="4">
        <v>135570</v>
      </c>
      <c r="Z237" s="35"/>
      <c r="AA237" s="1" t="str">
        <f>IFERROR(VLOOKUP(D:D,[1]Габариты!$A:$I,9,0),"")</f>
        <v>Основной ассортимент</v>
      </c>
      <c r="AB237" s="6" t="str">
        <f>IFERROR(VLOOKUP(D:D,[1]Габариты!$A:$D,4,0),"")</f>
        <v>СТЕЛЛАЖИ</v>
      </c>
      <c r="AC237" s="39">
        <f t="shared" si="43"/>
        <v>135570</v>
      </c>
      <c r="AD237" s="13" t="str">
        <f t="shared" si="48"/>
        <v>FBO</v>
      </c>
    </row>
    <row r="238" spans="1:30" s="6" customFormat="1" ht="20.100000000000001" customHeight="1" outlineLevel="1" x14ac:dyDescent="0.25">
      <c r="A238" s="635" t="s">
        <v>1711</v>
      </c>
      <c r="B238" s="25"/>
      <c r="C238" s="13" t="s">
        <v>2582</v>
      </c>
      <c r="D238" s="39">
        <v>135569</v>
      </c>
      <c r="E238" s="4">
        <v>22</v>
      </c>
      <c r="F238" s="101">
        <v>135569</v>
      </c>
      <c r="G238" s="57"/>
      <c r="H238" s="4" t="s">
        <v>6664</v>
      </c>
      <c r="I238" s="4" t="s">
        <v>2560</v>
      </c>
      <c r="J238" s="4"/>
      <c r="K238" s="54"/>
      <c r="L238" s="57"/>
      <c r="M238" s="57"/>
      <c r="N238" s="4" t="s">
        <v>1735</v>
      </c>
      <c r="O238" s="4">
        <v>838907514</v>
      </c>
      <c r="P238" s="4">
        <v>838907515</v>
      </c>
      <c r="Q238" s="767"/>
      <c r="R238" s="767"/>
      <c r="S238" s="4"/>
      <c r="T238" s="4"/>
      <c r="U238" s="4"/>
      <c r="V238" s="4"/>
      <c r="W238" s="4"/>
      <c r="X238" s="4" t="s">
        <v>1735</v>
      </c>
      <c r="Y238" s="4" t="s">
        <v>4066</v>
      </c>
      <c r="Z238" s="35"/>
      <c r="AA238" s="1" t="str">
        <f>IFERROR(VLOOKUP(D:D,[1]Габариты!$A:$I,9,0),"")</f>
        <v>Основной ассортимент</v>
      </c>
      <c r="AB238" s="6" t="str">
        <f>IFERROR(VLOOKUP(D:D,[1]Габариты!$A:$D,4,0),"")</f>
        <v>СТЕЛЛАЖИ</v>
      </c>
      <c r="AC238" s="39">
        <f t="shared" si="43"/>
        <v>135569</v>
      </c>
      <c r="AD238" s="13" t="str">
        <f t="shared" si="48"/>
        <v>FBO</v>
      </c>
    </row>
    <row r="239" spans="1:30" s="6" customFormat="1" ht="20.100000000000001" customHeight="1" outlineLevel="1" x14ac:dyDescent="0.25">
      <c r="A239" s="635" t="s">
        <v>1712</v>
      </c>
      <c r="B239" s="25"/>
      <c r="C239" s="13" t="s">
        <v>2582</v>
      </c>
      <c r="D239" s="39">
        <v>135566</v>
      </c>
      <c r="E239" s="4">
        <v>22</v>
      </c>
      <c r="F239" s="101">
        <v>135566</v>
      </c>
      <c r="G239" s="57"/>
      <c r="H239" s="4" t="s">
        <v>6665</v>
      </c>
      <c r="I239" s="4" t="s">
        <v>2561</v>
      </c>
      <c r="J239" s="4" t="s">
        <v>2041</v>
      </c>
      <c r="K239" s="54"/>
      <c r="L239" s="57"/>
      <c r="M239" s="57"/>
      <c r="N239" s="4" t="s">
        <v>1736</v>
      </c>
      <c r="O239" s="4">
        <v>838907518</v>
      </c>
      <c r="P239" s="4">
        <v>838907519</v>
      </c>
      <c r="Q239" s="767"/>
      <c r="R239" s="767"/>
      <c r="S239" s="4"/>
      <c r="T239" s="4"/>
      <c r="U239" s="4"/>
      <c r="V239" s="4"/>
      <c r="W239" s="4"/>
      <c r="X239" s="4" t="s">
        <v>1736</v>
      </c>
      <c r="Y239" s="4">
        <v>135566</v>
      </c>
      <c r="Z239" s="35"/>
      <c r="AA239" s="1" t="str">
        <f>IFERROR(VLOOKUP(D:D,[1]Габариты!$A:$I,9,0),"")</f>
        <v>Основной ассортимент</v>
      </c>
      <c r="AB239" s="6" t="str">
        <f>IFERROR(VLOOKUP(D:D,[1]Габариты!$A:$D,4,0),"")</f>
        <v>СТЕЛЛАЖИ</v>
      </c>
      <c r="AC239" s="39">
        <f t="shared" ref="AC239:AC301" si="49">D239</f>
        <v>135566</v>
      </c>
      <c r="AD239" s="13" t="str">
        <f t="shared" si="48"/>
        <v>FBO</v>
      </c>
    </row>
    <row r="240" spans="1:30" s="6" customFormat="1" ht="20.100000000000001" customHeight="1" outlineLevel="1" x14ac:dyDescent="0.25">
      <c r="A240" s="635" t="s">
        <v>1713</v>
      </c>
      <c r="B240" s="25"/>
      <c r="C240" s="13" t="s">
        <v>2582</v>
      </c>
      <c r="D240" s="39">
        <v>135567</v>
      </c>
      <c r="E240" s="4">
        <v>22</v>
      </c>
      <c r="F240" s="101">
        <v>135567</v>
      </c>
      <c r="G240" s="57"/>
      <c r="H240" s="4" t="s">
        <v>6666</v>
      </c>
      <c r="I240" s="4" t="s">
        <v>2562</v>
      </c>
      <c r="J240" s="4" t="s">
        <v>2042</v>
      </c>
      <c r="K240" s="54"/>
      <c r="L240" s="57"/>
      <c r="M240" s="57"/>
      <c r="N240" s="4" t="s">
        <v>1737</v>
      </c>
      <c r="O240" s="4">
        <v>838907504</v>
      </c>
      <c r="P240" s="4">
        <v>838907505</v>
      </c>
      <c r="Q240" s="767"/>
      <c r="R240" s="767"/>
      <c r="S240" s="4"/>
      <c r="T240" s="4"/>
      <c r="U240" s="4"/>
      <c r="V240" s="4"/>
      <c r="W240" s="4"/>
      <c r="X240" s="4" t="s">
        <v>1737</v>
      </c>
      <c r="Y240" s="4">
        <v>135567</v>
      </c>
      <c r="Z240" s="35"/>
      <c r="AA240" s="1" t="str">
        <f>IFERROR(VLOOKUP(D:D,[1]Габариты!$A:$I,9,0),"")</f>
        <v>Основной ассортимент</v>
      </c>
      <c r="AB240" s="6" t="str">
        <f>IFERROR(VLOOKUP(D:D,[1]Габариты!$A:$D,4,0),"")</f>
        <v>СТЕЛЛАЖИ</v>
      </c>
      <c r="AC240" s="39">
        <f t="shared" si="49"/>
        <v>135567</v>
      </c>
      <c r="AD240" s="13" t="str">
        <f t="shared" si="48"/>
        <v>FBO</v>
      </c>
    </row>
    <row r="241" spans="1:30" s="6" customFormat="1" ht="20.100000000000001" customHeight="1" outlineLevel="1" x14ac:dyDescent="0.25">
      <c r="A241" s="635" t="s">
        <v>1714</v>
      </c>
      <c r="B241" s="25"/>
      <c r="C241" s="13" t="s">
        <v>2582</v>
      </c>
      <c r="D241" s="39">
        <v>135568</v>
      </c>
      <c r="E241" s="4">
        <v>22</v>
      </c>
      <c r="F241" s="101">
        <v>135568</v>
      </c>
      <c r="G241" s="57"/>
      <c r="H241" s="4" t="s">
        <v>6667</v>
      </c>
      <c r="I241" s="4" t="s">
        <v>2563</v>
      </c>
      <c r="J241" s="4" t="s">
        <v>2043</v>
      </c>
      <c r="K241" s="54"/>
      <c r="L241" s="57"/>
      <c r="M241" s="57"/>
      <c r="N241" s="4" t="s">
        <v>1738</v>
      </c>
      <c r="O241" s="4">
        <v>838907509</v>
      </c>
      <c r="P241" s="4">
        <v>838907508</v>
      </c>
      <c r="Q241" s="767"/>
      <c r="R241" s="767"/>
      <c r="S241" s="4"/>
      <c r="T241" s="4"/>
      <c r="U241" s="4"/>
      <c r="V241" s="4"/>
      <c r="W241" s="4"/>
      <c r="X241" s="4" t="s">
        <v>1738</v>
      </c>
      <c r="Y241" s="4">
        <v>135568</v>
      </c>
      <c r="Z241" s="35"/>
      <c r="AA241" s="1" t="str">
        <f>IFERROR(VLOOKUP(D:D,[1]Габариты!$A:$I,9,0),"")</f>
        <v>Основной ассортимент</v>
      </c>
      <c r="AB241" s="6" t="str">
        <f>IFERROR(VLOOKUP(D:D,[1]Габариты!$A:$D,4,0),"")</f>
        <v>СТЕЛЛАЖИ</v>
      </c>
      <c r="AC241" s="39">
        <f t="shared" si="49"/>
        <v>135568</v>
      </c>
      <c r="AD241" s="13" t="str">
        <f t="shared" si="48"/>
        <v>FBO</v>
      </c>
    </row>
    <row r="242" spans="1:30" s="6" customFormat="1" ht="20.100000000000001" customHeight="1" outlineLevel="1" x14ac:dyDescent="0.25">
      <c r="A242" s="635" t="s">
        <v>4093</v>
      </c>
      <c r="B242" s="25"/>
      <c r="C242" s="13" t="s">
        <v>2582</v>
      </c>
      <c r="D242" s="39">
        <v>135656</v>
      </c>
      <c r="E242" s="4">
        <v>22</v>
      </c>
      <c r="F242" s="101">
        <v>135656</v>
      </c>
      <c r="G242" s="57"/>
      <c r="H242" s="4" t="s">
        <v>6668</v>
      </c>
      <c r="I242" s="4" t="s">
        <v>2566</v>
      </c>
      <c r="J242" s="4" t="s">
        <v>3966</v>
      </c>
      <c r="K242" s="54"/>
      <c r="L242" s="57"/>
      <c r="M242" s="57"/>
      <c r="N242" s="4" t="s">
        <v>2534</v>
      </c>
      <c r="O242" s="4">
        <v>897753935</v>
      </c>
      <c r="P242" s="4">
        <v>897753936</v>
      </c>
      <c r="Q242" s="767"/>
      <c r="R242" s="767"/>
      <c r="S242" s="4"/>
      <c r="T242" s="4"/>
      <c r="U242" s="4"/>
      <c r="V242" s="4"/>
      <c r="W242" s="4"/>
      <c r="X242" s="4" t="s">
        <v>2534</v>
      </c>
      <c r="Y242" s="4">
        <v>135656</v>
      </c>
      <c r="Z242" s="35"/>
      <c r="AA242" s="1" t="str">
        <f>IFERROR(VLOOKUP(D:D,[1]Габариты!$A:$I,9,0),"")</f>
        <v>Основной ассортимент</v>
      </c>
      <c r="AB242" s="6" t="str">
        <f>IFERROR(VLOOKUP(D:D,[1]Габариты!$A:$D,4,0),"")</f>
        <v>СТЕЛЛАЖИ</v>
      </c>
      <c r="AC242" s="39">
        <f t="shared" si="49"/>
        <v>135656</v>
      </c>
      <c r="AD242" s="13" t="str">
        <f t="shared" si="48"/>
        <v>FBO</v>
      </c>
    </row>
    <row r="243" spans="1:30" s="6" customFormat="1" ht="20.100000000000001" customHeight="1" outlineLevel="1" x14ac:dyDescent="0.25">
      <c r="A243" s="635" t="s">
        <v>3886</v>
      </c>
      <c r="B243" s="3"/>
      <c r="C243" s="13" t="s">
        <v>2582</v>
      </c>
      <c r="D243" s="39">
        <v>130070</v>
      </c>
      <c r="E243" s="4">
        <v>22</v>
      </c>
      <c r="F243" s="101">
        <v>130070</v>
      </c>
      <c r="G243" s="57"/>
      <c r="H243" s="4" t="s">
        <v>6669</v>
      </c>
      <c r="I243" s="4" t="s">
        <v>4058</v>
      </c>
      <c r="J243" s="4" t="s">
        <v>3990</v>
      </c>
      <c r="K243" s="54"/>
      <c r="L243" s="57"/>
      <c r="M243" s="57"/>
      <c r="N243" s="4" t="s">
        <v>3896</v>
      </c>
      <c r="O243" s="4">
        <v>1418952929</v>
      </c>
      <c r="P243" s="4">
        <v>1418952929</v>
      </c>
      <c r="Q243" s="4"/>
      <c r="R243" s="4"/>
      <c r="S243" s="4"/>
      <c r="T243" s="4"/>
      <c r="U243" s="4"/>
      <c r="V243" s="4"/>
      <c r="W243" s="4"/>
      <c r="X243" s="4" t="s">
        <v>3896</v>
      </c>
      <c r="Y243" s="4" t="s">
        <v>4066</v>
      </c>
      <c r="AA243" s="1" t="str">
        <f>IFERROR(VLOOKUP(D:D,[1]Габариты!$A:$I,9,0),"")</f>
        <v>Основной ассортимент</v>
      </c>
      <c r="AB243" s="6" t="str">
        <f>IFERROR(VLOOKUP(D:D,[1]Габариты!$A:$D,4,0),"")</f>
        <v>СТЕЛЛАЖИ</v>
      </c>
      <c r="AC243" s="39">
        <f t="shared" si="49"/>
        <v>130070</v>
      </c>
      <c r="AD243" s="13" t="str">
        <f t="shared" si="48"/>
        <v>FBO</v>
      </c>
    </row>
    <row r="244" spans="1:30" s="6" customFormat="1" ht="20.100000000000001" customHeight="1" outlineLevel="1" x14ac:dyDescent="0.25">
      <c r="A244" s="635" t="s">
        <v>1920</v>
      </c>
      <c r="B244" s="25"/>
      <c r="C244" s="13" t="s">
        <v>2582</v>
      </c>
      <c r="D244" s="39">
        <v>366941</v>
      </c>
      <c r="E244" s="4">
        <v>20</v>
      </c>
      <c r="F244" s="101">
        <v>366941</v>
      </c>
      <c r="G244" s="57"/>
      <c r="H244" s="4" t="s">
        <v>6670</v>
      </c>
      <c r="I244" s="4" t="s">
        <v>2508</v>
      </c>
      <c r="J244" s="4" t="s">
        <v>2044</v>
      </c>
      <c r="K244" s="54"/>
      <c r="L244" s="57"/>
      <c r="M244" s="57"/>
      <c r="N244" s="4" t="s">
        <v>2538</v>
      </c>
      <c r="O244" s="4">
        <v>935510594</v>
      </c>
      <c r="P244" s="4">
        <v>935510586</v>
      </c>
      <c r="Q244" s="767"/>
      <c r="R244" s="767"/>
      <c r="S244" s="4"/>
      <c r="T244" s="4" t="s">
        <v>3445</v>
      </c>
      <c r="U244" s="4">
        <v>1041891227</v>
      </c>
      <c r="V244" s="4">
        <v>1041891227</v>
      </c>
      <c r="W244" s="4"/>
      <c r="X244" s="4" t="s">
        <v>2538</v>
      </c>
      <c r="Y244" s="4">
        <v>366941</v>
      </c>
      <c r="Z244" s="35"/>
      <c r="AA244" s="1" t="str">
        <f>IFERROR(VLOOKUP(D:D,[1]Габариты!$A:$I,9,0),"")</f>
        <v>Основной ассортимент</v>
      </c>
      <c r="AB244" s="6" t="str">
        <f>IFERROR(VLOOKUP(D:D,[1]Габариты!$A:$D,4,0),"")</f>
        <v>СТЕЛЛАЖИ</v>
      </c>
      <c r="AC244" s="39">
        <f t="shared" si="49"/>
        <v>366941</v>
      </c>
      <c r="AD244" s="13" t="str">
        <f t="shared" si="48"/>
        <v>FBO</v>
      </c>
    </row>
    <row r="245" spans="1:30" s="6" customFormat="1" ht="20.100000000000001" customHeight="1" outlineLevel="1" x14ac:dyDescent="0.25">
      <c r="A245" s="635" t="s">
        <v>1921</v>
      </c>
      <c r="B245" s="25"/>
      <c r="C245" s="13" t="s">
        <v>2582</v>
      </c>
      <c r="D245" s="39">
        <v>366942</v>
      </c>
      <c r="E245" s="4">
        <v>20</v>
      </c>
      <c r="F245" s="101">
        <v>366942</v>
      </c>
      <c r="G245" s="57"/>
      <c r="H245" s="4" t="s">
        <v>6671</v>
      </c>
      <c r="I245" s="4" t="s">
        <v>2509</v>
      </c>
      <c r="J245" s="4" t="s">
        <v>2045</v>
      </c>
      <c r="K245" s="54"/>
      <c r="L245" s="57"/>
      <c r="M245" s="57"/>
      <c r="N245" s="4" t="s">
        <v>2539</v>
      </c>
      <c r="O245" s="4">
        <v>935536312</v>
      </c>
      <c r="P245" s="4">
        <v>935536313</v>
      </c>
      <c r="Q245" s="767"/>
      <c r="R245" s="767"/>
      <c r="S245" s="4"/>
      <c r="T245" s="4" t="s">
        <v>3446</v>
      </c>
      <c r="U245" s="4">
        <v>1041899778</v>
      </c>
      <c r="V245" s="4">
        <v>1041899778</v>
      </c>
      <c r="W245" s="4"/>
      <c r="X245" s="4" t="s">
        <v>2539</v>
      </c>
      <c r="Y245" s="4">
        <v>366942</v>
      </c>
      <c r="Z245" s="35"/>
      <c r="AA245" s="1" t="str">
        <f>IFERROR(VLOOKUP(D:D,[1]Габариты!$A:$I,9,0),"")</f>
        <v>Основной ассортимент</v>
      </c>
      <c r="AB245" s="6" t="str">
        <f>IFERROR(VLOOKUP(D:D,[1]Габариты!$A:$D,4,0),"")</f>
        <v>СТЕЛЛАЖИ</v>
      </c>
      <c r="AC245" s="39">
        <f t="shared" si="49"/>
        <v>366942</v>
      </c>
      <c r="AD245" s="13" t="str">
        <f t="shared" si="48"/>
        <v>FBO</v>
      </c>
    </row>
    <row r="246" spans="1:30" s="6" customFormat="1" ht="20.100000000000001" customHeight="1" outlineLevel="1" x14ac:dyDescent="0.25">
      <c r="A246" s="635" t="s">
        <v>1922</v>
      </c>
      <c r="B246" s="25"/>
      <c r="C246" s="13" t="s">
        <v>2582</v>
      </c>
      <c r="D246" s="39">
        <v>366943</v>
      </c>
      <c r="E246" s="4">
        <v>20</v>
      </c>
      <c r="F246" s="101">
        <v>366943</v>
      </c>
      <c r="G246" s="57"/>
      <c r="H246" s="4" t="s">
        <v>6672</v>
      </c>
      <c r="I246" s="4" t="s">
        <v>2510</v>
      </c>
      <c r="J246" s="4" t="s">
        <v>2046</v>
      </c>
      <c r="K246" s="54"/>
      <c r="L246" s="57"/>
      <c r="M246" s="57"/>
      <c r="N246" s="4" t="s">
        <v>2540</v>
      </c>
      <c r="O246" s="4">
        <v>935558286</v>
      </c>
      <c r="P246" s="4">
        <v>935558287</v>
      </c>
      <c r="Q246" s="767"/>
      <c r="R246" s="767"/>
      <c r="S246" s="4"/>
      <c r="T246" s="4" t="s">
        <v>3447</v>
      </c>
      <c r="U246" s="4">
        <v>1041918996</v>
      </c>
      <c r="V246" s="4">
        <v>1041918996</v>
      </c>
      <c r="W246" s="4"/>
      <c r="X246" s="4" t="s">
        <v>2540</v>
      </c>
      <c r="Y246" s="4">
        <v>366943</v>
      </c>
      <c r="Z246" s="35"/>
      <c r="AA246" s="1" t="str">
        <f>IFERROR(VLOOKUP(D:D,[1]Габариты!$A:$I,9,0),"")</f>
        <v>Основной ассортимент</v>
      </c>
      <c r="AB246" s="6" t="str">
        <f>IFERROR(VLOOKUP(D:D,[1]Габариты!$A:$D,4,0),"")</f>
        <v>СТЕЛЛАЖИ</v>
      </c>
      <c r="AC246" s="39">
        <f t="shared" si="49"/>
        <v>366943</v>
      </c>
      <c r="AD246" s="13" t="str">
        <f t="shared" si="48"/>
        <v>FBO</v>
      </c>
    </row>
    <row r="247" spans="1:30" s="6" customFormat="1" ht="20.100000000000001" customHeight="1" outlineLevel="1" x14ac:dyDescent="0.25">
      <c r="A247" s="635" t="s">
        <v>1923</v>
      </c>
      <c r="B247" s="25"/>
      <c r="C247" s="13" t="s">
        <v>2582</v>
      </c>
      <c r="D247" s="39">
        <v>366944</v>
      </c>
      <c r="E247" s="4">
        <v>20</v>
      </c>
      <c r="F247" s="101">
        <v>366944</v>
      </c>
      <c r="G247" s="57"/>
      <c r="H247" s="4" t="s">
        <v>6673</v>
      </c>
      <c r="I247" s="4" t="s">
        <v>2511</v>
      </c>
      <c r="J247" s="4" t="s">
        <v>2047</v>
      </c>
      <c r="K247" s="54"/>
      <c r="L247" s="57"/>
      <c r="M247" s="57"/>
      <c r="N247" s="4" t="s">
        <v>2541</v>
      </c>
      <c r="O247" s="4">
        <v>935576987</v>
      </c>
      <c r="P247" s="4">
        <v>935576988</v>
      </c>
      <c r="Q247" s="767"/>
      <c r="R247" s="767"/>
      <c r="S247" s="4"/>
      <c r="T247" s="4" t="s">
        <v>3448</v>
      </c>
      <c r="U247" s="4">
        <v>1041932711</v>
      </c>
      <c r="V247" s="4">
        <v>1041932711</v>
      </c>
      <c r="W247" s="4"/>
      <c r="X247" s="4" t="s">
        <v>2541</v>
      </c>
      <c r="Y247" s="4">
        <v>366944</v>
      </c>
      <c r="Z247" s="35"/>
      <c r="AA247" s="1" t="str">
        <f>IFERROR(VLOOKUP(D:D,[1]Габариты!$A:$I,9,0),"")</f>
        <v>Основной ассортимент</v>
      </c>
      <c r="AB247" s="6" t="str">
        <f>IFERROR(VLOOKUP(D:D,[1]Габариты!$A:$D,4,0),"")</f>
        <v>СТЕЛЛАЖИ</v>
      </c>
      <c r="AC247" s="39">
        <f t="shared" si="49"/>
        <v>366944</v>
      </c>
      <c r="AD247" s="13" t="str">
        <f t="shared" si="48"/>
        <v>FBO</v>
      </c>
    </row>
    <row r="248" spans="1:30" s="6" customFormat="1" ht="20.100000000000001" customHeight="1" outlineLevel="1" x14ac:dyDescent="0.25">
      <c r="A248" s="635" t="s">
        <v>1924</v>
      </c>
      <c r="B248" s="25"/>
      <c r="C248" s="13" t="s">
        <v>2582</v>
      </c>
      <c r="D248" s="39">
        <v>366945</v>
      </c>
      <c r="E248" s="4">
        <v>20</v>
      </c>
      <c r="F248" s="101">
        <v>366945</v>
      </c>
      <c r="G248" s="57"/>
      <c r="H248" s="4" t="s">
        <v>6674</v>
      </c>
      <c r="I248" s="4" t="s">
        <v>2512</v>
      </c>
      <c r="J248" s="4" t="s">
        <v>2048</v>
      </c>
      <c r="K248" s="54"/>
      <c r="L248" s="57"/>
      <c r="M248" s="57"/>
      <c r="N248" s="4" t="s">
        <v>2542</v>
      </c>
      <c r="O248" s="4">
        <v>935584253</v>
      </c>
      <c r="P248" s="4">
        <v>935584252</v>
      </c>
      <c r="Q248" s="767"/>
      <c r="R248" s="767"/>
      <c r="S248" s="4"/>
      <c r="T248" s="4" t="s">
        <v>3449</v>
      </c>
      <c r="U248" s="4">
        <v>1041934108</v>
      </c>
      <c r="V248" s="4">
        <v>1041934108</v>
      </c>
      <c r="W248" s="4"/>
      <c r="X248" s="4" t="s">
        <v>2542</v>
      </c>
      <c r="Y248" s="4">
        <v>366945</v>
      </c>
      <c r="Z248" s="35"/>
      <c r="AA248" s="1" t="str">
        <f>IFERROR(VLOOKUP(D:D,[1]Габариты!$A:$I,9,0),"")</f>
        <v>Основной ассортимент</v>
      </c>
      <c r="AB248" s="6" t="str">
        <f>IFERROR(VLOOKUP(D:D,[1]Габариты!$A:$D,4,0),"")</f>
        <v>СТЕЛЛАЖИ</v>
      </c>
      <c r="AC248" s="39">
        <f t="shared" si="49"/>
        <v>366945</v>
      </c>
      <c r="AD248" s="13" t="str">
        <f t="shared" si="48"/>
        <v>FBO</v>
      </c>
    </row>
    <row r="249" spans="1:30" s="6" customFormat="1" ht="20.100000000000001" customHeight="1" outlineLevel="1" x14ac:dyDescent="0.25">
      <c r="A249" s="635" t="s">
        <v>1925</v>
      </c>
      <c r="B249" s="25"/>
      <c r="C249" s="13" t="s">
        <v>2582</v>
      </c>
      <c r="D249" s="39">
        <v>366946</v>
      </c>
      <c r="E249" s="4">
        <v>20</v>
      </c>
      <c r="F249" s="101">
        <v>366946</v>
      </c>
      <c r="G249" s="57"/>
      <c r="H249" s="4" t="s">
        <v>6675</v>
      </c>
      <c r="I249" s="4" t="s">
        <v>2513</v>
      </c>
      <c r="J249" s="4" t="s">
        <v>2049</v>
      </c>
      <c r="K249" s="54"/>
      <c r="L249" s="57"/>
      <c r="M249" s="57"/>
      <c r="N249" s="4" t="s">
        <v>2543</v>
      </c>
      <c r="O249" s="4">
        <v>935603611</v>
      </c>
      <c r="P249" s="4">
        <v>935603613</v>
      </c>
      <c r="Q249" s="767"/>
      <c r="R249" s="767"/>
      <c r="S249" s="4"/>
      <c r="T249" s="4" t="s">
        <v>3450</v>
      </c>
      <c r="U249" s="4">
        <v>1041938638</v>
      </c>
      <c r="V249" s="4">
        <v>1041938638</v>
      </c>
      <c r="W249" s="4"/>
      <c r="X249" s="4" t="s">
        <v>2543</v>
      </c>
      <c r="Y249" s="4">
        <v>366946</v>
      </c>
      <c r="Z249" s="35"/>
      <c r="AA249" s="1" t="str">
        <f>IFERROR(VLOOKUP(D:D,[1]Габариты!$A:$I,9,0),"")</f>
        <v>Основной ассортимент</v>
      </c>
      <c r="AB249" s="6" t="str">
        <f>IFERROR(VLOOKUP(D:D,[1]Габариты!$A:$D,4,0),"")</f>
        <v>СТЕЛЛАЖИ</v>
      </c>
      <c r="AC249" s="39">
        <f t="shared" si="49"/>
        <v>366946</v>
      </c>
      <c r="AD249" s="13" t="str">
        <f t="shared" si="48"/>
        <v>FBO</v>
      </c>
    </row>
    <row r="250" spans="1:30" s="6" customFormat="1" ht="20.100000000000001" customHeight="1" outlineLevel="1" x14ac:dyDescent="0.25">
      <c r="A250" s="633" t="s">
        <v>3928</v>
      </c>
      <c r="B250" s="25"/>
      <c r="C250" s="13" t="s">
        <v>2582</v>
      </c>
      <c r="D250" s="39" t="s">
        <v>3929</v>
      </c>
      <c r="E250" s="4">
        <v>20</v>
      </c>
      <c r="F250" s="101" t="s">
        <v>3929</v>
      </c>
      <c r="G250" s="57"/>
      <c r="H250" s="4" t="s">
        <v>6676</v>
      </c>
      <c r="I250" s="4" t="s">
        <v>4057</v>
      </c>
      <c r="J250" s="4" t="s">
        <v>3989</v>
      </c>
      <c r="K250" s="54"/>
      <c r="L250" s="57"/>
      <c r="M250" s="57"/>
      <c r="N250" s="4" t="s">
        <v>3940</v>
      </c>
      <c r="O250" s="4">
        <v>1446454414</v>
      </c>
      <c r="P250" s="4">
        <v>1446454414</v>
      </c>
      <c r="Q250" s="767"/>
      <c r="R250" s="767"/>
      <c r="S250" s="4"/>
      <c r="T250" s="4"/>
      <c r="U250" s="4"/>
      <c r="V250" s="4"/>
      <c r="W250" s="4"/>
      <c r="X250" s="4" t="s">
        <v>3940</v>
      </c>
      <c r="Y250" s="4" t="s">
        <v>4066</v>
      </c>
      <c r="Z250" s="35"/>
      <c r="AA250" s="1" t="str">
        <f>IFERROR(VLOOKUP(D:D,[1]Габариты!$A:$I,9,0),"")</f>
        <v>Основной ассортимент</v>
      </c>
      <c r="AB250" s="6" t="str">
        <f>IFERROR(VLOOKUP(D:D,[1]Габариты!$A:$D,4,0),"")</f>
        <v>СТЕЛЛАЖИ</v>
      </c>
      <c r="AC250" s="39" t="str">
        <f t="shared" si="49"/>
        <v>366941.09/01</v>
      </c>
      <c r="AD250" s="13" t="str">
        <f t="shared" si="48"/>
        <v>FBO</v>
      </c>
    </row>
    <row r="251" spans="1:30" s="6" customFormat="1" ht="20.100000000000001" customHeight="1" outlineLevel="1" x14ac:dyDescent="0.25">
      <c r="A251" s="665" t="s">
        <v>261</v>
      </c>
      <c r="B251" s="2"/>
      <c r="C251" s="13" t="s">
        <v>2582</v>
      </c>
      <c r="D251" s="39">
        <v>3018</v>
      </c>
      <c r="E251" s="4">
        <v>18</v>
      </c>
      <c r="F251" s="101">
        <v>3018</v>
      </c>
      <c r="G251" s="57" t="s">
        <v>4954</v>
      </c>
      <c r="H251" s="4" t="s">
        <v>6677</v>
      </c>
      <c r="I251" s="4" t="s">
        <v>1238</v>
      </c>
      <c r="J251" s="4" t="s">
        <v>1845</v>
      </c>
      <c r="K251" s="54" t="s">
        <v>2247</v>
      </c>
      <c r="L251" s="57">
        <v>284254995</v>
      </c>
      <c r="M251" s="57">
        <v>284254995</v>
      </c>
      <c r="N251" s="4" t="s">
        <v>737</v>
      </c>
      <c r="O251" s="4">
        <v>284256649</v>
      </c>
      <c r="P251" s="4">
        <v>284256650</v>
      </c>
      <c r="Q251" s="767" t="s">
        <v>2791</v>
      </c>
      <c r="R251" s="767">
        <v>384090756</v>
      </c>
      <c r="S251" s="4">
        <v>384090755</v>
      </c>
      <c r="T251" s="4" t="s">
        <v>4213</v>
      </c>
      <c r="U251" s="4">
        <v>956929570</v>
      </c>
      <c r="V251" s="4">
        <v>956929570</v>
      </c>
      <c r="W251" s="4" t="s">
        <v>2247</v>
      </c>
      <c r="X251" s="4" t="s">
        <v>737</v>
      </c>
      <c r="Y251" s="4">
        <v>3018</v>
      </c>
      <c r="Z251" s="35"/>
      <c r="AA251" s="1" t="str">
        <f>IFERROR(VLOOKUP(D:D,[1]Габариты!$A:$I,9,0),"")</f>
        <v>Основной ассортимент</v>
      </c>
      <c r="AB251" s="6" t="str">
        <f>IFERROR(VLOOKUP(D:D,[1]Габариты!$A:$D,4,0),"")</f>
        <v>СТЕЛЛАЖИ</v>
      </c>
      <c r="AC251" s="39">
        <f t="shared" si="49"/>
        <v>3018</v>
      </c>
      <c r="AD251" s="13" t="str">
        <f t="shared" si="48"/>
        <v>FBO</v>
      </c>
    </row>
    <row r="252" spans="1:30" s="6" customFormat="1" ht="20.100000000000001" customHeight="1" outlineLevel="1" x14ac:dyDescent="0.25">
      <c r="A252" s="665" t="s">
        <v>262</v>
      </c>
      <c r="B252" s="2"/>
      <c r="C252" s="13" t="s">
        <v>2582</v>
      </c>
      <c r="D252" s="39">
        <v>3019</v>
      </c>
      <c r="E252" s="4">
        <v>18</v>
      </c>
      <c r="F252" s="101">
        <v>3019</v>
      </c>
      <c r="G252" s="57" t="s">
        <v>4955</v>
      </c>
      <c r="H252" s="4" t="s">
        <v>6678</v>
      </c>
      <c r="I252" s="4" t="s">
        <v>1239</v>
      </c>
      <c r="J252" s="4" t="s">
        <v>1846</v>
      </c>
      <c r="K252" s="54" t="s">
        <v>2248</v>
      </c>
      <c r="L252" s="57">
        <v>282819066</v>
      </c>
      <c r="M252" s="57">
        <v>282819066</v>
      </c>
      <c r="N252" s="4" t="s">
        <v>738</v>
      </c>
      <c r="O252" s="4">
        <v>283039786</v>
      </c>
      <c r="P252" s="4">
        <v>283039789</v>
      </c>
      <c r="Q252" s="767" t="s">
        <v>2792</v>
      </c>
      <c r="R252" s="767">
        <v>362562378</v>
      </c>
      <c r="S252" s="4">
        <v>362562377</v>
      </c>
      <c r="T252" s="4" t="s">
        <v>3123</v>
      </c>
      <c r="U252" s="4">
        <v>956929573</v>
      </c>
      <c r="V252" s="4">
        <v>956929573</v>
      </c>
      <c r="W252" s="4" t="s">
        <v>2248</v>
      </c>
      <c r="X252" s="4" t="s">
        <v>738</v>
      </c>
      <c r="Y252" s="4">
        <v>3019</v>
      </c>
      <c r="Z252" s="35"/>
      <c r="AA252" s="1" t="str">
        <f>IFERROR(VLOOKUP(D:D,[1]Габариты!$A:$I,9,0),"")</f>
        <v>Основной ассортимент</v>
      </c>
      <c r="AB252" s="6" t="str">
        <f>IFERROR(VLOOKUP(D:D,[1]Габариты!$A:$D,4,0),"")</f>
        <v>СТЕЛЛАЖИ</v>
      </c>
      <c r="AC252" s="39">
        <f t="shared" si="49"/>
        <v>3019</v>
      </c>
      <c r="AD252" s="13" t="str">
        <f t="shared" si="48"/>
        <v>FBO</v>
      </c>
    </row>
    <row r="253" spans="1:30" s="6" customFormat="1" ht="20.100000000000001" customHeight="1" outlineLevel="1" x14ac:dyDescent="0.25">
      <c r="A253" s="665" t="s">
        <v>31</v>
      </c>
      <c r="B253" s="2"/>
      <c r="C253" s="13" t="s">
        <v>2582</v>
      </c>
      <c r="D253" s="39">
        <v>3020</v>
      </c>
      <c r="E253" s="4">
        <v>18</v>
      </c>
      <c r="F253" s="101">
        <v>3020</v>
      </c>
      <c r="G253" s="57" t="s">
        <v>4956</v>
      </c>
      <c r="H253" s="4" t="s">
        <v>6679</v>
      </c>
      <c r="I253" s="4" t="s">
        <v>1240</v>
      </c>
      <c r="J253" s="4" t="s">
        <v>1847</v>
      </c>
      <c r="K253" s="54" t="s">
        <v>2249</v>
      </c>
      <c r="L253" s="57">
        <v>293895072</v>
      </c>
      <c r="M253" s="57">
        <v>293895072</v>
      </c>
      <c r="N253" s="4" t="s">
        <v>739</v>
      </c>
      <c r="O253" s="4">
        <v>291740493</v>
      </c>
      <c r="P253" s="4">
        <v>291740516</v>
      </c>
      <c r="Q253" s="767"/>
      <c r="R253" s="767"/>
      <c r="S253" s="4"/>
      <c r="T253" s="4" t="s">
        <v>3324</v>
      </c>
      <c r="U253" s="4">
        <v>956929577</v>
      </c>
      <c r="V253" s="4">
        <v>956929577</v>
      </c>
      <c r="W253" s="4" t="s">
        <v>2249</v>
      </c>
      <c r="X253" s="4" t="s">
        <v>739</v>
      </c>
      <c r="Y253" s="4">
        <v>3020</v>
      </c>
      <c r="Z253" s="35"/>
      <c r="AA253" s="1" t="str">
        <f>IFERROR(VLOOKUP(D:D,[1]Габариты!$A:$I,9,0),"")</f>
        <v>Основной ассортимент</v>
      </c>
      <c r="AB253" s="6" t="str">
        <f>IFERROR(VLOOKUP(D:D,[1]Габариты!$A:$D,4,0),"")</f>
        <v>СТЕЛЛАЖИ</v>
      </c>
      <c r="AC253" s="39">
        <f t="shared" si="49"/>
        <v>3020</v>
      </c>
      <c r="AD253" s="13" t="str">
        <f t="shared" si="48"/>
        <v>FBO</v>
      </c>
    </row>
    <row r="254" spans="1:30" s="6" customFormat="1" ht="20.100000000000001" customHeight="1" outlineLevel="1" x14ac:dyDescent="0.25">
      <c r="A254" s="635" t="s">
        <v>1669</v>
      </c>
      <c r="B254" s="25"/>
      <c r="C254" s="13" t="s">
        <v>2582</v>
      </c>
      <c r="D254" s="39">
        <v>3377</v>
      </c>
      <c r="E254" s="4">
        <v>18</v>
      </c>
      <c r="F254" s="101">
        <v>3577</v>
      </c>
      <c r="G254" s="57" t="s">
        <v>5089</v>
      </c>
      <c r="H254" s="4" t="s">
        <v>6680</v>
      </c>
      <c r="I254" s="4" t="s">
        <v>3273</v>
      </c>
      <c r="J254" s="4" t="s">
        <v>3109</v>
      </c>
      <c r="K254" s="54" t="s">
        <v>7900</v>
      </c>
      <c r="L254" s="57">
        <v>1141510053</v>
      </c>
      <c r="M254" s="57">
        <v>1141510053</v>
      </c>
      <c r="N254" s="4" t="s">
        <v>1705</v>
      </c>
      <c r="O254" s="4">
        <v>823037949</v>
      </c>
      <c r="P254" s="4">
        <v>823037948</v>
      </c>
      <c r="Q254" s="767"/>
      <c r="R254" s="767"/>
      <c r="S254" s="4"/>
      <c r="T254" s="4" t="s">
        <v>3330</v>
      </c>
      <c r="U254" s="4">
        <v>956929588</v>
      </c>
      <c r="V254" s="4">
        <v>956929588</v>
      </c>
      <c r="W254" s="4"/>
      <c r="X254" s="4" t="s">
        <v>1705</v>
      </c>
      <c r="Y254" s="4">
        <v>3377</v>
      </c>
      <c r="Z254" s="35"/>
      <c r="AA254" s="1" t="str">
        <f>IFERROR(VLOOKUP(D:D,[1]Габариты!$A:$I,9,0),"")</f>
        <v>Основной ассортимент</v>
      </c>
      <c r="AB254" s="6" t="str">
        <f>IFERROR(VLOOKUP(D:D,[1]Габариты!$A:$D,4,0),"")</f>
        <v>СТЕЛЛАЖИ</v>
      </c>
      <c r="AC254" s="39">
        <f t="shared" si="49"/>
        <v>3377</v>
      </c>
      <c r="AD254" s="13" t="str">
        <f t="shared" si="48"/>
        <v>FBO</v>
      </c>
    </row>
    <row r="255" spans="1:30" s="6" customFormat="1" ht="20.100000000000001" customHeight="1" outlineLevel="1" x14ac:dyDescent="0.25">
      <c r="A255" s="635" t="s">
        <v>1670</v>
      </c>
      <c r="B255" s="25"/>
      <c r="C255" s="13" t="s">
        <v>2582</v>
      </c>
      <c r="D255" s="39">
        <v>3378</v>
      </c>
      <c r="E255" s="4">
        <v>18</v>
      </c>
      <c r="F255" s="101">
        <v>3576</v>
      </c>
      <c r="G255" s="402" t="s">
        <v>7460</v>
      </c>
      <c r="H255" s="4" t="s">
        <v>6681</v>
      </c>
      <c r="I255" s="4" t="s">
        <v>3274</v>
      </c>
      <c r="J255" s="4" t="s">
        <v>3108</v>
      </c>
      <c r="K255" s="403" t="s">
        <v>7466</v>
      </c>
      <c r="L255" s="57">
        <v>1141523311</v>
      </c>
      <c r="M255" s="57">
        <v>1141523311</v>
      </c>
      <c r="N255" s="4" t="s">
        <v>1706</v>
      </c>
      <c r="O255" s="4">
        <v>823040140</v>
      </c>
      <c r="P255" s="4">
        <v>823040139</v>
      </c>
      <c r="Q255" s="767"/>
      <c r="R255" s="767"/>
      <c r="S255" s="4"/>
      <c r="T255" s="4" t="s">
        <v>3331</v>
      </c>
      <c r="U255" s="4">
        <v>956929951</v>
      </c>
      <c r="V255" s="4">
        <v>956929951</v>
      </c>
      <c r="W255" s="4"/>
      <c r="X255" s="4" t="s">
        <v>1706</v>
      </c>
      <c r="Y255" s="4">
        <v>3378</v>
      </c>
      <c r="Z255" s="35"/>
      <c r="AA255" s="1" t="str">
        <f>IFERROR(VLOOKUP(D:D,[1]Габариты!$A:$I,9,0),"")</f>
        <v>Основной ассортимент</v>
      </c>
      <c r="AB255" s="6" t="str">
        <f>IFERROR(VLOOKUP(D:D,[1]Габариты!$A:$D,4,0),"")</f>
        <v>СТЕЛЛАЖИ</v>
      </c>
      <c r="AC255" s="39">
        <f t="shared" si="49"/>
        <v>3378</v>
      </c>
      <c r="AD255" s="13" t="str">
        <f t="shared" si="48"/>
        <v>FBO</v>
      </c>
    </row>
    <row r="256" spans="1:30" s="6" customFormat="1" ht="20.100000000000001" customHeight="1" outlineLevel="1" x14ac:dyDescent="0.25">
      <c r="A256" s="635" t="s">
        <v>3485</v>
      </c>
      <c r="B256" s="25"/>
      <c r="C256" s="13" t="s">
        <v>2582</v>
      </c>
      <c r="D256" s="39">
        <v>3585</v>
      </c>
      <c r="E256" s="4">
        <v>18</v>
      </c>
      <c r="F256" s="101">
        <v>3585</v>
      </c>
      <c r="G256" s="57"/>
      <c r="H256" s="4" t="s">
        <v>6682</v>
      </c>
      <c r="I256" s="4" t="s">
        <v>3520</v>
      </c>
      <c r="J256" s="4" t="s">
        <v>3519</v>
      </c>
      <c r="K256" s="54"/>
      <c r="L256" s="57"/>
      <c r="M256" s="57"/>
      <c r="N256" s="4" t="s">
        <v>3526</v>
      </c>
      <c r="O256" s="4">
        <v>1050752546</v>
      </c>
      <c r="P256" s="4">
        <v>1050752547</v>
      </c>
      <c r="Q256" s="767" t="s">
        <v>3522</v>
      </c>
      <c r="R256" s="767">
        <v>1050767404</v>
      </c>
      <c r="S256" s="4">
        <v>1050767403</v>
      </c>
      <c r="T256" s="4" t="s">
        <v>3534</v>
      </c>
      <c r="U256" s="4"/>
      <c r="V256" s="4"/>
      <c r="W256" s="4"/>
      <c r="X256" s="4" t="s">
        <v>3526</v>
      </c>
      <c r="Y256" s="4">
        <v>3585</v>
      </c>
      <c r="Z256" s="35"/>
      <c r="AA256" s="1" t="str">
        <f>IFERROR(VLOOKUP(D:D,[1]Габариты!$A:$I,9,0),"")</f>
        <v>Основной ассортимент</v>
      </c>
      <c r="AB256" s="6" t="str">
        <f>IFERROR(VLOOKUP(D:D,[1]Габариты!$A:$D,4,0),"")</f>
        <v>СТЕЛЛАЖИ</v>
      </c>
      <c r="AC256" s="39">
        <f t="shared" si="49"/>
        <v>3585</v>
      </c>
      <c r="AD256" s="13" t="str">
        <f t="shared" si="48"/>
        <v>FBO</v>
      </c>
    </row>
    <row r="257" spans="1:30" s="6" customFormat="1" ht="20.100000000000001" customHeight="1" outlineLevel="1" x14ac:dyDescent="0.25">
      <c r="A257" s="667" t="s">
        <v>8284</v>
      </c>
      <c r="B257" s="377"/>
      <c r="C257" s="378" t="s">
        <v>2582</v>
      </c>
      <c r="D257" s="379">
        <v>3577</v>
      </c>
      <c r="E257" s="380">
        <v>18</v>
      </c>
      <c r="F257" s="381"/>
      <c r="G257" s="382"/>
      <c r="H257" s="380"/>
      <c r="I257" s="380"/>
      <c r="J257" s="380"/>
      <c r="K257" s="381"/>
      <c r="L257" s="382"/>
      <c r="M257" s="382"/>
      <c r="N257" s="380"/>
      <c r="O257" s="380"/>
      <c r="P257" s="380"/>
      <c r="Q257" s="805"/>
      <c r="R257" s="805"/>
      <c r="S257" s="380"/>
      <c r="T257" s="380"/>
      <c r="U257" s="380"/>
      <c r="V257" s="380"/>
      <c r="W257" s="380"/>
      <c r="X257" s="380"/>
      <c r="Y257" s="380"/>
      <c r="Z257" s="35"/>
      <c r="AA257" s="1" t="str">
        <f>IFERROR(VLOOKUP(D:D,[1]Габариты!$A:$I,9,0),"")</f>
        <v>Основной ассортимент</v>
      </c>
      <c r="AB257" s="6" t="str">
        <f>IFERROR(VLOOKUP(D:D,[1]Габариты!$A:$D,4,0),"")</f>
        <v>СТЕЛЛАЖИ</v>
      </c>
      <c r="AC257" s="39">
        <f t="shared" si="49"/>
        <v>3577</v>
      </c>
      <c r="AD257" s="13" t="str">
        <f t="shared" si="48"/>
        <v>FBO</v>
      </c>
    </row>
    <row r="258" spans="1:30" s="6" customFormat="1" ht="20.100000000000001" customHeight="1" outlineLevel="1" x14ac:dyDescent="0.25">
      <c r="A258" s="635" t="s">
        <v>4387</v>
      </c>
      <c r="B258" s="25"/>
      <c r="C258" s="13" t="s">
        <v>2582</v>
      </c>
      <c r="D258" s="39">
        <v>30018</v>
      </c>
      <c r="E258" s="4">
        <v>18</v>
      </c>
      <c r="F258" s="101">
        <v>30018</v>
      </c>
      <c r="G258" s="57"/>
      <c r="H258" s="4" t="s">
        <v>8025</v>
      </c>
      <c r="I258" s="4"/>
      <c r="J258" s="4"/>
      <c r="K258" s="54"/>
      <c r="L258" s="57"/>
      <c r="M258" s="57"/>
      <c r="N258" s="806" t="s">
        <v>7649</v>
      </c>
      <c r="O258" s="4">
        <v>1735497197</v>
      </c>
      <c r="P258" s="4">
        <v>1735497197</v>
      </c>
      <c r="Q258" s="767"/>
      <c r="R258" s="767"/>
      <c r="S258" s="4"/>
      <c r="T258" s="4"/>
      <c r="U258" s="4"/>
      <c r="V258" s="4"/>
      <c r="W258" s="4"/>
      <c r="X258" s="4"/>
      <c r="Y258" s="4"/>
      <c r="Z258" s="35"/>
      <c r="AA258" s="1" t="str">
        <f>IFERROR(VLOOKUP(D:D,[1]Габариты!$A:$I,9,0),"")</f>
        <v>Основной ассортимент</v>
      </c>
      <c r="AB258" s="6" t="str">
        <f>IFERROR(VLOOKUP(D:D,[1]Габариты!$A:$D,4,0),"")</f>
        <v>СТЕЛЛАЖИ</v>
      </c>
      <c r="AC258" s="39">
        <f t="shared" si="49"/>
        <v>30018</v>
      </c>
      <c r="AD258" s="13" t="str">
        <f t="shared" si="48"/>
        <v>FBO</v>
      </c>
    </row>
    <row r="259" spans="1:30" s="6" customFormat="1" ht="20.100000000000001" customHeight="1" outlineLevel="1" x14ac:dyDescent="0.25">
      <c r="A259" s="635" t="s">
        <v>1535</v>
      </c>
      <c r="B259" s="25"/>
      <c r="C259" s="13" t="s">
        <v>2582</v>
      </c>
      <c r="D259" s="39">
        <v>80317945</v>
      </c>
      <c r="E259" s="4">
        <v>18</v>
      </c>
      <c r="F259" s="101">
        <v>80317945</v>
      </c>
      <c r="G259" s="57"/>
      <c r="H259" s="4" t="s">
        <v>6683</v>
      </c>
      <c r="I259" s="4" t="s">
        <v>2553</v>
      </c>
      <c r="J259" s="4" t="s">
        <v>3164</v>
      </c>
      <c r="K259" s="54"/>
      <c r="L259" s="57"/>
      <c r="M259" s="57"/>
      <c r="N259" s="4" t="s">
        <v>1611</v>
      </c>
      <c r="O259" s="4">
        <v>762565813</v>
      </c>
      <c r="P259" s="4">
        <v>762565814</v>
      </c>
      <c r="Q259" s="767"/>
      <c r="R259" s="767"/>
      <c r="S259" s="4"/>
      <c r="T259" s="4"/>
      <c r="U259" s="4"/>
      <c r="V259" s="4"/>
      <c r="W259" s="4"/>
      <c r="X259" s="4" t="s">
        <v>1611</v>
      </c>
      <c r="Y259" s="4">
        <v>80317945</v>
      </c>
      <c r="Z259" s="35"/>
      <c r="AA259" s="1" t="str">
        <f>IFERROR(VLOOKUP(D:D,[1]Габариты!$A:$I,9,0),"")</f>
        <v>Основной ассортимент</v>
      </c>
      <c r="AB259" s="6" t="str">
        <f>IFERROR(VLOOKUP(D:D,[1]Габариты!$A:$D,4,0),"")</f>
        <v>СТЕЛЛАЖИ</v>
      </c>
      <c r="AC259" s="39">
        <f t="shared" si="49"/>
        <v>80317945</v>
      </c>
      <c r="AD259" s="13" t="str">
        <f t="shared" si="48"/>
        <v>FBO</v>
      </c>
    </row>
    <row r="260" spans="1:30" s="6" customFormat="1" ht="20.100000000000001" customHeight="1" outlineLevel="1" x14ac:dyDescent="0.25">
      <c r="A260" s="635" t="s">
        <v>1529</v>
      </c>
      <c r="B260" s="25"/>
      <c r="C260" s="13" t="s">
        <v>2582</v>
      </c>
      <c r="D260" s="39">
        <v>60217946</v>
      </c>
      <c r="E260" s="4">
        <v>18</v>
      </c>
      <c r="F260" s="101">
        <v>60217946</v>
      </c>
      <c r="G260" s="57"/>
      <c r="H260" s="4" t="s">
        <v>6684</v>
      </c>
      <c r="I260" s="4" t="s">
        <v>2552</v>
      </c>
      <c r="J260" s="4" t="s">
        <v>3163</v>
      </c>
      <c r="K260" s="54"/>
      <c r="L260" s="57"/>
      <c r="M260" s="57"/>
      <c r="N260" s="4" t="s">
        <v>1605</v>
      </c>
      <c r="O260" s="4">
        <v>763403810</v>
      </c>
      <c r="P260" s="4">
        <v>763403811</v>
      </c>
      <c r="Q260" s="767"/>
      <c r="R260" s="767"/>
      <c r="S260" s="4"/>
      <c r="T260" s="4"/>
      <c r="U260" s="4"/>
      <c r="V260" s="4"/>
      <c r="W260" s="4"/>
      <c r="X260" s="4" t="s">
        <v>1605</v>
      </c>
      <c r="Y260" s="4" t="s">
        <v>4066</v>
      </c>
      <c r="Z260" s="35"/>
      <c r="AA260" s="1" t="str">
        <f>IFERROR(VLOOKUP(D:D,[1]Габариты!$A:$I,9,0),"")</f>
        <v>Основной ассортимент</v>
      </c>
      <c r="AB260" s="6" t="str">
        <f>IFERROR(VLOOKUP(D:D,[1]Габариты!$A:$D,4,0),"")</f>
        <v>СТЕЛЛАЖИ</v>
      </c>
      <c r="AC260" s="39">
        <f t="shared" si="49"/>
        <v>60217946</v>
      </c>
      <c r="AD260" s="13" t="str">
        <f t="shared" si="48"/>
        <v>FBO</v>
      </c>
    </row>
    <row r="261" spans="1:30" s="6" customFormat="1" ht="20.100000000000001" customHeight="1" outlineLevel="1" x14ac:dyDescent="0.25">
      <c r="A261" s="635" t="s">
        <v>1526</v>
      </c>
      <c r="B261" s="25"/>
      <c r="C261" s="13" t="s">
        <v>2582</v>
      </c>
      <c r="D261" s="39">
        <v>90044775</v>
      </c>
      <c r="E261" s="4">
        <v>20</v>
      </c>
      <c r="F261" s="101">
        <v>90044775</v>
      </c>
      <c r="G261" s="57"/>
      <c r="H261" s="4" t="s">
        <v>6685</v>
      </c>
      <c r="I261" s="4" t="s">
        <v>2549</v>
      </c>
      <c r="J261" s="4"/>
      <c r="K261" s="54"/>
      <c r="L261" s="57"/>
      <c r="M261" s="57"/>
      <c r="N261" s="4" t="s">
        <v>1602</v>
      </c>
      <c r="O261" s="4">
        <v>763444874</v>
      </c>
      <c r="P261" s="4">
        <v>763444873</v>
      </c>
      <c r="Q261" s="767"/>
      <c r="R261" s="767"/>
      <c r="S261" s="4"/>
      <c r="T261" s="4"/>
      <c r="U261" s="4"/>
      <c r="V261" s="4"/>
      <c r="W261" s="4"/>
      <c r="X261" s="4" t="s">
        <v>1602</v>
      </c>
      <c r="Y261" s="4">
        <v>90044775</v>
      </c>
      <c r="Z261" s="35"/>
      <c r="AA261" s="1" t="str">
        <f>IFERROR(VLOOKUP(D:D,[1]Габариты!$A:$I,9,0),"")</f>
        <v>Основной ассортимент</v>
      </c>
      <c r="AB261" s="6" t="str">
        <f>IFERROR(VLOOKUP(D:D,[1]Габариты!$A:$D,4,0),"")</f>
        <v>СТЕЛЛАЖИ</v>
      </c>
      <c r="AC261" s="39">
        <f t="shared" si="49"/>
        <v>90044775</v>
      </c>
      <c r="AD261" s="13" t="str">
        <f t="shared" si="48"/>
        <v>FBO</v>
      </c>
    </row>
    <row r="262" spans="1:30" s="6" customFormat="1" ht="20.100000000000001" customHeight="1" outlineLevel="1" x14ac:dyDescent="0.25">
      <c r="A262" s="635" t="s">
        <v>1751</v>
      </c>
      <c r="B262" s="25"/>
      <c r="C262" s="13" t="s">
        <v>2582</v>
      </c>
      <c r="D262" s="39">
        <v>90217949</v>
      </c>
      <c r="E262" s="4">
        <v>20</v>
      </c>
      <c r="F262" s="101">
        <v>90217949</v>
      </c>
      <c r="G262" s="57"/>
      <c r="H262" s="4" t="s">
        <v>6686</v>
      </c>
      <c r="I262" s="4" t="s">
        <v>2564</v>
      </c>
      <c r="J262" s="4" t="s">
        <v>3703</v>
      </c>
      <c r="K262" s="54"/>
      <c r="L262" s="57"/>
      <c r="M262" s="57"/>
      <c r="N262" s="4" t="s">
        <v>1760</v>
      </c>
      <c r="O262" s="4">
        <v>858485008</v>
      </c>
      <c r="P262" s="4">
        <v>858485007</v>
      </c>
      <c r="Q262" s="767"/>
      <c r="R262" s="767"/>
      <c r="S262" s="4"/>
      <c r="T262" s="4"/>
      <c r="U262" s="4"/>
      <c r="V262" s="4"/>
      <c r="W262" s="4"/>
      <c r="X262" s="4" t="s">
        <v>1760</v>
      </c>
      <c r="Y262" s="4">
        <v>90217949</v>
      </c>
      <c r="Z262" s="35"/>
      <c r="AA262" s="1" t="str">
        <f>IFERROR(VLOOKUP(D:D,[1]Габариты!$A:$I,9,0),"")</f>
        <v>Основной ассортимент</v>
      </c>
      <c r="AB262" s="6" t="str">
        <f>IFERROR(VLOOKUP(D:D,[1]Габариты!$A:$D,4,0),"")</f>
        <v>СТЕЛЛАЖИ</v>
      </c>
      <c r="AC262" s="39">
        <f t="shared" si="49"/>
        <v>90217949</v>
      </c>
      <c r="AD262" s="13" t="str">
        <f t="shared" si="48"/>
        <v>FBO</v>
      </c>
    </row>
    <row r="263" spans="1:30" s="6" customFormat="1" ht="20.100000000000001" customHeight="1" outlineLevel="1" x14ac:dyDescent="0.25">
      <c r="A263" s="635" t="s">
        <v>1527</v>
      </c>
      <c r="B263" s="25"/>
      <c r="C263" s="13" t="s">
        <v>2582</v>
      </c>
      <c r="D263" s="39">
        <v>90217948</v>
      </c>
      <c r="E263" s="4">
        <v>20</v>
      </c>
      <c r="F263" s="101">
        <v>90217948</v>
      </c>
      <c r="G263" s="57"/>
      <c r="H263" s="4" t="s">
        <v>6687</v>
      </c>
      <c r="I263" s="4" t="s">
        <v>2550</v>
      </c>
      <c r="J263" s="4" t="s">
        <v>3162</v>
      </c>
      <c r="K263" s="54"/>
      <c r="L263" s="57"/>
      <c r="M263" s="57"/>
      <c r="N263" s="4" t="s">
        <v>1603</v>
      </c>
      <c r="O263" s="4">
        <v>763456454</v>
      </c>
      <c r="P263" s="4">
        <v>763456453</v>
      </c>
      <c r="Q263" s="767"/>
      <c r="R263" s="767"/>
      <c r="S263" s="4"/>
      <c r="T263" s="4" t="s">
        <v>3328</v>
      </c>
      <c r="U263" s="4">
        <v>956929916</v>
      </c>
      <c r="V263" s="4">
        <v>956929916</v>
      </c>
      <c r="W263" s="4"/>
      <c r="X263" s="4" t="s">
        <v>1603</v>
      </c>
      <c r="Y263" s="4" t="s">
        <v>4066</v>
      </c>
      <c r="Z263" s="35"/>
      <c r="AA263" s="1" t="str">
        <f>IFERROR(VLOOKUP(D:D,[1]Габариты!$A:$I,9,0),"")</f>
        <v>Основной ассортимент</v>
      </c>
      <c r="AB263" s="6" t="str">
        <f>IFERROR(VLOOKUP(D:D,[1]Габариты!$A:$D,4,0),"")</f>
        <v>СТЕЛЛАЖИ</v>
      </c>
      <c r="AC263" s="39">
        <f t="shared" si="49"/>
        <v>90217948</v>
      </c>
      <c r="AD263" s="13" t="str">
        <f t="shared" si="48"/>
        <v>FBO</v>
      </c>
    </row>
    <row r="264" spans="1:30" s="6" customFormat="1" ht="20.100000000000001" customHeight="1" outlineLevel="1" x14ac:dyDescent="0.25">
      <c r="A264" s="635" t="s">
        <v>1528</v>
      </c>
      <c r="B264" s="25"/>
      <c r="C264" s="13" t="s">
        <v>2582</v>
      </c>
      <c r="D264" s="39">
        <v>90044777</v>
      </c>
      <c r="E264" s="4">
        <v>20</v>
      </c>
      <c r="F264" s="101">
        <v>90044777</v>
      </c>
      <c r="G264" s="57"/>
      <c r="H264" s="4" t="s">
        <v>6688</v>
      </c>
      <c r="I264" s="4" t="s">
        <v>2551</v>
      </c>
      <c r="J264" s="4"/>
      <c r="K264" s="54"/>
      <c r="L264" s="57"/>
      <c r="M264" s="57"/>
      <c r="N264" s="4" t="s">
        <v>1604</v>
      </c>
      <c r="O264" s="4">
        <v>763429528</v>
      </c>
      <c r="P264" s="4">
        <v>763429529</v>
      </c>
      <c r="Q264" s="767"/>
      <c r="R264" s="767"/>
      <c r="S264" s="4"/>
      <c r="T264" s="4"/>
      <c r="U264" s="4"/>
      <c r="V264" s="4"/>
      <c r="W264" s="4"/>
      <c r="X264" s="4" t="s">
        <v>1604</v>
      </c>
      <c r="Y264" s="4">
        <v>90044777</v>
      </c>
      <c r="Z264" s="35"/>
      <c r="AA264" s="1" t="str">
        <f>IFERROR(VLOOKUP(D:D,[1]Габариты!$A:$I,9,0),"")</f>
        <v>Основной ассортимент</v>
      </c>
      <c r="AB264" s="6" t="str">
        <f>IFERROR(VLOOKUP(D:D,[1]Габариты!$A:$D,4,0),"")</f>
        <v>СТЕЛЛАЖИ</v>
      </c>
      <c r="AC264" s="39">
        <f t="shared" si="49"/>
        <v>90044777</v>
      </c>
      <c r="AD264" s="13" t="str">
        <f t="shared" si="48"/>
        <v>FBO</v>
      </c>
    </row>
    <row r="265" spans="1:30" s="6" customFormat="1" ht="20.100000000000001" customHeight="1" outlineLevel="1" x14ac:dyDescent="0.25">
      <c r="A265" s="635" t="s">
        <v>1583</v>
      </c>
      <c r="B265" s="25"/>
      <c r="C265" s="13" t="s">
        <v>2582</v>
      </c>
      <c r="D265" s="39">
        <v>40217946</v>
      </c>
      <c r="E265" s="4">
        <v>18</v>
      </c>
      <c r="F265" s="101">
        <v>40217946</v>
      </c>
      <c r="G265" s="57" t="s">
        <v>5137</v>
      </c>
      <c r="H265" s="4" t="s">
        <v>6689</v>
      </c>
      <c r="I265" s="4" t="s">
        <v>2555</v>
      </c>
      <c r="J265" s="4" t="s">
        <v>3165</v>
      </c>
      <c r="K265" s="54">
        <v>40217946</v>
      </c>
      <c r="L265" s="57">
        <v>1382500348</v>
      </c>
      <c r="M265" s="57">
        <v>1382500348</v>
      </c>
      <c r="N265" s="4" t="s">
        <v>1613</v>
      </c>
      <c r="O265" s="4">
        <v>804906655</v>
      </c>
      <c r="P265" s="4">
        <v>804906654</v>
      </c>
      <c r="Q265" s="767"/>
      <c r="R265" s="767"/>
      <c r="S265" s="4"/>
      <c r="T265" s="4" t="s">
        <v>3329</v>
      </c>
      <c r="U265" s="4">
        <v>956929857</v>
      </c>
      <c r="V265" s="4">
        <v>956929857</v>
      </c>
      <c r="W265" s="4"/>
      <c r="X265" s="4" t="s">
        <v>1613</v>
      </c>
      <c r="Y265" s="4">
        <v>40217946</v>
      </c>
      <c r="Z265" s="35"/>
      <c r="AA265" s="1" t="str">
        <f>IFERROR(VLOOKUP(D:D,[1]Габариты!$A:$I,9,0),"")</f>
        <v>Основной ассортимент</v>
      </c>
      <c r="AB265" s="6" t="str">
        <f>IFERROR(VLOOKUP(D:D,[1]Габариты!$A:$D,4,0),"")</f>
        <v>СТЕЛЛАЖИ</v>
      </c>
      <c r="AC265" s="39">
        <f t="shared" si="49"/>
        <v>40217946</v>
      </c>
      <c r="AD265" s="13" t="str">
        <f t="shared" si="48"/>
        <v>FBO</v>
      </c>
    </row>
    <row r="266" spans="1:30" s="6" customFormat="1" ht="20.100000000000001" customHeight="1" outlineLevel="1" x14ac:dyDescent="0.25">
      <c r="A266" s="635" t="s">
        <v>1585</v>
      </c>
      <c r="B266" s="25"/>
      <c r="C266" s="13" t="s">
        <v>2582</v>
      </c>
      <c r="D266" s="39">
        <v>70217947</v>
      </c>
      <c r="E266" s="4">
        <v>18</v>
      </c>
      <c r="F266" s="101">
        <v>70217947</v>
      </c>
      <c r="G266" s="57"/>
      <c r="H266" s="4" t="s">
        <v>6690</v>
      </c>
      <c r="I266" s="4" t="s">
        <v>2557</v>
      </c>
      <c r="J266" s="4" t="s">
        <v>1856</v>
      </c>
      <c r="K266" s="54"/>
      <c r="L266" s="57"/>
      <c r="M266" s="57"/>
      <c r="N266" s="4" t="s">
        <v>1615</v>
      </c>
      <c r="O266" s="4">
        <v>807167828</v>
      </c>
      <c r="P266" s="4">
        <v>807167829</v>
      </c>
      <c r="Q266" s="767"/>
      <c r="R266" s="767"/>
      <c r="S266" s="4"/>
      <c r="T266" s="4" t="s">
        <v>3021</v>
      </c>
      <c r="U266" s="4">
        <v>891988315</v>
      </c>
      <c r="V266" s="4">
        <v>891988315</v>
      </c>
      <c r="W266" s="4"/>
      <c r="X266" s="4" t="s">
        <v>1615</v>
      </c>
      <c r="Y266" s="4">
        <v>70217947</v>
      </c>
      <c r="Z266" s="35"/>
      <c r="AA266" s="1" t="str">
        <f>IFERROR(VLOOKUP(D:D,[1]Габариты!$A:$I,9,0),"")</f>
        <v>Основной ассортимент</v>
      </c>
      <c r="AB266" s="6" t="str">
        <f>IFERROR(VLOOKUP(D:D,[1]Габариты!$A:$D,4,0),"")</f>
        <v>СТЕЛЛАЖИ</v>
      </c>
      <c r="AC266" s="39">
        <f t="shared" si="49"/>
        <v>70217947</v>
      </c>
      <c r="AD266" s="13" t="str">
        <f t="shared" si="48"/>
        <v>FBO</v>
      </c>
    </row>
    <row r="267" spans="1:30" s="6" customFormat="1" ht="20.100000000000001" customHeight="1" outlineLevel="1" x14ac:dyDescent="0.25">
      <c r="A267" s="635" t="s">
        <v>1755</v>
      </c>
      <c r="B267" s="25"/>
      <c r="C267" s="13" t="s">
        <v>2582</v>
      </c>
      <c r="D267" s="39">
        <v>70217948</v>
      </c>
      <c r="E267" s="4">
        <v>18</v>
      </c>
      <c r="F267" s="101">
        <v>70217948</v>
      </c>
      <c r="G267" s="57"/>
      <c r="H267" s="4" t="s">
        <v>6691</v>
      </c>
      <c r="I267" s="4" t="s">
        <v>2565</v>
      </c>
      <c r="J267" s="4" t="s">
        <v>3605</v>
      </c>
      <c r="K267" s="54"/>
      <c r="L267" s="57"/>
      <c r="M267" s="57"/>
      <c r="N267" s="4" t="s">
        <v>1761</v>
      </c>
      <c r="O267" s="4">
        <v>859759778</v>
      </c>
      <c r="P267" s="4">
        <v>859759779</v>
      </c>
      <c r="Q267" s="767"/>
      <c r="R267" s="767"/>
      <c r="S267" s="4"/>
      <c r="T267" s="4"/>
      <c r="U267" s="4"/>
      <c r="V267" s="4"/>
      <c r="W267" s="4"/>
      <c r="X267" s="4" t="s">
        <v>1761</v>
      </c>
      <c r="Y267" s="4">
        <v>70217948</v>
      </c>
      <c r="Z267" s="35"/>
      <c r="AA267" s="1" t="str">
        <f>IFERROR(VLOOKUP(D:D,[1]Габариты!$A:$I,9,0),"")</f>
        <v>Основной ассортимент</v>
      </c>
      <c r="AB267" s="6" t="str">
        <f>IFERROR(VLOOKUP(D:D,[1]Габариты!$A:$D,4,0),"")</f>
        <v>СТЕЛЛАЖИ</v>
      </c>
      <c r="AC267" s="39">
        <f t="shared" si="49"/>
        <v>70217948</v>
      </c>
      <c r="AD267" s="13" t="str">
        <f t="shared" si="48"/>
        <v>FBO</v>
      </c>
    </row>
    <row r="268" spans="1:30" s="6" customFormat="1" ht="20.100000000000001" customHeight="1" outlineLevel="1" x14ac:dyDescent="0.25">
      <c r="A268" s="635" t="s">
        <v>1582</v>
      </c>
      <c r="B268" s="25"/>
      <c r="C268" s="13" t="s">
        <v>2582</v>
      </c>
      <c r="D268" s="39">
        <v>90044778</v>
      </c>
      <c r="E268" s="4">
        <v>18</v>
      </c>
      <c r="F268" s="101">
        <v>90044778</v>
      </c>
      <c r="G268" s="57"/>
      <c r="H268" s="4" t="s">
        <v>6692</v>
      </c>
      <c r="I268" s="4" t="s">
        <v>2554</v>
      </c>
      <c r="J268" s="4" t="s">
        <v>1854</v>
      </c>
      <c r="K268" s="54"/>
      <c r="L268" s="57"/>
      <c r="M268" s="57"/>
      <c r="N268" s="4" t="s">
        <v>1612</v>
      </c>
      <c r="O268" s="4">
        <v>814328266</v>
      </c>
      <c r="P268" s="4">
        <v>814328265</v>
      </c>
      <c r="Q268" s="767"/>
      <c r="R268" s="767"/>
      <c r="S268" s="4"/>
      <c r="T268" s="4" t="s">
        <v>3019</v>
      </c>
      <c r="U268" s="4">
        <v>892061272</v>
      </c>
      <c r="V268" s="4">
        <v>892061272</v>
      </c>
      <c r="W268" s="4"/>
      <c r="X268" s="4" t="s">
        <v>1612</v>
      </c>
      <c r="Y268" s="4" t="s">
        <v>4066</v>
      </c>
      <c r="Z268" s="35"/>
      <c r="AA268" s="1" t="str">
        <f>IFERROR(VLOOKUP(D:D,[1]Габариты!$A:$I,9,0),"")</f>
        <v>Основной ассортимент</v>
      </c>
      <c r="AB268" s="6" t="str">
        <f>IFERROR(VLOOKUP(D:D,[1]Габариты!$A:$D,4,0),"")</f>
        <v>СТЕЛЛАЖИ</v>
      </c>
      <c r="AC268" s="39">
        <f t="shared" si="49"/>
        <v>90044778</v>
      </c>
      <c r="AD268" s="13" t="str">
        <f t="shared" si="48"/>
        <v>FBO</v>
      </c>
    </row>
    <row r="269" spans="1:30" s="6" customFormat="1" ht="20.100000000000001" customHeight="1" outlineLevel="1" x14ac:dyDescent="0.25">
      <c r="A269" s="635" t="s">
        <v>1584</v>
      </c>
      <c r="B269" s="25"/>
      <c r="C269" s="13" t="s">
        <v>2582</v>
      </c>
      <c r="D269" s="39">
        <v>70217949</v>
      </c>
      <c r="E269" s="4">
        <v>18</v>
      </c>
      <c r="F269" s="101">
        <v>70217949</v>
      </c>
      <c r="G269" s="57"/>
      <c r="H269" s="4" t="s">
        <v>6693</v>
      </c>
      <c r="I269" s="4" t="s">
        <v>2556</v>
      </c>
      <c r="J269" s="4" t="s">
        <v>1855</v>
      </c>
      <c r="K269" s="54"/>
      <c r="L269" s="57"/>
      <c r="M269" s="57"/>
      <c r="N269" s="4" t="s">
        <v>1614</v>
      </c>
      <c r="O269" s="4">
        <v>814310555</v>
      </c>
      <c r="P269" s="4">
        <v>814310554</v>
      </c>
      <c r="Q269" s="767"/>
      <c r="R269" s="767"/>
      <c r="S269" s="4"/>
      <c r="T269" s="4" t="s">
        <v>3020</v>
      </c>
      <c r="U269" s="4">
        <v>892036885</v>
      </c>
      <c r="V269" s="4">
        <v>892036885</v>
      </c>
      <c r="W269" s="4"/>
      <c r="X269" s="4" t="s">
        <v>1614</v>
      </c>
      <c r="Y269" s="4" t="s">
        <v>4066</v>
      </c>
      <c r="Z269" s="35"/>
      <c r="AA269" s="1" t="str">
        <f>IFERROR(VLOOKUP(D:D,[1]Габариты!$A:$I,9,0),"")</f>
        <v>Основной ассортимент</v>
      </c>
      <c r="AB269" s="6" t="str">
        <f>IFERROR(VLOOKUP(D:D,[1]Габариты!$A:$D,4,0),"")</f>
        <v>СТЕЛЛАЖИ</v>
      </c>
      <c r="AC269" s="39">
        <f t="shared" si="49"/>
        <v>70217949</v>
      </c>
      <c r="AD269" s="13" t="str">
        <f t="shared" si="48"/>
        <v>FBO</v>
      </c>
    </row>
    <row r="270" spans="1:30" s="6" customFormat="1" ht="20.100000000000001" customHeight="1" outlineLevel="1" x14ac:dyDescent="0.25">
      <c r="A270" s="635" t="s">
        <v>1586</v>
      </c>
      <c r="B270" s="25"/>
      <c r="C270" s="13" t="s">
        <v>2582</v>
      </c>
      <c r="D270" s="39">
        <v>70044776</v>
      </c>
      <c r="E270" s="4">
        <v>20</v>
      </c>
      <c r="F270" s="101">
        <v>70044776</v>
      </c>
      <c r="G270" s="57"/>
      <c r="H270" s="4" t="s">
        <v>6694</v>
      </c>
      <c r="I270" s="4" t="s">
        <v>2558</v>
      </c>
      <c r="J270" s="4" t="s">
        <v>1857</v>
      </c>
      <c r="K270" s="54"/>
      <c r="L270" s="57"/>
      <c r="M270" s="57"/>
      <c r="N270" s="4" t="s">
        <v>1616</v>
      </c>
      <c r="O270" s="4">
        <v>814313169</v>
      </c>
      <c r="P270" s="4">
        <v>814313168</v>
      </c>
      <c r="Q270" s="767"/>
      <c r="R270" s="767"/>
      <c r="S270" s="4"/>
      <c r="T270" s="4" t="s">
        <v>3022</v>
      </c>
      <c r="U270" s="4">
        <v>892047410</v>
      </c>
      <c r="V270" s="4">
        <v>892047410</v>
      </c>
      <c r="W270" s="4"/>
      <c r="X270" s="4" t="s">
        <v>1616</v>
      </c>
      <c r="Y270" s="4">
        <v>70044776</v>
      </c>
      <c r="Z270" s="35"/>
      <c r="AA270" s="1" t="str">
        <f>IFERROR(VLOOKUP(D:D,[1]Габариты!$A:$I,9,0),"")</f>
        <v>Основной ассортимент</v>
      </c>
      <c r="AB270" s="6" t="str">
        <f>IFERROR(VLOOKUP(D:D,[1]Габариты!$A:$D,4,0),"")</f>
        <v>СТЕЛЛАЖИ</v>
      </c>
      <c r="AC270" s="39">
        <f t="shared" si="49"/>
        <v>70044776</v>
      </c>
      <c r="AD270" s="13" t="str">
        <f t="shared" si="48"/>
        <v>FBO</v>
      </c>
    </row>
    <row r="271" spans="1:30" s="6" customFormat="1" ht="20.100000000000001" customHeight="1" outlineLevel="1" x14ac:dyDescent="0.25">
      <c r="A271" s="635" t="s">
        <v>1569</v>
      </c>
      <c r="B271" s="25"/>
      <c r="C271" s="13" t="s">
        <v>4050</v>
      </c>
      <c r="D271" s="39">
        <v>14014</v>
      </c>
      <c r="E271" s="4">
        <v>13</v>
      </c>
      <c r="F271" s="101"/>
      <c r="G271" s="57"/>
      <c r="H271" s="4" t="s">
        <v>6695</v>
      </c>
      <c r="I271" s="4"/>
      <c r="J271" s="4" t="s">
        <v>3840</v>
      </c>
      <c r="K271" s="54"/>
      <c r="L271" s="57"/>
      <c r="M271" s="57"/>
      <c r="N271" s="4" t="s">
        <v>1618</v>
      </c>
      <c r="O271" s="4">
        <v>800324899</v>
      </c>
      <c r="P271" s="4">
        <v>800324898</v>
      </c>
      <c r="Q271" s="767"/>
      <c r="R271" s="767"/>
      <c r="S271" s="4"/>
      <c r="T271" s="4"/>
      <c r="U271" s="4"/>
      <c r="V271" s="4"/>
      <c r="W271" s="4"/>
      <c r="X271" s="4" t="s">
        <v>1618</v>
      </c>
      <c r="Y271" s="4">
        <v>14014</v>
      </c>
      <c r="Z271" s="35"/>
      <c r="AA271" s="1" t="str">
        <f>IFERROR(VLOOKUP(D:D,[1]Габариты!$A:$I,9,0),"")</f>
        <v>Основной ассортимент</v>
      </c>
      <c r="AB271" s="6" t="str">
        <f>IFERROR(VLOOKUP(D:D,[1]Габариты!$A:$D,4,0),"")</f>
        <v>СТЕЛЛАЖИ</v>
      </c>
      <c r="AC271" s="39">
        <f t="shared" si="49"/>
        <v>14014</v>
      </c>
      <c r="AD271" s="13" t="str">
        <f t="shared" si="48"/>
        <v>СКГТ (ОЗОН)</v>
      </c>
    </row>
    <row r="272" spans="1:30" s="6" customFormat="1" ht="20.100000000000001" customHeight="1" outlineLevel="1" x14ac:dyDescent="0.25">
      <c r="A272" s="635" t="s">
        <v>4092</v>
      </c>
      <c r="B272" s="25"/>
      <c r="C272" s="13" t="s">
        <v>4050</v>
      </c>
      <c r="D272" s="39">
        <v>14026</v>
      </c>
      <c r="E272" s="4">
        <v>13</v>
      </c>
      <c r="F272" s="101"/>
      <c r="G272" s="57"/>
      <c r="H272" s="4" t="s">
        <v>6696</v>
      </c>
      <c r="I272" s="4"/>
      <c r="J272" s="4"/>
      <c r="K272" s="54"/>
      <c r="L272" s="57"/>
      <c r="M272" s="57"/>
      <c r="N272" s="4" t="s">
        <v>4117</v>
      </c>
      <c r="O272" s="4">
        <v>1549594038</v>
      </c>
      <c r="P272" s="4">
        <v>1549594038</v>
      </c>
      <c r="Q272" s="767"/>
      <c r="R272" s="767"/>
      <c r="S272" s="4"/>
      <c r="T272" s="4"/>
      <c r="U272" s="4"/>
      <c r="V272" s="4"/>
      <c r="W272" s="4"/>
      <c r="X272" s="4" t="s">
        <v>4117</v>
      </c>
      <c r="Y272" s="4"/>
      <c r="Z272" s="35"/>
      <c r="AA272" s="1" t="str">
        <f>IFERROR(VLOOKUP(D:D,[1]Габариты!$A:$I,9,0),"")</f>
        <v>Основной ассортимент</v>
      </c>
      <c r="AB272" s="6" t="str">
        <f>IFERROR(VLOOKUP(D:D,[1]Габариты!$A:$D,4,0),"")</f>
        <v>СТЕЛЛАЖИ</v>
      </c>
      <c r="AC272" s="39">
        <f t="shared" si="49"/>
        <v>14026</v>
      </c>
      <c r="AD272" s="13" t="str">
        <f t="shared" si="48"/>
        <v>СКГТ (ОЗОН)</v>
      </c>
    </row>
    <row r="273" spans="1:30" s="6" customFormat="1" ht="20.100000000000001" customHeight="1" outlineLevel="1" x14ac:dyDescent="0.25">
      <c r="A273" s="635" t="s">
        <v>4120</v>
      </c>
      <c r="B273" s="25"/>
      <c r="C273" s="13" t="s">
        <v>4050</v>
      </c>
      <c r="D273" s="39">
        <v>14027</v>
      </c>
      <c r="E273" s="4">
        <v>13</v>
      </c>
      <c r="F273" s="101"/>
      <c r="G273" s="57"/>
      <c r="H273" s="4" t="s">
        <v>6697</v>
      </c>
      <c r="I273" s="4"/>
      <c r="J273" s="4"/>
      <c r="K273" s="54"/>
      <c r="L273" s="57"/>
      <c r="M273" s="57"/>
      <c r="N273" s="4" t="s">
        <v>4118</v>
      </c>
      <c r="O273" s="4">
        <v>1549596874</v>
      </c>
      <c r="P273" s="4">
        <v>1549596874</v>
      </c>
      <c r="Q273" s="767"/>
      <c r="R273" s="767"/>
      <c r="S273" s="4"/>
      <c r="T273" s="4"/>
      <c r="U273" s="4"/>
      <c r="V273" s="4"/>
      <c r="W273" s="4"/>
      <c r="X273" s="4" t="s">
        <v>4118</v>
      </c>
      <c r="Y273" s="4"/>
      <c r="Z273" s="35"/>
      <c r="AA273" s="1" t="str">
        <f>IFERROR(VLOOKUP(D:D,[1]Габариты!$A:$I,9,0),"")</f>
        <v>Основной ассортимент</v>
      </c>
      <c r="AB273" s="6" t="str">
        <f>IFERROR(VLOOKUP(D:D,[1]Габариты!$A:$D,4,0),"")</f>
        <v>СТЕЛЛАЖИ</v>
      </c>
      <c r="AC273" s="39">
        <f t="shared" si="49"/>
        <v>14027</v>
      </c>
      <c r="AD273" s="13" t="str">
        <f t="shared" si="48"/>
        <v>СКГТ (ОЗОН)</v>
      </c>
    </row>
    <row r="274" spans="1:30" s="6" customFormat="1" ht="20.100000000000001" customHeight="1" outlineLevel="1" x14ac:dyDescent="0.25">
      <c r="A274" s="635" t="s">
        <v>4121</v>
      </c>
      <c r="B274" s="25"/>
      <c r="C274" s="13" t="s">
        <v>4050</v>
      </c>
      <c r="D274" s="39">
        <v>14028</v>
      </c>
      <c r="E274" s="4">
        <v>13</v>
      </c>
      <c r="F274" s="101"/>
      <c r="G274" s="57"/>
      <c r="H274" s="4" t="s">
        <v>6698</v>
      </c>
      <c r="I274" s="4"/>
      <c r="J274" s="4"/>
      <c r="K274" s="54"/>
      <c r="L274" s="57"/>
      <c r="M274" s="57"/>
      <c r="N274" s="4" t="s">
        <v>4119</v>
      </c>
      <c r="O274" s="4">
        <v>1549601543</v>
      </c>
      <c r="P274" s="4">
        <v>1549601543</v>
      </c>
      <c r="Q274" s="767"/>
      <c r="R274" s="767"/>
      <c r="S274" s="4"/>
      <c r="T274" s="4"/>
      <c r="U274" s="4"/>
      <c r="V274" s="4"/>
      <c r="W274" s="4"/>
      <c r="X274" s="4" t="s">
        <v>4119</v>
      </c>
      <c r="Y274" s="4"/>
      <c r="Z274" s="35"/>
      <c r="AA274" s="1" t="str">
        <f>IFERROR(VLOOKUP(D:D,[1]Габариты!$A:$I,9,0),"")</f>
        <v>Основной ассортимент</v>
      </c>
      <c r="AB274" s="6" t="str">
        <f>IFERROR(VLOOKUP(D:D,[1]Габариты!$A:$D,4,0),"")</f>
        <v>СТЕЛЛАЖИ</v>
      </c>
      <c r="AC274" s="39">
        <f t="shared" si="49"/>
        <v>14028</v>
      </c>
      <c r="AD274" s="13" t="str">
        <f t="shared" si="48"/>
        <v>СКГТ (ОЗОН)</v>
      </c>
    </row>
    <row r="275" spans="1:30" s="6" customFormat="1" ht="20.100000000000001" customHeight="1" outlineLevel="1" x14ac:dyDescent="0.25">
      <c r="A275" s="633" t="s">
        <v>3786</v>
      </c>
      <c r="B275" s="25"/>
      <c r="C275" s="13" t="s">
        <v>4328</v>
      </c>
      <c r="D275" s="39">
        <v>135557</v>
      </c>
      <c r="E275" s="4">
        <v>15</v>
      </c>
      <c r="F275" s="101"/>
      <c r="G275" s="57"/>
      <c r="H275" s="4" t="s">
        <v>6699</v>
      </c>
      <c r="I275" s="4"/>
      <c r="J275" s="4"/>
      <c r="K275" s="54"/>
      <c r="L275" s="57"/>
      <c r="M275" s="57"/>
      <c r="N275" s="4" t="s">
        <v>3790</v>
      </c>
      <c r="O275" s="4">
        <v>1292010255</v>
      </c>
      <c r="P275" s="4">
        <v>1292010255</v>
      </c>
      <c r="Q275" s="767"/>
      <c r="R275" s="767"/>
      <c r="S275" s="4"/>
      <c r="T275" s="4"/>
      <c r="U275" s="4"/>
      <c r="V275" s="4"/>
      <c r="W275" s="4"/>
      <c r="X275" s="4" t="s">
        <v>3790</v>
      </c>
      <c r="Y275" s="4" t="s">
        <v>4066</v>
      </c>
      <c r="Z275" s="35"/>
      <c r="AA275" s="1" t="str">
        <f>IFERROR(VLOOKUP(D:D,[1]Габариты!$A:$I,9,0),"")</f>
        <v>Основной ассортимент</v>
      </c>
      <c r="AB275" s="6" t="str">
        <f>IFERROR(VLOOKUP(D:D,[1]Габариты!$A:$D,4,0),"")</f>
        <v>СТЕЛЛАЖИ</v>
      </c>
      <c r="AC275" s="39">
        <f t="shared" si="49"/>
        <v>135557</v>
      </c>
      <c r="AD275" s="13" t="str">
        <f t="shared" si="48"/>
        <v>СКГТ</v>
      </c>
    </row>
    <row r="276" spans="1:30" s="6" customFormat="1" ht="20.100000000000001" customHeight="1" outlineLevel="1" x14ac:dyDescent="0.25">
      <c r="A276" s="635" t="s">
        <v>955</v>
      </c>
      <c r="B276" s="25"/>
      <c r="C276" s="13" t="s">
        <v>2582</v>
      </c>
      <c r="D276" s="39">
        <v>9418</v>
      </c>
      <c r="E276" s="4">
        <v>22</v>
      </c>
      <c r="F276" s="101"/>
      <c r="G276" s="57"/>
      <c r="H276" s="4" t="s">
        <v>6700</v>
      </c>
      <c r="I276" s="4"/>
      <c r="J276" s="4" t="s">
        <v>2033</v>
      </c>
      <c r="K276" s="54"/>
      <c r="L276" s="57"/>
      <c r="M276" s="57"/>
      <c r="N276" s="4" t="s">
        <v>997</v>
      </c>
      <c r="O276" s="4">
        <v>551272881</v>
      </c>
      <c r="P276" s="4">
        <v>551272880</v>
      </c>
      <c r="Q276" s="767"/>
      <c r="R276" s="767"/>
      <c r="S276" s="4"/>
      <c r="T276" s="4" t="s">
        <v>3593</v>
      </c>
      <c r="U276" s="4">
        <v>1078184555</v>
      </c>
      <c r="V276" s="4">
        <v>1078184555</v>
      </c>
      <c r="W276" s="4" t="s">
        <v>2303</v>
      </c>
      <c r="X276" s="4" t="s">
        <v>997</v>
      </c>
      <c r="Y276" s="4">
        <v>9418</v>
      </c>
      <c r="Z276" s="35"/>
      <c r="AA276" s="1" t="str">
        <f>IFERROR(VLOOKUP(D:D,[1]Габариты!$A:$I,9,0),"")</f>
        <v>Основной ассортимент</v>
      </c>
      <c r="AB276" s="6" t="str">
        <f>IFERROR(VLOOKUP(D:D,[1]Габариты!$A:$D,4,0),"")</f>
        <v>СТЕЛЛАЖИ</v>
      </c>
      <c r="AC276" s="39">
        <f t="shared" si="49"/>
        <v>9418</v>
      </c>
      <c r="AD276" s="13" t="str">
        <f t="shared" si="48"/>
        <v>FBO</v>
      </c>
    </row>
    <row r="277" spans="1:30" s="6" customFormat="1" ht="20.100000000000001" customHeight="1" outlineLevel="1" x14ac:dyDescent="0.25">
      <c r="A277" s="635" t="s">
        <v>956</v>
      </c>
      <c r="B277" s="25"/>
      <c r="C277" s="13" t="s">
        <v>2582</v>
      </c>
      <c r="D277" s="39">
        <v>9419</v>
      </c>
      <c r="E277" s="4">
        <v>22</v>
      </c>
      <c r="F277" s="101"/>
      <c r="G277" s="57"/>
      <c r="H277" s="4" t="s">
        <v>6701</v>
      </c>
      <c r="I277" s="4"/>
      <c r="J277" s="4" t="s">
        <v>2034</v>
      </c>
      <c r="K277" s="54"/>
      <c r="L277" s="57"/>
      <c r="M277" s="57"/>
      <c r="N277" s="4" t="s">
        <v>998</v>
      </c>
      <c r="O277" s="4">
        <v>551278502</v>
      </c>
      <c r="P277" s="4">
        <v>551278503</v>
      </c>
      <c r="Q277" s="767"/>
      <c r="R277" s="767"/>
      <c r="S277" s="4"/>
      <c r="T277" s="4" t="s">
        <v>3594</v>
      </c>
      <c r="U277" s="4">
        <v>1078216788</v>
      </c>
      <c r="V277" s="4">
        <v>1078216788</v>
      </c>
      <c r="W277" s="4" t="s">
        <v>2304</v>
      </c>
      <c r="X277" s="4" t="s">
        <v>998</v>
      </c>
      <c r="Y277" s="4">
        <v>9419</v>
      </c>
      <c r="Z277" s="35"/>
      <c r="AA277" s="1" t="str">
        <f>IFERROR(VLOOKUP(D:D,[1]Габариты!$A:$I,9,0),"")</f>
        <v>Основной ассортимент</v>
      </c>
      <c r="AB277" s="6" t="str">
        <f>IFERROR(VLOOKUP(D:D,[1]Габариты!$A:$D,4,0),"")</f>
        <v>СТЕЛЛАЖИ</v>
      </c>
      <c r="AC277" s="39">
        <f t="shared" si="49"/>
        <v>9419</v>
      </c>
      <c r="AD277" s="13" t="str">
        <f t="shared" si="48"/>
        <v>FBO</v>
      </c>
    </row>
    <row r="278" spans="1:30" s="6" customFormat="1" ht="20.100000000000001" customHeight="1" outlineLevel="1" x14ac:dyDescent="0.25">
      <c r="A278" s="635" t="s">
        <v>952</v>
      </c>
      <c r="B278" s="25"/>
      <c r="C278" s="13" t="s">
        <v>2582</v>
      </c>
      <c r="D278" s="39">
        <v>9420</v>
      </c>
      <c r="E278" s="4">
        <v>22</v>
      </c>
      <c r="F278" s="101"/>
      <c r="G278" s="57"/>
      <c r="H278" s="4" t="s">
        <v>6702</v>
      </c>
      <c r="I278" s="4"/>
      <c r="J278" s="4" t="s">
        <v>3142</v>
      </c>
      <c r="K278" s="54"/>
      <c r="L278" s="57"/>
      <c r="M278" s="57"/>
      <c r="N278" s="4" t="s">
        <v>999</v>
      </c>
      <c r="O278" s="4">
        <v>551284169</v>
      </c>
      <c r="P278" s="4">
        <v>551284168</v>
      </c>
      <c r="Q278" s="767"/>
      <c r="R278" s="767"/>
      <c r="S278" s="4"/>
      <c r="T278" s="4" t="s">
        <v>3592</v>
      </c>
      <c r="U278" s="4">
        <v>1078162905</v>
      </c>
      <c r="V278" s="4">
        <v>1078162905</v>
      </c>
      <c r="W278" s="4" t="s">
        <v>2302</v>
      </c>
      <c r="X278" s="4" t="s">
        <v>999</v>
      </c>
      <c r="Y278" s="4">
        <v>9420</v>
      </c>
      <c r="Z278" s="35"/>
      <c r="AA278" s="1" t="str">
        <f>IFERROR(VLOOKUP(D:D,[1]Габариты!$A:$I,9,0),"")</f>
        <v>Основной ассортимент</v>
      </c>
      <c r="AB278" s="6" t="str">
        <f>IFERROR(VLOOKUP(D:D,[1]Габариты!$A:$D,4,0),"")</f>
        <v>СТЕЛЛАЖИ</v>
      </c>
      <c r="AC278" s="39">
        <f t="shared" si="49"/>
        <v>9420</v>
      </c>
      <c r="AD278" s="13" t="str">
        <f t="shared" si="48"/>
        <v>FBO</v>
      </c>
    </row>
    <row r="279" spans="1:30" s="6" customFormat="1" ht="20.100000000000001" customHeight="1" outlineLevel="1" x14ac:dyDescent="0.25">
      <c r="A279" s="635" t="s">
        <v>1774</v>
      </c>
      <c r="B279" s="25"/>
      <c r="C279" s="13" t="s">
        <v>2582</v>
      </c>
      <c r="D279" s="39" t="s">
        <v>3670</v>
      </c>
      <c r="E279" s="4">
        <v>22</v>
      </c>
      <c r="F279" s="101"/>
      <c r="G279" s="57"/>
      <c r="H279" s="4"/>
      <c r="I279" s="4"/>
      <c r="J279" s="4"/>
      <c r="K279" s="54"/>
      <c r="L279" s="57"/>
      <c r="M279" s="57"/>
      <c r="N279" s="766"/>
      <c r="O279" s="4"/>
      <c r="P279" s="4"/>
      <c r="Q279" s="767"/>
      <c r="R279" s="767"/>
      <c r="S279" s="4"/>
      <c r="T279" s="4"/>
      <c r="U279" s="4"/>
      <c r="V279" s="4"/>
      <c r="W279" s="4"/>
      <c r="X279" s="4"/>
      <c r="Y279" s="4" t="s">
        <v>4066</v>
      </c>
      <c r="Z279" s="35"/>
      <c r="AA279" s="1" t="str">
        <f>IFERROR(VLOOKUP(D:D,[1]Габариты!$A:$I,9,0),"")</f>
        <v/>
      </c>
      <c r="AB279" s="6" t="str">
        <f>IFERROR(VLOOKUP(D:D,[1]Габариты!$A:$D,4,0),"")</f>
        <v/>
      </c>
      <c r="AC279" s="39" t="str">
        <f t="shared" si="49"/>
        <v>9418/1</v>
      </c>
      <c r="AD279" s="13" t="str">
        <f t="shared" si="48"/>
        <v>FBO</v>
      </c>
    </row>
    <row r="280" spans="1:30" s="6" customFormat="1" ht="20.100000000000001" customHeight="1" outlineLevel="1" x14ac:dyDescent="0.25">
      <c r="A280" s="635" t="s">
        <v>1775</v>
      </c>
      <c r="B280" s="25"/>
      <c r="C280" s="13" t="s">
        <v>2582</v>
      </c>
      <c r="D280" s="39" t="s">
        <v>3671</v>
      </c>
      <c r="E280" s="4">
        <v>22</v>
      </c>
      <c r="F280" s="101"/>
      <c r="G280" s="57"/>
      <c r="H280" s="4"/>
      <c r="I280" s="4"/>
      <c r="J280" s="4"/>
      <c r="K280" s="54"/>
      <c r="L280" s="57"/>
      <c r="M280" s="57"/>
      <c r="N280" s="766"/>
      <c r="O280" s="4"/>
      <c r="P280" s="4"/>
      <c r="Q280" s="767"/>
      <c r="R280" s="767"/>
      <c r="S280" s="4"/>
      <c r="T280" s="4"/>
      <c r="U280" s="4"/>
      <c r="V280" s="4"/>
      <c r="W280" s="4"/>
      <c r="X280" s="4"/>
      <c r="Y280" s="4" t="s">
        <v>4066</v>
      </c>
      <c r="Z280" s="35"/>
      <c r="AA280" s="1" t="str">
        <f>IFERROR(VLOOKUP(D:D,[1]Габариты!$A:$I,9,0),"")</f>
        <v/>
      </c>
      <c r="AB280" s="6" t="str">
        <f>IFERROR(VLOOKUP(D:D,[1]Габариты!$A:$D,4,0),"")</f>
        <v/>
      </c>
      <c r="AC280" s="39" t="str">
        <f t="shared" si="49"/>
        <v>9419/1</v>
      </c>
      <c r="AD280" s="13" t="str">
        <f t="shared" si="48"/>
        <v>FBO</v>
      </c>
    </row>
    <row r="281" spans="1:30" s="6" customFormat="1" ht="20.100000000000001" customHeight="1" outlineLevel="1" x14ac:dyDescent="0.25">
      <c r="A281" s="635" t="s">
        <v>1362</v>
      </c>
      <c r="B281" s="25"/>
      <c r="C281" s="13" t="s">
        <v>2582</v>
      </c>
      <c r="D281" s="39">
        <v>94171</v>
      </c>
      <c r="E281" s="4">
        <v>22</v>
      </c>
      <c r="F281" s="101"/>
      <c r="G281" s="57"/>
      <c r="H281" s="4" t="s">
        <v>6703</v>
      </c>
      <c r="I281" s="4"/>
      <c r="J281" s="4"/>
      <c r="K281" s="54"/>
      <c r="L281" s="57"/>
      <c r="M281" s="57"/>
      <c r="N281" s="4" t="s">
        <v>1387</v>
      </c>
      <c r="O281" s="4">
        <v>697763948</v>
      </c>
      <c r="P281" s="4">
        <v>697763949</v>
      </c>
      <c r="Q281" s="767"/>
      <c r="R281" s="767"/>
      <c r="S281" s="4"/>
      <c r="T281" s="4"/>
      <c r="U281" s="4"/>
      <c r="V281" s="4"/>
      <c r="W281" s="4"/>
      <c r="X281" s="4" t="s">
        <v>1387</v>
      </c>
      <c r="Y281" s="4" t="s">
        <v>4066</v>
      </c>
      <c r="Z281" s="35"/>
      <c r="AA281" s="1" t="str">
        <f>IFERROR(VLOOKUP(D:D,[1]Габариты!$A:$I,9,0),"")</f>
        <v>Основной ассортимент</v>
      </c>
      <c r="AB281" s="6" t="str">
        <f>IFERROR(VLOOKUP(D:D,[1]Габариты!$A:$D,4,0),"")</f>
        <v>СТЕЛЛАЖИ</v>
      </c>
      <c r="AC281" s="39">
        <f t="shared" si="49"/>
        <v>94171</v>
      </c>
      <c r="AD281" s="13" t="str">
        <f t="shared" si="48"/>
        <v>FBO</v>
      </c>
    </row>
    <row r="282" spans="1:30" s="6" customFormat="1" ht="20.100000000000001" customHeight="1" outlineLevel="1" x14ac:dyDescent="0.25">
      <c r="A282" s="635" t="s">
        <v>1363</v>
      </c>
      <c r="B282" s="25"/>
      <c r="C282" s="13" t="s">
        <v>2582</v>
      </c>
      <c r="D282" s="39">
        <v>94172</v>
      </c>
      <c r="E282" s="4">
        <v>22</v>
      </c>
      <c r="F282" s="101"/>
      <c r="G282" s="57"/>
      <c r="H282" s="4" t="s">
        <v>6704</v>
      </c>
      <c r="I282" s="4"/>
      <c r="J282" s="4"/>
      <c r="K282" s="54"/>
      <c r="L282" s="57"/>
      <c r="M282" s="57"/>
      <c r="N282" s="4" t="s">
        <v>1388</v>
      </c>
      <c r="O282" s="4">
        <v>697775223</v>
      </c>
      <c r="P282" s="4">
        <v>697775225</v>
      </c>
      <c r="Q282" s="767"/>
      <c r="R282" s="767"/>
      <c r="S282" s="4"/>
      <c r="T282" s="4"/>
      <c r="U282" s="4"/>
      <c r="V282" s="4"/>
      <c r="W282" s="4"/>
      <c r="X282" s="4" t="s">
        <v>1388</v>
      </c>
      <c r="Y282" s="4" t="s">
        <v>4066</v>
      </c>
      <c r="Z282" s="35"/>
      <c r="AA282" s="1" t="str">
        <f>IFERROR(VLOOKUP(D:D,[1]Габариты!$A:$I,9,0),"")</f>
        <v>Основной ассортимент</v>
      </c>
      <c r="AB282" s="6" t="str">
        <f>IFERROR(VLOOKUP(D:D,[1]Габариты!$A:$D,4,0),"")</f>
        <v>СТЕЛЛАЖИ</v>
      </c>
      <c r="AC282" s="39">
        <f t="shared" si="49"/>
        <v>94172</v>
      </c>
      <c r="AD282" s="13" t="str">
        <f t="shared" si="48"/>
        <v>FBO</v>
      </c>
    </row>
    <row r="283" spans="1:30" s="6" customFormat="1" ht="20.100000000000001" customHeight="1" outlineLevel="1" x14ac:dyDescent="0.25">
      <c r="A283" s="668" t="s">
        <v>8656</v>
      </c>
      <c r="B283" s="546"/>
      <c r="C283" s="13" t="s">
        <v>2582</v>
      </c>
      <c r="D283" s="552">
        <v>94173</v>
      </c>
      <c r="E283" s="4">
        <v>22</v>
      </c>
      <c r="F283" s="549"/>
      <c r="G283" s="550"/>
      <c r="H283" s="548" t="s">
        <v>8655</v>
      </c>
      <c r="I283" s="548"/>
      <c r="J283" s="548"/>
      <c r="K283" s="549"/>
      <c r="L283" s="550"/>
      <c r="M283" s="550"/>
      <c r="N283" s="548" t="s">
        <v>8661</v>
      </c>
      <c r="O283" s="548">
        <v>2168231313</v>
      </c>
      <c r="P283" s="548">
        <v>2168231313</v>
      </c>
      <c r="Q283" s="785"/>
      <c r="R283" s="785"/>
      <c r="S283" s="548"/>
      <c r="T283" s="548"/>
      <c r="U283" s="548"/>
      <c r="V283" s="548"/>
      <c r="W283" s="548"/>
      <c r="X283" s="548"/>
      <c r="Y283" s="548"/>
      <c r="Z283" s="35"/>
      <c r="AA283" s="1" t="str">
        <f>IFERROR(VLOOKUP(D:D,[1]Габариты!$A:$I,9,0),"")</f>
        <v>Основной ассортимент</v>
      </c>
      <c r="AB283" s="6" t="str">
        <f>IFERROR(VLOOKUP(D:D,[1]Габариты!$A:$D,4,0),"")</f>
        <v>СТЕЛЛАЖИ</v>
      </c>
      <c r="AC283" s="552">
        <f t="shared" si="49"/>
        <v>94173</v>
      </c>
      <c r="AD283" s="13" t="str">
        <f t="shared" si="48"/>
        <v>FBO</v>
      </c>
    </row>
    <row r="284" spans="1:30" s="6" customFormat="1" ht="20.100000000000001" customHeight="1" outlineLevel="1" x14ac:dyDescent="0.25">
      <c r="A284" s="635" t="s">
        <v>1773</v>
      </c>
      <c r="B284" s="25"/>
      <c r="C284" s="13" t="s">
        <v>2582</v>
      </c>
      <c r="D284" s="39" t="s">
        <v>3669</v>
      </c>
      <c r="E284" s="4">
        <v>22</v>
      </c>
      <c r="F284" s="101"/>
      <c r="G284" s="57"/>
      <c r="H284" s="4"/>
      <c r="I284" s="4"/>
      <c r="J284" s="4"/>
      <c r="K284" s="54"/>
      <c r="L284" s="57"/>
      <c r="M284" s="57"/>
      <c r="N284" s="766"/>
      <c r="O284" s="4"/>
      <c r="P284" s="4"/>
      <c r="Q284" s="767"/>
      <c r="R284" s="767"/>
      <c r="S284" s="4"/>
      <c r="T284" s="4"/>
      <c r="U284" s="4"/>
      <c r="V284" s="4"/>
      <c r="W284" s="4"/>
      <c r="X284" s="4"/>
      <c r="Y284" s="4" t="s">
        <v>4066</v>
      </c>
      <c r="Z284" s="35"/>
      <c r="AA284" s="1" t="str">
        <f>IFERROR(VLOOKUP(D:D,[1]Габариты!$A:$I,9,0),"")</f>
        <v/>
      </c>
      <c r="AB284" s="6" t="str">
        <f>IFERROR(VLOOKUP(D:D,[1]Габариты!$A:$D,4,0),"")</f>
        <v/>
      </c>
      <c r="AC284" s="39" t="str">
        <f t="shared" si="49"/>
        <v>94171/1</v>
      </c>
      <c r="AD284" s="13" t="str">
        <f t="shared" si="48"/>
        <v>FBO</v>
      </c>
    </row>
    <row r="285" spans="1:30" s="6" customFormat="1" ht="20.100000000000001" customHeight="1" outlineLevel="1" x14ac:dyDescent="0.25">
      <c r="A285" s="635" t="s">
        <v>1756</v>
      </c>
      <c r="B285" s="25"/>
      <c r="C285" s="13" t="s">
        <v>2582</v>
      </c>
      <c r="D285" s="39" t="s">
        <v>3668</v>
      </c>
      <c r="E285" s="4">
        <v>22</v>
      </c>
      <c r="F285" s="101"/>
      <c r="G285" s="57"/>
      <c r="H285" s="4"/>
      <c r="I285" s="4"/>
      <c r="J285" s="4"/>
      <c r="K285" s="54"/>
      <c r="L285" s="57"/>
      <c r="M285" s="57"/>
      <c r="N285" s="766"/>
      <c r="O285" s="4"/>
      <c r="P285" s="4"/>
      <c r="Q285" s="767"/>
      <c r="R285" s="767"/>
      <c r="S285" s="4"/>
      <c r="T285" s="4"/>
      <c r="U285" s="4"/>
      <c r="V285" s="4"/>
      <c r="W285" s="4"/>
      <c r="X285" s="4"/>
      <c r="Y285" s="4" t="s">
        <v>4066</v>
      </c>
      <c r="Z285" s="35"/>
      <c r="AA285" s="1" t="str">
        <f>IFERROR(VLOOKUP(D:D,[1]Габариты!$A:$I,9,0),"")</f>
        <v/>
      </c>
      <c r="AB285" s="6" t="str">
        <f>IFERROR(VLOOKUP(D:D,[1]Габариты!$A:$D,4,0),"")</f>
        <v/>
      </c>
      <c r="AC285" s="39" t="str">
        <f t="shared" si="49"/>
        <v>94172/1</v>
      </c>
      <c r="AD285" s="13" t="str">
        <f t="shared" si="48"/>
        <v>FBO</v>
      </c>
    </row>
    <row r="286" spans="1:30" s="6" customFormat="1" ht="20.100000000000001" customHeight="1" outlineLevel="1" x14ac:dyDescent="0.25">
      <c r="A286" s="633" t="s">
        <v>3911</v>
      </c>
      <c r="B286" s="25"/>
      <c r="C286" s="13" t="s">
        <v>2582</v>
      </c>
      <c r="D286" s="39" t="s">
        <v>3913</v>
      </c>
      <c r="E286" s="4">
        <v>18</v>
      </c>
      <c r="F286" s="101" t="s">
        <v>3913</v>
      </c>
      <c r="G286" s="57"/>
      <c r="H286" s="4" t="s">
        <v>6710</v>
      </c>
      <c r="I286" s="4" t="s">
        <v>4056</v>
      </c>
      <c r="J286" s="4" t="s">
        <v>3988</v>
      </c>
      <c r="K286" s="54"/>
      <c r="L286" s="57"/>
      <c r="M286" s="57"/>
      <c r="N286" s="4" t="s">
        <v>3933</v>
      </c>
      <c r="O286" s="4">
        <v>1427236306</v>
      </c>
      <c r="P286" s="4">
        <v>1427236306</v>
      </c>
      <c r="Q286" s="767"/>
      <c r="R286" s="767"/>
      <c r="S286" s="4"/>
      <c r="T286" s="4"/>
      <c r="U286" s="4"/>
      <c r="V286" s="4"/>
      <c r="W286" s="4"/>
      <c r="X286" s="4" t="s">
        <v>4041</v>
      </c>
      <c r="Y286" s="4" t="s">
        <v>3913</v>
      </c>
      <c r="Z286" s="35"/>
      <c r="AA286" s="1" t="str">
        <f>IFERROR(VLOOKUP(D:D,[1]Габариты!$A:$I,9,0),"")</f>
        <v>Основной ассортимент</v>
      </c>
      <c r="AB286" s="6" t="str">
        <f>IFERROR(VLOOKUP(D:D,[1]Габариты!$A:$D,4,0),"")</f>
        <v>СТЕЛЛАЖИ</v>
      </c>
      <c r="AC286" s="39" t="str">
        <f t="shared" si="49"/>
        <v>40217946.09/01</v>
      </c>
      <c r="AD286" s="13" t="str">
        <f t="shared" si="48"/>
        <v>FBO</v>
      </c>
    </row>
    <row r="287" spans="1:30" s="6" customFormat="1" ht="20.100000000000001" customHeight="1" outlineLevel="1" x14ac:dyDescent="0.25">
      <c r="A287" s="633" t="s">
        <v>3930</v>
      </c>
      <c r="B287" s="25"/>
      <c r="C287" s="13" t="s">
        <v>2582</v>
      </c>
      <c r="D287" s="44" t="s">
        <v>3931</v>
      </c>
      <c r="E287" s="4">
        <v>23</v>
      </c>
      <c r="F287" s="101" t="s">
        <v>6229</v>
      </c>
      <c r="G287" s="57"/>
      <c r="H287" s="4" t="s">
        <v>6712</v>
      </c>
      <c r="I287" s="4"/>
      <c r="J287" s="4"/>
      <c r="K287" s="54"/>
      <c r="L287" s="57"/>
      <c r="M287" s="57"/>
      <c r="N287" s="4" t="s">
        <v>4040</v>
      </c>
      <c r="O287" s="4">
        <v>1489466529</v>
      </c>
      <c r="P287" s="4">
        <v>1489466529</v>
      </c>
      <c r="Q287" s="767"/>
      <c r="R287" s="767"/>
      <c r="S287" s="4"/>
      <c r="T287" s="4"/>
      <c r="U287" s="4"/>
      <c r="V287" s="4"/>
      <c r="W287" s="4"/>
      <c r="X287" s="4" t="s">
        <v>4040</v>
      </c>
      <c r="Y287" s="4" t="s">
        <v>4066</v>
      </c>
      <c r="Z287" s="35"/>
      <c r="AA287" s="1" t="str">
        <f>IFERROR(VLOOKUP(D:D,[1]Габариты!$A:$I,9,0),"")</f>
        <v>Вакансия</v>
      </c>
      <c r="AB287" s="6" t="str">
        <f>IFERROR(VLOOKUP(D:D,[1]Габариты!$A:$D,4,0),"")</f>
        <v>СТЕЛЛАЖИ</v>
      </c>
      <c r="AC287" s="39" t="str">
        <f t="shared" si="49"/>
        <v>3711.05/01</v>
      </c>
      <c r="AD287" s="13" t="str">
        <f t="shared" si="48"/>
        <v>FBO</v>
      </c>
    </row>
    <row r="288" spans="1:30" s="6" customFormat="1" ht="20.100000000000001" customHeight="1" outlineLevel="1" x14ac:dyDescent="0.25">
      <c r="A288" s="633" t="s">
        <v>3920</v>
      </c>
      <c r="B288" s="25"/>
      <c r="C288" s="13" t="s">
        <v>2582</v>
      </c>
      <c r="D288" s="39" t="s">
        <v>3919</v>
      </c>
      <c r="E288" s="4">
        <v>23</v>
      </c>
      <c r="F288" s="101" t="s">
        <v>7940</v>
      </c>
      <c r="G288" s="57"/>
      <c r="H288" s="4" t="s">
        <v>6714</v>
      </c>
      <c r="I288" s="4"/>
      <c r="J288" s="4"/>
      <c r="K288" s="54"/>
      <c r="L288" s="57"/>
      <c r="M288" s="57"/>
      <c r="N288" s="4" t="s">
        <v>4042</v>
      </c>
      <c r="O288" s="4">
        <v>1489477332</v>
      </c>
      <c r="P288" s="4">
        <v>1489477332</v>
      </c>
      <c r="Q288" s="767"/>
      <c r="R288" s="767"/>
      <c r="S288" s="4"/>
      <c r="T288" s="4"/>
      <c r="U288" s="4"/>
      <c r="V288" s="4"/>
      <c r="W288" s="4"/>
      <c r="X288" s="4" t="s">
        <v>4042</v>
      </c>
      <c r="Y288" s="4" t="s">
        <v>4066</v>
      </c>
      <c r="Z288" s="35"/>
      <c r="AA288" s="1" t="str">
        <f>IFERROR(VLOOKUP(D:D,[1]Габариты!$A:$I,9,0),"")</f>
        <v>Вакансия</v>
      </c>
      <c r="AB288" s="6" t="str">
        <f>IFERROR(VLOOKUP(D:D,[1]Габариты!$A:$D,4,0),"")</f>
        <v>СТЕЛЛАЖИ</v>
      </c>
      <c r="AC288" s="39" t="str">
        <f t="shared" si="49"/>
        <v>3711.17/01</v>
      </c>
      <c r="AD288" s="13" t="str">
        <f t="shared" si="48"/>
        <v>FBO</v>
      </c>
    </row>
    <row r="289" spans="1:30" s="6" customFormat="1" ht="20.100000000000001" customHeight="1" outlineLevel="1" x14ac:dyDescent="0.25">
      <c r="A289" s="633" t="s">
        <v>4127</v>
      </c>
      <c r="B289" s="25"/>
      <c r="C289" s="13" t="s">
        <v>2582</v>
      </c>
      <c r="D289" s="39">
        <v>3702</v>
      </c>
      <c r="E289" s="4">
        <v>18</v>
      </c>
      <c r="F289" s="101">
        <v>3702</v>
      </c>
      <c r="G289" s="57"/>
      <c r="H289" s="4" t="s">
        <v>6716</v>
      </c>
      <c r="I289" s="4"/>
      <c r="J289" s="4"/>
      <c r="K289" s="54"/>
      <c r="L289" s="57"/>
      <c r="M289" s="57"/>
      <c r="N289" s="4" t="s">
        <v>4137</v>
      </c>
      <c r="O289" s="4">
        <v>1566933075</v>
      </c>
      <c r="P289" s="4">
        <v>1566933075</v>
      </c>
      <c r="Q289" s="767"/>
      <c r="R289" s="767"/>
      <c r="S289" s="4"/>
      <c r="T289" s="4"/>
      <c r="U289" s="4"/>
      <c r="V289" s="4"/>
      <c r="W289" s="4"/>
      <c r="X289" s="4" t="s">
        <v>4137</v>
      </c>
      <c r="Y289" s="4"/>
      <c r="Z289" s="35"/>
      <c r="AA289" s="1" t="str">
        <f>IFERROR(VLOOKUP(D:D,[1]Габариты!$A:$I,9,0),"")</f>
        <v>Основной ассортимент</v>
      </c>
      <c r="AB289" s="6" t="str">
        <f>IFERROR(VLOOKUP(D:D,[1]Габариты!$A:$D,4,0),"")</f>
        <v>СТЕЛЛАЖИ</v>
      </c>
      <c r="AC289" s="39">
        <f t="shared" si="49"/>
        <v>3702</v>
      </c>
      <c r="AD289" s="13" t="str">
        <f t="shared" ref="AD289:AD296" si="50">C289</f>
        <v>FBO</v>
      </c>
    </row>
    <row r="290" spans="1:30" s="6" customFormat="1" ht="20.100000000000001" customHeight="1" outlineLevel="1" x14ac:dyDescent="0.25">
      <c r="A290" s="633" t="s">
        <v>4129</v>
      </c>
      <c r="B290" s="25"/>
      <c r="C290" s="13" t="s">
        <v>2582</v>
      </c>
      <c r="D290" s="39">
        <v>3700</v>
      </c>
      <c r="E290" s="4">
        <v>18</v>
      </c>
      <c r="F290" s="101">
        <v>3700</v>
      </c>
      <c r="G290" s="57" t="s">
        <v>5655</v>
      </c>
      <c r="H290" s="4" t="s">
        <v>6717</v>
      </c>
      <c r="I290" s="4"/>
      <c r="J290" s="4"/>
      <c r="K290" s="54" t="s">
        <v>7901</v>
      </c>
      <c r="L290" s="57">
        <v>1420302494</v>
      </c>
      <c r="M290" s="57">
        <v>1420302494</v>
      </c>
      <c r="N290" s="4" t="s">
        <v>4136</v>
      </c>
      <c r="O290" s="4">
        <v>1566924926</v>
      </c>
      <c r="P290" s="4">
        <v>1566924926</v>
      </c>
      <c r="Q290" s="767"/>
      <c r="R290" s="767"/>
      <c r="S290" s="4"/>
      <c r="T290" s="4"/>
      <c r="U290" s="4"/>
      <c r="V290" s="4"/>
      <c r="W290" s="4"/>
      <c r="X290" s="4" t="s">
        <v>4136</v>
      </c>
      <c r="Y290" s="4"/>
      <c r="Z290" s="35"/>
      <c r="AA290" s="1" t="str">
        <f>IFERROR(VLOOKUP(D:D,[1]Габариты!$A:$I,9,0),"")</f>
        <v>Основной ассортимент</v>
      </c>
      <c r="AB290" s="6" t="str">
        <f>IFERROR(VLOOKUP(D:D,[1]Габариты!$A:$D,4,0),"")</f>
        <v>СТЕЛЛАЖИ</v>
      </c>
      <c r="AC290" s="39">
        <f t="shared" si="49"/>
        <v>3700</v>
      </c>
      <c r="AD290" s="13" t="str">
        <f t="shared" si="50"/>
        <v>FBO</v>
      </c>
    </row>
    <row r="291" spans="1:30" s="6" customFormat="1" ht="20.100000000000001" customHeight="1" outlineLevel="1" x14ac:dyDescent="0.25">
      <c r="A291" s="633" t="s">
        <v>4130</v>
      </c>
      <c r="B291" s="25"/>
      <c r="C291" s="13" t="s">
        <v>2582</v>
      </c>
      <c r="D291" s="39">
        <v>3681</v>
      </c>
      <c r="E291" s="4">
        <v>18</v>
      </c>
      <c r="F291" s="101">
        <v>3681</v>
      </c>
      <c r="G291" s="57" t="s">
        <v>5656</v>
      </c>
      <c r="H291" s="4" t="s">
        <v>6718</v>
      </c>
      <c r="I291" s="4"/>
      <c r="J291" s="4"/>
      <c r="K291" s="54" t="s">
        <v>7902</v>
      </c>
      <c r="L291" s="57">
        <v>1431446779</v>
      </c>
      <c r="M291" s="57">
        <v>1431446779</v>
      </c>
      <c r="N291" s="4" t="s">
        <v>4134</v>
      </c>
      <c r="O291" s="4">
        <v>1566916439</v>
      </c>
      <c r="P291" s="4">
        <v>1566916439</v>
      </c>
      <c r="Q291" s="767"/>
      <c r="R291" s="767"/>
      <c r="S291" s="4"/>
      <c r="T291" s="4"/>
      <c r="U291" s="4"/>
      <c r="V291" s="4"/>
      <c r="W291" s="4"/>
      <c r="X291" s="4" t="s">
        <v>4134</v>
      </c>
      <c r="Y291" s="4"/>
      <c r="Z291" s="35"/>
      <c r="AA291" s="1" t="str">
        <f>IFERROR(VLOOKUP(D:D,[1]Габариты!$A:$I,9,0),"")</f>
        <v>Основной ассортимент</v>
      </c>
      <c r="AB291" s="6" t="str">
        <f>IFERROR(VLOOKUP(D:D,[1]Габариты!$A:$D,4,0),"")</f>
        <v>СТЕЛЛАЖИ</v>
      </c>
      <c r="AC291" s="39">
        <f t="shared" si="49"/>
        <v>3681</v>
      </c>
      <c r="AD291" s="13" t="str">
        <f t="shared" si="50"/>
        <v>FBO</v>
      </c>
    </row>
    <row r="292" spans="1:30" s="6" customFormat="1" ht="20.100000000000001" customHeight="1" outlineLevel="1" x14ac:dyDescent="0.25">
      <c r="A292" s="633" t="s">
        <v>4132</v>
      </c>
      <c r="B292" s="25"/>
      <c r="C292" s="13" t="s">
        <v>2582</v>
      </c>
      <c r="D292" s="39" t="s">
        <v>4131</v>
      </c>
      <c r="E292" s="4">
        <v>18</v>
      </c>
      <c r="F292" s="101" t="s">
        <v>7903</v>
      </c>
      <c r="G292" s="57"/>
      <c r="H292" s="4" t="s">
        <v>6719</v>
      </c>
      <c r="I292" s="4"/>
      <c r="J292" s="4"/>
      <c r="K292" s="54"/>
      <c r="L292" s="57"/>
      <c r="M292" s="57"/>
      <c r="N292" s="4" t="s">
        <v>4135</v>
      </c>
      <c r="O292" s="4">
        <v>1566919270</v>
      </c>
      <c r="P292" s="4">
        <v>1566919270</v>
      </c>
      <c r="Q292" s="767"/>
      <c r="R292" s="767"/>
      <c r="S292" s="4"/>
      <c r="T292" s="4"/>
      <c r="U292" s="4"/>
      <c r="V292" s="4"/>
      <c r="W292" s="4"/>
      <c r="X292" s="4" t="s">
        <v>4135</v>
      </c>
      <c r="Y292" s="4"/>
      <c r="Z292" s="35"/>
      <c r="AA292" s="1" t="str">
        <f>IFERROR(VLOOKUP(D:D,[1]Габариты!$A:$I,9,0),"")</f>
        <v>Основной ассортимент</v>
      </c>
      <c r="AB292" s="6" t="str">
        <f>IFERROR(VLOOKUP(D:D,[1]Габариты!$A:$D,4,0),"")</f>
        <v>СТЕЛЛАЖИ</v>
      </c>
      <c r="AC292" s="39" t="str">
        <f t="shared" si="49"/>
        <v>3681.20/01</v>
      </c>
      <c r="AD292" s="13" t="str">
        <f t="shared" si="50"/>
        <v>FBO</v>
      </c>
    </row>
    <row r="293" spans="1:30" s="6" customFormat="1" ht="20.100000000000001" customHeight="1" outlineLevel="1" x14ac:dyDescent="0.25">
      <c r="A293" s="633" t="s">
        <v>4327</v>
      </c>
      <c r="B293" s="25"/>
      <c r="C293" s="13" t="s">
        <v>4050</v>
      </c>
      <c r="D293" s="39">
        <v>3380</v>
      </c>
      <c r="E293" s="4">
        <v>12</v>
      </c>
      <c r="F293" s="101">
        <v>3380</v>
      </c>
      <c r="G293" s="57"/>
      <c r="H293" s="4" t="s">
        <v>6726</v>
      </c>
      <c r="I293" s="4"/>
      <c r="J293" s="4"/>
      <c r="K293" s="54"/>
      <c r="L293" s="57"/>
      <c r="M293" s="57"/>
      <c r="N293" s="4" t="s">
        <v>4359</v>
      </c>
      <c r="O293" s="4">
        <v>1617799195</v>
      </c>
      <c r="P293" s="4">
        <v>1617799195</v>
      </c>
      <c r="Q293" s="767"/>
      <c r="R293" s="767"/>
      <c r="S293" s="4"/>
      <c r="T293" s="4"/>
      <c r="U293" s="4"/>
      <c r="V293" s="4"/>
      <c r="W293" s="4"/>
      <c r="X293" s="4" t="s">
        <v>4359</v>
      </c>
      <c r="Y293" s="4"/>
      <c r="Z293" s="35"/>
      <c r="AA293" s="1" t="str">
        <f>IFERROR(VLOOKUP(D:D,[1]Габариты!$A:$I,9,0),"")</f>
        <v>Основной ассортимент</v>
      </c>
      <c r="AB293" s="6" t="str">
        <f>IFERROR(VLOOKUP(D:D,[1]Габариты!$A:$D,4,0),"")</f>
        <v>СТЕЛЛАЖИ</v>
      </c>
      <c r="AC293" s="39">
        <f t="shared" si="49"/>
        <v>3380</v>
      </c>
      <c r="AD293" s="13" t="str">
        <f t="shared" si="50"/>
        <v>СКГТ (ОЗОН)</v>
      </c>
    </row>
    <row r="294" spans="1:30" s="6" customFormat="1" ht="20.100000000000001" customHeight="1" outlineLevel="1" x14ac:dyDescent="0.25">
      <c r="A294" s="633" t="s">
        <v>4413</v>
      </c>
      <c r="B294" s="25"/>
      <c r="C294" s="13" t="s">
        <v>2582</v>
      </c>
      <c r="D294" s="39" t="s">
        <v>4414</v>
      </c>
      <c r="E294" s="4">
        <v>20</v>
      </c>
      <c r="F294" s="101" t="s">
        <v>6312</v>
      </c>
      <c r="G294" s="57" t="s">
        <v>5153</v>
      </c>
      <c r="H294" s="4" t="s">
        <v>6727</v>
      </c>
      <c r="I294" s="4"/>
      <c r="J294" s="4"/>
      <c r="K294" s="54" t="s">
        <v>6312</v>
      </c>
      <c r="L294" s="57">
        <v>1623598752</v>
      </c>
      <c r="M294" s="57">
        <v>1623598752</v>
      </c>
      <c r="N294" s="4" t="s">
        <v>4455</v>
      </c>
      <c r="O294" s="4">
        <v>1642948939</v>
      </c>
      <c r="P294" s="4">
        <v>1642948939</v>
      </c>
      <c r="Q294" s="767"/>
      <c r="R294" s="767"/>
      <c r="S294" s="4"/>
      <c r="T294" s="4"/>
      <c r="U294" s="4"/>
      <c r="V294" s="4"/>
      <c r="W294" s="4"/>
      <c r="X294" s="4" t="s">
        <v>4455</v>
      </c>
      <c r="Y294" s="4"/>
      <c r="Z294" s="35"/>
      <c r="AA294" s="1" t="str">
        <f>IFERROR(VLOOKUP(D:D,[1]Габариты!$A:$I,9,0),"")</f>
        <v>Основной ассортимент</v>
      </c>
      <c r="AB294" s="6" t="str">
        <f>IFERROR(VLOOKUP(D:D,[1]Габариты!$A:$D,4,0),"")</f>
        <v>СТЕЛЛАЖИ</v>
      </c>
      <c r="AC294" s="39" t="str">
        <f t="shared" si="49"/>
        <v>3934.17/01</v>
      </c>
      <c r="AD294" s="13" t="str">
        <f t="shared" si="50"/>
        <v>FBO</v>
      </c>
    </row>
    <row r="295" spans="1:30" s="6" customFormat="1" ht="20.100000000000001" customHeight="1" outlineLevel="1" x14ac:dyDescent="0.25">
      <c r="A295" s="635" t="s">
        <v>156</v>
      </c>
      <c r="B295" s="3"/>
      <c r="C295" s="13" t="s">
        <v>2581</v>
      </c>
      <c r="D295" s="39">
        <v>2656</v>
      </c>
      <c r="E295" s="4">
        <v>47</v>
      </c>
      <c r="F295" s="101">
        <v>2656</v>
      </c>
      <c r="G295" s="57" t="s">
        <v>4858</v>
      </c>
      <c r="H295" s="4" t="s">
        <v>6577</v>
      </c>
      <c r="I295" s="4" t="s">
        <v>1254</v>
      </c>
      <c r="J295" s="4"/>
      <c r="K295" s="54"/>
      <c r="L295" s="57"/>
      <c r="M295" s="57"/>
      <c r="N295" s="4" t="s">
        <v>638</v>
      </c>
      <c r="O295" s="4">
        <v>267325019</v>
      </c>
      <c r="P295" s="4">
        <v>267325023</v>
      </c>
      <c r="Q295" s="767"/>
      <c r="R295" s="767"/>
      <c r="S295" s="4"/>
      <c r="T295" s="4"/>
      <c r="U295" s="4"/>
      <c r="V295" s="4"/>
      <c r="W295" s="4" t="s">
        <v>2270</v>
      </c>
      <c r="X295" s="4" t="s">
        <v>638</v>
      </c>
      <c r="Y295" s="4" t="s">
        <v>4066</v>
      </c>
      <c r="Z295" s="35"/>
      <c r="AA295" s="1" t="str">
        <f>IFERROR(VLOOKUP(D:D,[1]Габариты!$A:$I,9,0),"")</f>
        <v>Основной ассортимент</v>
      </c>
      <c r="AB295" s="6" t="str">
        <f>IFERROR(VLOOKUP(D:D,[1]Габариты!$A:$D,4,0),"")</f>
        <v>СТЕЛЛАЖИ</v>
      </c>
      <c r="AC295" s="39">
        <f t="shared" si="49"/>
        <v>2656</v>
      </c>
      <c r="AD295" s="13" t="str">
        <f t="shared" si="50"/>
        <v>FBS</v>
      </c>
    </row>
    <row r="296" spans="1:30" s="6" customFormat="1" ht="20.100000000000001" customHeight="1" outlineLevel="1" x14ac:dyDescent="0.25">
      <c r="A296" s="633" t="s">
        <v>3983</v>
      </c>
      <c r="B296" s="25"/>
      <c r="C296" s="13" t="s">
        <v>2582</v>
      </c>
      <c r="D296" s="39" t="s">
        <v>3981</v>
      </c>
      <c r="E296" s="4">
        <v>20</v>
      </c>
      <c r="F296" s="101" t="s">
        <v>7941</v>
      </c>
      <c r="G296" s="57"/>
      <c r="H296" s="4" t="s">
        <v>6715</v>
      </c>
      <c r="I296" s="4"/>
      <c r="J296" s="4"/>
      <c r="K296" s="54"/>
      <c r="L296" s="57"/>
      <c r="M296" s="57"/>
      <c r="N296" s="4" t="s">
        <v>4034</v>
      </c>
      <c r="O296" s="4">
        <v>1485895705</v>
      </c>
      <c r="P296" s="4">
        <v>1485895705</v>
      </c>
      <c r="Q296" s="767"/>
      <c r="R296" s="767"/>
      <c r="S296" s="4"/>
      <c r="T296" s="4"/>
      <c r="U296" s="4"/>
      <c r="V296" s="4"/>
      <c r="W296" s="4"/>
      <c r="X296" s="4" t="s">
        <v>4034</v>
      </c>
      <c r="Y296" s="4" t="s">
        <v>4066</v>
      </c>
      <c r="Z296" s="35"/>
      <c r="AA296" s="1" t="str">
        <f>IFERROR(VLOOKUP(D:D,[1]Габариты!$A:$I,9,0),"")</f>
        <v>Основной ассортимент</v>
      </c>
      <c r="AB296" s="6" t="str">
        <f>IFERROR(VLOOKUP(D:D,[1]Габариты!$A:$D,4,0),"")</f>
        <v>СТЕЛЛАЖИ</v>
      </c>
      <c r="AC296" s="39" t="str">
        <f t="shared" si="49"/>
        <v>3704.17/01</v>
      </c>
      <c r="AD296" s="13" t="str">
        <f t="shared" si="50"/>
        <v>FBO</v>
      </c>
    </row>
    <row r="297" spans="1:30" s="6" customFormat="1" ht="20.100000000000001" customHeight="1" outlineLevel="1" x14ac:dyDescent="0.25">
      <c r="A297" s="635" t="s">
        <v>3233</v>
      </c>
      <c r="B297" s="25"/>
      <c r="C297" s="13" t="s">
        <v>2582</v>
      </c>
      <c r="D297" s="39">
        <v>4082</v>
      </c>
      <c r="E297" s="4">
        <v>30</v>
      </c>
      <c r="F297" s="106" t="s">
        <v>6206</v>
      </c>
      <c r="G297" s="57"/>
      <c r="H297" s="4" t="s">
        <v>6569</v>
      </c>
      <c r="I297" s="4"/>
      <c r="J297" s="4" t="s">
        <v>3349</v>
      </c>
      <c r="K297" s="54"/>
      <c r="L297" s="57"/>
      <c r="M297" s="57"/>
      <c r="N297" s="4" t="s">
        <v>3354</v>
      </c>
      <c r="O297" s="4">
        <v>1022159641</v>
      </c>
      <c r="P297" s="4">
        <v>1022159640</v>
      </c>
      <c r="Q297" s="767"/>
      <c r="R297" s="767"/>
      <c r="S297" s="4"/>
      <c r="T297" s="4" t="s">
        <v>3374</v>
      </c>
      <c r="U297" s="4">
        <v>1022169153</v>
      </c>
      <c r="V297" s="4">
        <v>1022169153</v>
      </c>
      <c r="W297" s="4"/>
      <c r="X297" s="4" t="s">
        <v>3354</v>
      </c>
      <c r="Y297" s="4" t="s">
        <v>4066</v>
      </c>
      <c r="Z297" s="35"/>
      <c r="AA297" s="1" t="str">
        <f>IFERROR(VLOOKUP(D:D,[1]Габариты!$A:$I,9,0),"")</f>
        <v>Основной ассортимент</v>
      </c>
      <c r="AB297" s="6" t="str">
        <f>IFERROR(VLOOKUP(D:D,[1]Габариты!$A:$D,4,0),"")</f>
        <v>СТЕЛЛАЖИ</v>
      </c>
      <c r="AC297" s="39">
        <f t="shared" si="49"/>
        <v>4082</v>
      </c>
      <c r="AD297" s="13" t="str">
        <f>C297</f>
        <v>FBO</v>
      </c>
    </row>
    <row r="298" spans="1:30" s="6" customFormat="1" ht="20.100000000000001" customHeight="1" outlineLevel="1" x14ac:dyDescent="0.25">
      <c r="A298" s="667" t="s">
        <v>8299</v>
      </c>
      <c r="B298" s="377"/>
      <c r="C298" s="13" t="s">
        <v>2582</v>
      </c>
      <c r="D298" s="379">
        <v>4080</v>
      </c>
      <c r="E298" s="4">
        <v>30</v>
      </c>
      <c r="F298" s="384"/>
      <c r="G298" s="382"/>
      <c r="H298" s="380"/>
      <c r="I298" s="380"/>
      <c r="J298" s="380"/>
      <c r="K298" s="381"/>
      <c r="L298" s="382"/>
      <c r="M298" s="382"/>
      <c r="N298" s="380"/>
      <c r="O298" s="380"/>
      <c r="P298" s="380"/>
      <c r="Q298" s="805"/>
      <c r="R298" s="805"/>
      <c r="S298" s="380"/>
      <c r="T298" s="380"/>
      <c r="U298" s="380"/>
      <c r="V298" s="380"/>
      <c r="W298" s="380"/>
      <c r="X298" s="380"/>
      <c r="Y298" s="380"/>
      <c r="Z298" s="35"/>
      <c r="AA298" s="1" t="str">
        <f>IFERROR(VLOOKUP(D:D,[1]Габариты!$A:$I,9,0),"")</f>
        <v>Основной ассортимент</v>
      </c>
      <c r="AB298" s="6" t="str">
        <f>IFERROR(VLOOKUP(D:D,[1]Габариты!$A:$D,4,0),"")</f>
        <v>СТЕЛЛАЖИ</v>
      </c>
      <c r="AC298" s="39">
        <f t="shared" si="49"/>
        <v>4080</v>
      </c>
      <c r="AD298" s="13" t="str">
        <f>C298</f>
        <v>FBO</v>
      </c>
    </row>
    <row r="299" spans="1:30" s="6" customFormat="1" ht="20.100000000000001" customHeight="1" outlineLevel="1" x14ac:dyDescent="0.25">
      <c r="A299" s="633" t="s">
        <v>5374</v>
      </c>
      <c r="B299" s="25"/>
      <c r="C299" s="13" t="s">
        <v>2582</v>
      </c>
      <c r="D299" s="39" t="s">
        <v>5353</v>
      </c>
      <c r="E299" s="4">
        <v>20</v>
      </c>
      <c r="F299" s="101" t="s">
        <v>5354</v>
      </c>
      <c r="G299" s="57" t="s">
        <v>5355</v>
      </c>
      <c r="H299" s="4"/>
      <c r="I299" s="4"/>
      <c r="J299" s="4"/>
      <c r="K299" s="54" t="s">
        <v>5354</v>
      </c>
      <c r="L299" s="57">
        <v>1284603883</v>
      </c>
      <c r="M299" s="57">
        <v>1284603883</v>
      </c>
      <c r="N299" s="4"/>
      <c r="O299" s="4"/>
      <c r="P299" s="4"/>
      <c r="Q299" s="767"/>
      <c r="R299" s="767"/>
      <c r="S299" s="4"/>
      <c r="T299" s="4"/>
      <c r="U299" s="4"/>
      <c r="V299" s="4"/>
      <c r="W299" s="4"/>
      <c r="X299" s="4"/>
      <c r="Y299" s="4"/>
      <c r="Z299" s="35"/>
      <c r="AA299" s="1" t="str">
        <f>IFERROR(VLOOKUP(D:D,[1]Габариты!$A:$I,9,0),"")</f>
        <v>Основной ассортимент</v>
      </c>
      <c r="AB299" s="6" t="str">
        <f>IFERROR(VLOOKUP(D:D,[1]Габариты!$A:$D,4,0),"")</f>
        <v>СТЕЛЛАЖИ</v>
      </c>
      <c r="AC299" s="39" t="str">
        <f t="shared" si="49"/>
        <v>MK1740101</v>
      </c>
      <c r="AD299" s="13" t="str">
        <f t="shared" ref="AD299:AD300" si="51">C299</f>
        <v>FBO</v>
      </c>
    </row>
    <row r="300" spans="1:30" s="6" customFormat="1" ht="20.100000000000001" customHeight="1" outlineLevel="1" x14ac:dyDescent="0.25">
      <c r="A300" s="633" t="s">
        <v>5372</v>
      </c>
      <c r="B300" s="25"/>
      <c r="C300" s="13" t="s">
        <v>4050</v>
      </c>
      <c r="D300" s="39" t="s">
        <v>5360</v>
      </c>
      <c r="E300" s="4">
        <v>15</v>
      </c>
      <c r="F300" s="101" t="s">
        <v>6292</v>
      </c>
      <c r="G300" s="57" t="s">
        <v>5364</v>
      </c>
      <c r="H300" s="4" t="s">
        <v>8391</v>
      </c>
      <c r="I300" s="4"/>
      <c r="J300" s="4"/>
      <c r="K300" s="54" t="s">
        <v>6292</v>
      </c>
      <c r="L300" s="57">
        <v>1337237725</v>
      </c>
      <c r="M300" s="57">
        <v>1337237725</v>
      </c>
      <c r="N300" s="4" t="s">
        <v>8425</v>
      </c>
      <c r="O300" s="4">
        <v>1906860263</v>
      </c>
      <c r="P300" s="4">
        <v>1906860263</v>
      </c>
      <c r="Q300" s="767"/>
      <c r="R300" s="767"/>
      <c r="S300" s="4"/>
      <c r="T300" s="4"/>
      <c r="U300" s="4"/>
      <c r="V300" s="4"/>
      <c r="W300" s="4"/>
      <c r="X300" s="4" t="s">
        <v>8425</v>
      </c>
      <c r="Y300" s="4"/>
      <c r="Z300" s="35"/>
      <c r="AA300" s="1" t="str">
        <f>IFERROR(VLOOKUP(D:D,[1]Габариты!$A:$I,9,0),"")</f>
        <v>Основной ассортимент</v>
      </c>
      <c r="AB300" s="6" t="str">
        <f>IFERROR(VLOOKUP(D:D,[1]Габариты!$A:$D,4,0),"")</f>
        <v>СТЕЛЛАЖИ</v>
      </c>
      <c r="AC300" s="39" t="str">
        <f t="shared" si="49"/>
        <v>MK1910101</v>
      </c>
      <c r="AD300" s="13" t="str">
        <f t="shared" si="51"/>
        <v>СКГТ (ОЗОН)</v>
      </c>
    </row>
    <row r="301" spans="1:30" s="6" customFormat="1" ht="20.100000000000001" customHeight="1" x14ac:dyDescent="0.25">
      <c r="A301" s="631" t="s">
        <v>5875</v>
      </c>
      <c r="B301" s="76"/>
      <c r="C301" s="13" t="s">
        <v>4050</v>
      </c>
      <c r="D301" s="39" t="s">
        <v>5797</v>
      </c>
      <c r="E301" s="4">
        <v>15</v>
      </c>
      <c r="F301" s="101" t="s">
        <v>6293</v>
      </c>
      <c r="G301" s="75" t="s">
        <v>5845</v>
      </c>
      <c r="H301" s="4" t="s">
        <v>5845</v>
      </c>
      <c r="I301" s="73"/>
      <c r="J301" s="73"/>
      <c r="K301" s="54" t="s">
        <v>6293</v>
      </c>
      <c r="L301" s="57">
        <v>1540188333</v>
      </c>
      <c r="M301" s="57">
        <v>1540188333</v>
      </c>
      <c r="N301" s="771" t="s">
        <v>8602</v>
      </c>
      <c r="O301" s="73">
        <v>1967053833</v>
      </c>
      <c r="P301" s="73">
        <v>1967053833</v>
      </c>
      <c r="Q301" s="73"/>
      <c r="R301" s="73"/>
      <c r="S301" s="73"/>
      <c r="T301" s="73"/>
      <c r="U301" s="73"/>
      <c r="V301" s="73"/>
      <c r="W301" s="73"/>
      <c r="X301" s="73" t="s">
        <v>8602</v>
      </c>
      <c r="Y301" s="73"/>
      <c r="Z301" s="67"/>
      <c r="AA301" s="1" t="str">
        <f>IFERROR(VLOOKUP(D:D,[1]Габариты!$A:$I,9,0),"")</f>
        <v>Основной ассортимент</v>
      </c>
      <c r="AB301" s="6" t="str">
        <f>IFERROR(VLOOKUP(D:D,[1]Габариты!$A:$D,4,0),"")</f>
        <v>СТЕЛЛАЖИ</v>
      </c>
      <c r="AC301" s="39" t="str">
        <f t="shared" si="49"/>
        <v>MK1910601</v>
      </c>
      <c r="AD301" s="13" t="str">
        <f t="shared" ref="AD301" si="52">C301</f>
        <v>СКГТ (ОЗОН)</v>
      </c>
    </row>
    <row r="302" spans="1:30" s="6" customFormat="1" ht="20.100000000000001" customHeight="1" x14ac:dyDescent="0.25">
      <c r="A302" s="631" t="s">
        <v>8683</v>
      </c>
      <c r="B302" s="570"/>
      <c r="C302" s="571" t="s">
        <v>2582</v>
      </c>
      <c r="D302" s="572">
        <v>3746</v>
      </c>
      <c r="E302" s="573">
        <v>25</v>
      </c>
      <c r="F302" s="574"/>
      <c r="G302" s="575"/>
      <c r="H302" s="573" t="s">
        <v>8682</v>
      </c>
      <c r="I302" s="573"/>
      <c r="J302" s="573"/>
      <c r="K302" s="574"/>
      <c r="L302" s="575"/>
      <c r="M302" s="575"/>
      <c r="N302" s="807"/>
      <c r="O302" s="573"/>
      <c r="P302" s="573"/>
      <c r="Q302" s="573"/>
      <c r="R302" s="573"/>
      <c r="S302" s="573"/>
      <c r="T302" s="573"/>
      <c r="U302" s="573"/>
      <c r="V302" s="573"/>
      <c r="W302" s="573"/>
      <c r="X302" s="573"/>
      <c r="Y302" s="573"/>
      <c r="Z302" s="419"/>
      <c r="AA302" s="1" t="str">
        <f>IFERROR(VLOOKUP(D:D,[1]Габариты!$A:$I,9,0),"")</f>
        <v>Основной ассортимент</v>
      </c>
      <c r="AB302" s="6" t="str">
        <f>IFERROR(VLOOKUP(D:D,[1]Габариты!$A:$D,4,0),"")</f>
        <v>СТЕЛЛАЖИ</v>
      </c>
      <c r="AC302" s="39">
        <f t="shared" ref="AC302" si="53">D302</f>
        <v>3746</v>
      </c>
      <c r="AD302" s="13" t="str">
        <f t="shared" ref="AD302" si="54">C302</f>
        <v>FBO</v>
      </c>
    </row>
    <row r="303" spans="1:30" s="6" customFormat="1" ht="20.100000000000001" customHeight="1" x14ac:dyDescent="0.25">
      <c r="A303" s="631" t="s">
        <v>8717</v>
      </c>
      <c r="B303" s="588"/>
      <c r="C303" s="571" t="s">
        <v>2582</v>
      </c>
      <c r="D303" s="589" t="s">
        <v>8715</v>
      </c>
      <c r="E303" s="585">
        <v>21</v>
      </c>
      <c r="F303" s="586"/>
      <c r="G303" s="587"/>
      <c r="H303" s="585" t="s">
        <v>8716</v>
      </c>
      <c r="I303" s="585"/>
      <c r="J303" s="585"/>
      <c r="K303" s="586"/>
      <c r="L303" s="587"/>
      <c r="M303" s="587"/>
      <c r="N303" s="808" t="s">
        <v>8856</v>
      </c>
      <c r="O303" s="585"/>
      <c r="P303" s="585"/>
      <c r="Q303" s="585"/>
      <c r="R303" s="585"/>
      <c r="S303" s="585"/>
      <c r="T303" s="585"/>
      <c r="U303" s="585"/>
      <c r="V303" s="585"/>
      <c r="W303" s="585"/>
      <c r="X303" s="585"/>
      <c r="Y303" s="585"/>
      <c r="Z303" s="419"/>
      <c r="AA303" s="1" t="str">
        <f>IFERROR(VLOOKUP(D:D,[1]Габариты!$A:$I,9,0),"")</f>
        <v>Основной ассортимент</v>
      </c>
      <c r="AB303" s="6" t="str">
        <f>IFERROR(VLOOKUP(D:D,[1]Габариты!$A:$D,4,0),"")</f>
        <v>СТЕЛЛАЖИ</v>
      </c>
      <c r="AC303" s="39" t="str">
        <f t="shared" ref="AC303" si="55">D303</f>
        <v>20150.09/01</v>
      </c>
      <c r="AD303" s="13" t="str">
        <f t="shared" ref="AD303" si="56">C303</f>
        <v>FBO</v>
      </c>
    </row>
    <row r="304" spans="1:30" s="6" customFormat="1" ht="20.100000000000001" customHeight="1" x14ac:dyDescent="0.25">
      <c r="A304" s="631" t="s">
        <v>8815</v>
      </c>
      <c r="B304" s="624"/>
      <c r="C304" s="571" t="s">
        <v>2582</v>
      </c>
      <c r="D304" s="625" t="s">
        <v>8803</v>
      </c>
      <c r="E304" s="626">
        <v>21</v>
      </c>
      <c r="F304" s="627"/>
      <c r="G304" s="628"/>
      <c r="H304" s="626" t="s">
        <v>8809</v>
      </c>
      <c r="I304" s="626"/>
      <c r="J304" s="626"/>
      <c r="K304" s="627"/>
      <c r="L304" s="628"/>
      <c r="M304" s="628"/>
      <c r="N304" s="809" t="s">
        <v>8845</v>
      </c>
      <c r="O304" s="626"/>
      <c r="P304" s="626"/>
      <c r="Q304" s="626"/>
      <c r="R304" s="626"/>
      <c r="S304" s="626"/>
      <c r="T304" s="626"/>
      <c r="U304" s="626"/>
      <c r="V304" s="626"/>
      <c r="W304" s="626"/>
      <c r="X304" s="626"/>
      <c r="Y304" s="626"/>
      <c r="Z304" s="419"/>
      <c r="AA304" s="1" t="str">
        <f>IFERROR(VLOOKUP(D:D,[1]Габариты!$A:$I,9,0),"")</f>
        <v>Основной ассортимент</v>
      </c>
      <c r="AB304" s="6" t="str">
        <f>IFERROR(VLOOKUP(D:D,[1]Габариты!$A:$D,4,0),"")</f>
        <v>СТЕЛЛАЖИ</v>
      </c>
      <c r="AC304" s="39" t="str">
        <f t="shared" ref="AC304:AC309" si="57">D304</f>
        <v>20150.02/01</v>
      </c>
      <c r="AD304" s="13" t="str">
        <f t="shared" ref="AD304:AD309" si="58">C304</f>
        <v>FBO</v>
      </c>
    </row>
    <row r="305" spans="1:30" s="6" customFormat="1" ht="20.100000000000001" customHeight="1" x14ac:dyDescent="0.25">
      <c r="A305" s="631" t="s">
        <v>8818</v>
      </c>
      <c r="B305" s="624"/>
      <c r="C305" s="571" t="s">
        <v>2582</v>
      </c>
      <c r="D305" s="625" t="s">
        <v>8804</v>
      </c>
      <c r="E305" s="626">
        <v>21</v>
      </c>
      <c r="F305" s="627"/>
      <c r="G305" s="628"/>
      <c r="H305" s="626" t="s">
        <v>8810</v>
      </c>
      <c r="I305" s="626"/>
      <c r="J305" s="626"/>
      <c r="K305" s="627"/>
      <c r="L305" s="628"/>
      <c r="M305" s="628"/>
      <c r="N305" s="809" t="s">
        <v>8846</v>
      </c>
      <c r="O305" s="626"/>
      <c r="P305" s="626"/>
      <c r="Q305" s="626"/>
      <c r="R305" s="626"/>
      <c r="S305" s="626"/>
      <c r="T305" s="626"/>
      <c r="U305" s="626"/>
      <c r="V305" s="626"/>
      <c r="W305" s="626"/>
      <c r="X305" s="626"/>
      <c r="Y305" s="626"/>
      <c r="Z305" s="419"/>
      <c r="AA305" s="1" t="str">
        <f>IFERROR(VLOOKUP(D:D,[1]Габариты!$A:$I,9,0),"")</f>
        <v>Основной ассортимент</v>
      </c>
      <c r="AB305" s="6" t="str">
        <f>IFERROR(VLOOKUP(D:D,[1]Габариты!$A:$D,4,0),"")</f>
        <v>СТЕЛЛАЖИ</v>
      </c>
      <c r="AC305" s="39" t="str">
        <f t="shared" si="57"/>
        <v>20150.03/01</v>
      </c>
      <c r="AD305" s="13" t="str">
        <f t="shared" si="58"/>
        <v>FBO</v>
      </c>
    </row>
    <row r="306" spans="1:30" s="6" customFormat="1" ht="20.100000000000001" customHeight="1" x14ac:dyDescent="0.25">
      <c r="A306" s="631" t="s">
        <v>8822</v>
      </c>
      <c r="B306" s="624"/>
      <c r="C306" s="571" t="s">
        <v>2582</v>
      </c>
      <c r="D306" s="625" t="s">
        <v>8805</v>
      </c>
      <c r="E306" s="626">
        <v>21</v>
      </c>
      <c r="F306" s="627"/>
      <c r="G306" s="628"/>
      <c r="H306" s="626" t="s">
        <v>8811</v>
      </c>
      <c r="I306" s="626"/>
      <c r="J306" s="626"/>
      <c r="K306" s="627"/>
      <c r="L306" s="628"/>
      <c r="M306" s="628"/>
      <c r="N306" s="809"/>
      <c r="O306" s="626"/>
      <c r="P306" s="626"/>
      <c r="Q306" s="626"/>
      <c r="R306" s="626"/>
      <c r="S306" s="626"/>
      <c r="T306" s="626"/>
      <c r="U306" s="626"/>
      <c r="V306" s="626"/>
      <c r="W306" s="626"/>
      <c r="X306" s="626"/>
      <c r="Y306" s="626"/>
      <c r="Z306" s="419"/>
      <c r="AA306" s="1" t="str">
        <f>IFERROR(VLOOKUP(D:D,[1]Габариты!$A:$I,9,0),"")</f>
        <v>Основной ассортимент</v>
      </c>
      <c r="AB306" s="6" t="str">
        <f>IFERROR(VLOOKUP(D:D,[1]Габариты!$A:$D,4,0),"")</f>
        <v>СТЕЛЛАЖИ</v>
      </c>
      <c r="AC306" s="39" t="str">
        <f t="shared" si="57"/>
        <v>20150.05/01</v>
      </c>
      <c r="AD306" s="13" t="str">
        <f t="shared" si="58"/>
        <v>FBO</v>
      </c>
    </row>
    <row r="307" spans="1:30" s="6" customFormat="1" ht="20.100000000000001" customHeight="1" x14ac:dyDescent="0.25">
      <c r="A307" s="631" t="s">
        <v>8817</v>
      </c>
      <c r="B307" s="624"/>
      <c r="C307" s="571" t="s">
        <v>2582</v>
      </c>
      <c r="D307" s="625" t="s">
        <v>8806</v>
      </c>
      <c r="E307" s="626">
        <v>21</v>
      </c>
      <c r="F307" s="627"/>
      <c r="G307" s="628"/>
      <c r="H307" s="626" t="s">
        <v>8812</v>
      </c>
      <c r="I307" s="626"/>
      <c r="J307" s="626"/>
      <c r="K307" s="627"/>
      <c r="L307" s="628"/>
      <c r="M307" s="628"/>
      <c r="N307" s="809"/>
      <c r="O307" s="626"/>
      <c r="P307" s="626"/>
      <c r="Q307" s="626"/>
      <c r="R307" s="626"/>
      <c r="S307" s="626"/>
      <c r="T307" s="626"/>
      <c r="U307" s="626"/>
      <c r="V307" s="626"/>
      <c r="W307" s="626"/>
      <c r="X307" s="626"/>
      <c r="Y307" s="626"/>
      <c r="Z307" s="419"/>
      <c r="AA307" s="1" t="str">
        <f>IFERROR(VLOOKUP(D:D,[1]Габариты!$A:$I,9,0),"")</f>
        <v>Основной ассортимент</v>
      </c>
      <c r="AB307" s="6" t="str">
        <f>IFERROR(VLOOKUP(D:D,[1]Габариты!$A:$D,4,0),"")</f>
        <v>СТЕЛЛАЖИ</v>
      </c>
      <c r="AC307" s="39" t="str">
        <f t="shared" si="57"/>
        <v>20150.06/01</v>
      </c>
      <c r="AD307" s="13" t="str">
        <f t="shared" si="58"/>
        <v>FBO</v>
      </c>
    </row>
    <row r="308" spans="1:30" s="6" customFormat="1" ht="20.100000000000001" customHeight="1" x14ac:dyDescent="0.25">
      <c r="A308" s="631" t="s">
        <v>8816</v>
      </c>
      <c r="B308" s="624"/>
      <c r="C308" s="571" t="s">
        <v>2582</v>
      </c>
      <c r="D308" s="625" t="s">
        <v>8807</v>
      </c>
      <c r="E308" s="626">
        <v>21</v>
      </c>
      <c r="F308" s="627"/>
      <c r="G308" s="628"/>
      <c r="H308" s="626" t="s">
        <v>8813</v>
      </c>
      <c r="I308" s="626"/>
      <c r="J308" s="626"/>
      <c r="K308" s="627"/>
      <c r="L308" s="628"/>
      <c r="M308" s="628"/>
      <c r="N308" s="809"/>
      <c r="O308" s="626"/>
      <c r="P308" s="626"/>
      <c r="Q308" s="626"/>
      <c r="R308" s="626"/>
      <c r="S308" s="626"/>
      <c r="T308" s="626"/>
      <c r="U308" s="626"/>
      <c r="V308" s="626"/>
      <c r="W308" s="626"/>
      <c r="X308" s="626"/>
      <c r="Y308" s="626"/>
      <c r="Z308" s="419"/>
      <c r="AA308" s="1" t="str">
        <f>IFERROR(VLOOKUP(D:D,[1]Габариты!$A:$I,9,0),"")</f>
        <v>Основной ассортимент</v>
      </c>
      <c r="AB308" s="6" t="str">
        <f>IFERROR(VLOOKUP(D:D,[1]Габариты!$A:$D,4,0),"")</f>
        <v>СТЕЛЛАЖИ</v>
      </c>
      <c r="AC308" s="39" t="str">
        <f t="shared" si="57"/>
        <v>20150.11/01</v>
      </c>
      <c r="AD308" s="13" t="str">
        <f t="shared" si="58"/>
        <v>FBO</v>
      </c>
    </row>
    <row r="309" spans="1:30" s="6" customFormat="1" ht="20.100000000000001" customHeight="1" x14ac:dyDescent="0.25">
      <c r="A309" s="631" t="s">
        <v>8823</v>
      </c>
      <c r="B309" s="624"/>
      <c r="C309" s="571" t="s">
        <v>2582</v>
      </c>
      <c r="D309" s="625" t="s">
        <v>8808</v>
      </c>
      <c r="E309" s="626">
        <v>21</v>
      </c>
      <c r="F309" s="627"/>
      <c r="G309" s="628"/>
      <c r="H309" s="626" t="s">
        <v>8814</v>
      </c>
      <c r="I309" s="626"/>
      <c r="J309" s="626"/>
      <c r="K309" s="627"/>
      <c r="L309" s="628"/>
      <c r="M309" s="628"/>
      <c r="N309" s="809"/>
      <c r="O309" s="626"/>
      <c r="P309" s="626"/>
      <c r="Q309" s="626"/>
      <c r="R309" s="626"/>
      <c r="S309" s="626"/>
      <c r="T309" s="626"/>
      <c r="U309" s="626"/>
      <c r="V309" s="626"/>
      <c r="W309" s="626"/>
      <c r="X309" s="626"/>
      <c r="Y309" s="626"/>
      <c r="Z309" s="419"/>
      <c r="AA309" s="1" t="str">
        <f>IFERROR(VLOOKUP(D:D,[1]Габариты!$A:$I,9,0),"")</f>
        <v>Основной ассортимент</v>
      </c>
      <c r="AB309" s="6" t="str">
        <f>IFERROR(VLOOKUP(D:D,[1]Габариты!$A:$D,4,0),"")</f>
        <v>СТЕЛЛАЖИ</v>
      </c>
      <c r="AC309" s="39" t="str">
        <f t="shared" si="57"/>
        <v>20150.20/01</v>
      </c>
      <c r="AD309" s="13" t="str">
        <f t="shared" si="58"/>
        <v>FBO</v>
      </c>
    </row>
    <row r="310" spans="1:30" s="6" customFormat="1" ht="20.100000000000001" customHeight="1" outlineLevel="1" x14ac:dyDescent="0.25">
      <c r="A310" s="633" t="s">
        <v>3947</v>
      </c>
      <c r="B310" s="2"/>
      <c r="C310" s="13" t="s">
        <v>2582</v>
      </c>
      <c r="D310" s="44" t="s">
        <v>3946</v>
      </c>
      <c r="E310" s="4">
        <v>32</v>
      </c>
      <c r="F310" s="106" t="s">
        <v>6217</v>
      </c>
      <c r="G310" s="57"/>
      <c r="H310" s="4" t="s">
        <v>6630</v>
      </c>
      <c r="I310" s="4"/>
      <c r="J310" s="4"/>
      <c r="K310" s="54"/>
      <c r="L310" s="57"/>
      <c r="M310" s="57"/>
      <c r="N310" s="4" t="s">
        <v>4025</v>
      </c>
      <c r="O310" s="4">
        <v>1483034028</v>
      </c>
      <c r="P310" s="4">
        <v>1483034028</v>
      </c>
      <c r="Q310" s="767"/>
      <c r="R310" s="767"/>
      <c r="S310" s="4"/>
      <c r="T310" s="4"/>
      <c r="U310" s="4"/>
      <c r="V310" s="4"/>
      <c r="W310" s="4"/>
      <c r="X310" s="4" t="s">
        <v>4025</v>
      </c>
      <c r="Y310" s="4" t="s">
        <v>4066</v>
      </c>
      <c r="Z310" s="35"/>
      <c r="AA310" s="1" t="str">
        <f>IFERROR(VLOOKUP(D:D,[1]Габариты!$A:$I,9,0),"")</f>
        <v>Вакансия</v>
      </c>
      <c r="AB310" s="6" t="str">
        <f>IFERROR(VLOOKUP(D:D,[1]Габариты!$A:$D,4,0),"")</f>
        <v>СТЕЛЛАЖИ</v>
      </c>
      <c r="AC310" s="39" t="str">
        <f>D310</f>
        <v>3810.09/01</v>
      </c>
      <c r="AD310" s="13" t="str">
        <f>C310</f>
        <v>FBO</v>
      </c>
    </row>
    <row r="311" spans="1:30" s="6" customFormat="1" ht="20.100000000000001" customHeight="1" outlineLevel="1" x14ac:dyDescent="0.25">
      <c r="A311" s="669" t="s">
        <v>8162</v>
      </c>
      <c r="B311" s="341"/>
      <c r="C311" s="343" t="s">
        <v>2582</v>
      </c>
      <c r="D311" s="349" t="s">
        <v>5792</v>
      </c>
      <c r="E311" s="345">
        <v>22</v>
      </c>
      <c r="F311" s="346" t="s">
        <v>6301</v>
      </c>
      <c r="G311" s="347" t="s">
        <v>5840</v>
      </c>
      <c r="H311" s="345" t="s">
        <v>5840</v>
      </c>
      <c r="I311" s="345"/>
      <c r="J311" s="345"/>
      <c r="K311" s="346" t="s">
        <v>6301</v>
      </c>
      <c r="L311" s="347">
        <v>1422206910</v>
      </c>
      <c r="M311" s="347">
        <v>1422206910</v>
      </c>
      <c r="N311" s="345" t="s">
        <v>8208</v>
      </c>
      <c r="O311" s="345">
        <v>1831189396</v>
      </c>
      <c r="P311" s="345">
        <v>1831189396</v>
      </c>
      <c r="Q311" s="783"/>
      <c r="R311" s="783"/>
      <c r="S311" s="345"/>
      <c r="T311" s="345"/>
      <c r="U311" s="345"/>
      <c r="V311" s="345"/>
      <c r="W311" s="345"/>
      <c r="X311" s="345" t="s">
        <v>8208</v>
      </c>
      <c r="Y311" s="345"/>
      <c r="Z311" s="35"/>
      <c r="AA311" s="1" t="str">
        <f>IFERROR(VLOOKUP(D:D,[1]Габариты!$A:$I,9,0),"")</f>
        <v>Вакансия</v>
      </c>
      <c r="AB311" s="6" t="str">
        <f>IFERROR(VLOOKUP(D:D,[1]Габариты!$A:$D,4,0),"")</f>
        <v>СТЕЛЛАЖИ</v>
      </c>
      <c r="AC311" s="39" t="str">
        <f>D311</f>
        <v>MK2420101</v>
      </c>
      <c r="AD311" s="343" t="str">
        <f>C311</f>
        <v>FBO</v>
      </c>
    </row>
    <row r="312" spans="1:30" s="6" customFormat="1" ht="20.100000000000001" customHeight="1" outlineLevel="1" x14ac:dyDescent="0.25">
      <c r="A312" s="670" t="s">
        <v>7656</v>
      </c>
      <c r="B312" s="180"/>
      <c r="C312" s="182" t="s">
        <v>2582</v>
      </c>
      <c r="D312" s="187" t="s">
        <v>5790</v>
      </c>
      <c r="E312" s="184">
        <v>24</v>
      </c>
      <c r="F312" s="185" t="s">
        <v>5765</v>
      </c>
      <c r="G312" s="186" t="s">
        <v>5838</v>
      </c>
      <c r="H312" s="184" t="s">
        <v>7698</v>
      </c>
      <c r="I312" s="184"/>
      <c r="J312" s="184"/>
      <c r="K312" s="54" t="s">
        <v>5765</v>
      </c>
      <c r="L312" s="186">
        <v>1371462144</v>
      </c>
      <c r="M312" s="186">
        <v>1371462144</v>
      </c>
      <c r="N312" s="184" t="s">
        <v>7787</v>
      </c>
      <c r="O312" s="184">
        <v>1756718029</v>
      </c>
      <c r="P312" s="184">
        <v>1756718029</v>
      </c>
      <c r="Q312" s="810"/>
      <c r="R312" s="810"/>
      <c r="S312" s="184"/>
      <c r="T312" s="184"/>
      <c r="U312" s="184"/>
      <c r="V312" s="184"/>
      <c r="W312" s="184"/>
      <c r="X312" s="184" t="s">
        <v>7787</v>
      </c>
      <c r="Y312" s="184"/>
      <c r="Z312" s="35"/>
      <c r="AA312" s="1" t="str">
        <f>IFERROR(VLOOKUP(D:D,[1]Габариты!$A:$I,9,0),"")</f>
        <v>Вакансия</v>
      </c>
      <c r="AB312" s="6" t="str">
        <f>IFERROR(VLOOKUP(D:D,[1]Габариты!$A:$D,4,0),"")</f>
        <v>СТЕЛЛАЖИ</v>
      </c>
      <c r="AC312" s="39" t="str">
        <f>D312</f>
        <v>MK1450101</v>
      </c>
      <c r="AD312" s="13" t="str">
        <f>C312</f>
        <v>FBO</v>
      </c>
    </row>
    <row r="313" spans="1:30" s="6" customFormat="1" ht="20.100000000000001" customHeight="1" x14ac:dyDescent="0.2">
      <c r="A313" s="754" t="s">
        <v>434</v>
      </c>
      <c r="B313" s="756" t="s">
        <v>5530</v>
      </c>
      <c r="C313" s="122"/>
      <c r="D313" s="123"/>
      <c r="E313" s="124">
        <v>18</v>
      </c>
      <c r="F313" s="125"/>
      <c r="G313" s="126"/>
      <c r="H313" s="124"/>
      <c r="I313" s="124"/>
      <c r="J313" s="124"/>
      <c r="K313" s="125"/>
      <c r="L313" s="126"/>
      <c r="M313" s="126"/>
      <c r="N313" s="811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AA313" s="1" t="str">
        <f>IFERROR(VLOOKUP(D:D,[1]Габариты!$A:$I,9,0),"")</f>
        <v/>
      </c>
      <c r="AB313" s="6" t="str">
        <f>IFERROR(VLOOKUP(D:D,[1]Габариты!$A:$D,4,0),"")</f>
        <v/>
      </c>
      <c r="AC313" s="39"/>
      <c r="AD313" s="3"/>
    </row>
    <row r="314" spans="1:30" s="6" customFormat="1" ht="20.100000000000001" customHeight="1" outlineLevel="1" x14ac:dyDescent="0.25">
      <c r="A314" s="633" t="s">
        <v>4146</v>
      </c>
      <c r="B314" s="2"/>
      <c r="C314" s="13" t="s">
        <v>2582</v>
      </c>
      <c r="D314" s="44" t="s">
        <v>4147</v>
      </c>
      <c r="E314" s="4">
        <v>16</v>
      </c>
      <c r="F314" s="106" t="s">
        <v>7898</v>
      </c>
      <c r="G314" s="57"/>
      <c r="H314" s="4" t="s">
        <v>6638</v>
      </c>
      <c r="I314" s="4"/>
      <c r="J314" s="4"/>
      <c r="K314" s="54"/>
      <c r="L314" s="57"/>
      <c r="M314" s="57"/>
      <c r="N314" s="4" t="s">
        <v>4252</v>
      </c>
      <c r="O314" s="4">
        <v>1601531529</v>
      </c>
      <c r="P314" s="4">
        <v>1601531529</v>
      </c>
      <c r="Q314" s="767"/>
      <c r="R314" s="767"/>
      <c r="S314" s="4"/>
      <c r="T314" s="4"/>
      <c r="U314" s="4"/>
      <c r="V314" s="4"/>
      <c r="W314" s="4"/>
      <c r="X314" s="4" t="s">
        <v>4250</v>
      </c>
      <c r="Y314" s="4"/>
      <c r="Z314" s="35"/>
      <c r="AA314" s="1" t="str">
        <f>IFERROR(VLOOKUP(D:D,[1]Габариты!$A:$I,9,0),"")</f>
        <v>Вакансия</v>
      </c>
      <c r="AB314" s="6" t="str">
        <f>IFERROR(VLOOKUP(D:D,[1]Габариты!$A:$D,4,0),"")</f>
        <v>СТЕЛЛАЖИ</v>
      </c>
      <c r="AC314" s="39" t="str">
        <f t="shared" ref="AC314:AC356" si="59">D314</f>
        <v>3709.20/01</v>
      </c>
      <c r="AD314" s="13" t="str">
        <f t="shared" ref="AD314:AD317" si="60">C314</f>
        <v>FBO</v>
      </c>
    </row>
    <row r="315" spans="1:30" s="6" customFormat="1" ht="20.100000000000001" customHeight="1" outlineLevel="1" x14ac:dyDescent="0.25">
      <c r="A315" s="633" t="s">
        <v>4758</v>
      </c>
      <c r="B315" s="25"/>
      <c r="C315" s="13" t="s">
        <v>4050</v>
      </c>
      <c r="D315" s="39" t="s">
        <v>4759</v>
      </c>
      <c r="E315" s="4">
        <v>12</v>
      </c>
      <c r="F315" s="101" t="s">
        <v>7627</v>
      </c>
      <c r="G315" s="57" t="s">
        <v>5657</v>
      </c>
      <c r="H315" s="4" t="s">
        <v>6729</v>
      </c>
      <c r="I315" s="4"/>
      <c r="J315" s="4"/>
      <c r="K315" s="54" t="s">
        <v>7627</v>
      </c>
      <c r="L315" s="57">
        <v>1781379211</v>
      </c>
      <c r="M315" s="57">
        <v>1781379211</v>
      </c>
      <c r="N315" s="4" t="s">
        <v>4760</v>
      </c>
      <c r="O315" s="4">
        <v>1674356429</v>
      </c>
      <c r="P315" s="4">
        <v>1674356429</v>
      </c>
      <c r="Q315" s="767"/>
      <c r="R315" s="767"/>
      <c r="S315" s="4"/>
      <c r="T315" s="4"/>
      <c r="U315" s="4"/>
      <c r="V315" s="4"/>
      <c r="W315" s="4"/>
      <c r="X315" s="4" t="s">
        <v>4760</v>
      </c>
      <c r="Y315" s="4"/>
      <c r="Z315" s="35"/>
      <c r="AA315" s="1" t="str">
        <f>IFERROR(VLOOKUP(D:D,[1]Габариты!$A:$I,9,0),"")</f>
        <v>Вакансия</v>
      </c>
      <c r="AB315" s="6" t="str">
        <f>IFERROR(VLOOKUP(D:D,[1]Габариты!$A:$D,4,0),"")</f>
        <v>СТЕЛЛАЖИ</v>
      </c>
      <c r="AC315" s="39" t="str">
        <f t="shared" si="59"/>
        <v>4154.17.05/01</v>
      </c>
      <c r="AD315" s="13" t="str">
        <f t="shared" si="60"/>
        <v>СКГТ (ОЗОН)</v>
      </c>
    </row>
    <row r="316" spans="1:30" s="6" customFormat="1" ht="20.100000000000001" customHeight="1" outlineLevel="1" x14ac:dyDescent="0.25">
      <c r="A316" s="633" t="s">
        <v>4180</v>
      </c>
      <c r="B316" s="2"/>
      <c r="C316" s="13" t="s">
        <v>2582</v>
      </c>
      <c r="D316" s="44" t="s">
        <v>4182</v>
      </c>
      <c r="E316" s="4">
        <v>33</v>
      </c>
      <c r="F316" s="106" t="s">
        <v>7959</v>
      </c>
      <c r="G316" s="57"/>
      <c r="H316" s="4" t="s">
        <v>6641</v>
      </c>
      <c r="I316" s="4"/>
      <c r="J316" s="4"/>
      <c r="K316" s="54"/>
      <c r="L316" s="57"/>
      <c r="M316" s="57"/>
      <c r="N316" s="4" t="s">
        <v>4209</v>
      </c>
      <c r="O316" s="4">
        <v>1586529959</v>
      </c>
      <c r="P316" s="4">
        <v>1586529959</v>
      </c>
      <c r="Q316" s="767"/>
      <c r="R316" s="767"/>
      <c r="S316" s="4"/>
      <c r="T316" s="4"/>
      <c r="U316" s="4"/>
      <c r="V316" s="4"/>
      <c r="W316" s="4"/>
      <c r="X316" s="4" t="s">
        <v>4209</v>
      </c>
      <c r="Y316" s="4"/>
      <c r="Z316" s="35"/>
      <c r="AA316" s="1" t="str">
        <f>IFERROR(VLOOKUP(D:D,[1]Габариты!$A:$I,9,0),"")</f>
        <v>Вакансия</v>
      </c>
      <c r="AB316" s="6" t="str">
        <f>IFERROR(VLOOKUP(D:D,[1]Габариты!$A:$D,4,0),"")</f>
        <v>СТЕЛЛАЖИ</v>
      </c>
      <c r="AC316" s="39" t="str">
        <f t="shared" si="59"/>
        <v>3708.09/01</v>
      </c>
      <c r="AD316" s="13" t="str">
        <f t="shared" si="60"/>
        <v>FBO</v>
      </c>
    </row>
    <row r="317" spans="1:30" s="6" customFormat="1" ht="20.100000000000001" customHeight="1" outlineLevel="1" x14ac:dyDescent="0.25">
      <c r="A317" s="671" t="s">
        <v>8471</v>
      </c>
      <c r="B317" s="453"/>
      <c r="C317" s="455" t="s">
        <v>2582</v>
      </c>
      <c r="D317" s="460" t="s">
        <v>8470</v>
      </c>
      <c r="E317" s="459">
        <v>18</v>
      </c>
      <c r="F317" s="457"/>
      <c r="G317" s="458"/>
      <c r="H317" s="459" t="s">
        <v>8469</v>
      </c>
      <c r="I317" s="459"/>
      <c r="J317" s="459"/>
      <c r="K317" s="457"/>
      <c r="L317" s="458"/>
      <c r="M317" s="458"/>
      <c r="N317" s="459" t="s">
        <v>8523</v>
      </c>
      <c r="O317" s="459">
        <v>1931563502</v>
      </c>
      <c r="P317" s="459">
        <v>1931563502</v>
      </c>
      <c r="Q317" s="789"/>
      <c r="R317" s="789"/>
      <c r="S317" s="459"/>
      <c r="T317" s="459"/>
      <c r="U317" s="459"/>
      <c r="V317" s="459"/>
      <c r="W317" s="459"/>
      <c r="X317" s="459"/>
      <c r="Y317" s="459"/>
      <c r="Z317" s="35"/>
      <c r="AA317" s="1" t="str">
        <f>IFERROR(VLOOKUP(D:D,[1]Габариты!$A:$I,9,0),"")</f>
        <v>Основной ассортимент</v>
      </c>
      <c r="AB317" s="6" t="str">
        <f>IFERROR(VLOOKUP(D:D,[1]Габариты!$A:$D,4,0),"")</f>
        <v>СТЕЛЛАЖИ</v>
      </c>
      <c r="AC317" s="39" t="str">
        <f t="shared" si="59"/>
        <v>4303.07.05.24/01</v>
      </c>
      <c r="AD317" s="13" t="str">
        <f t="shared" si="60"/>
        <v>FBO</v>
      </c>
    </row>
    <row r="318" spans="1:30" s="6" customFormat="1" ht="20.100000000000001" customHeight="1" outlineLevel="1" x14ac:dyDescent="0.25">
      <c r="A318" s="672" t="s">
        <v>8703</v>
      </c>
      <c r="B318" s="579"/>
      <c r="C318" s="13" t="s">
        <v>4050</v>
      </c>
      <c r="D318" s="580">
        <v>3209</v>
      </c>
      <c r="E318" s="581">
        <v>12</v>
      </c>
      <c r="F318" s="582"/>
      <c r="G318" s="583"/>
      <c r="H318" s="581" t="s">
        <v>8702</v>
      </c>
      <c r="I318" s="581"/>
      <c r="J318" s="581"/>
      <c r="K318" s="582"/>
      <c r="L318" s="583"/>
      <c r="M318" s="583"/>
      <c r="N318" s="581"/>
      <c r="O318" s="581"/>
      <c r="P318" s="581"/>
      <c r="Q318" s="812"/>
      <c r="R318" s="812"/>
      <c r="S318" s="581"/>
      <c r="T318" s="581"/>
      <c r="U318" s="581"/>
      <c r="V318" s="581"/>
      <c r="W318" s="581"/>
      <c r="X318" s="581"/>
      <c r="Y318" s="581"/>
      <c r="Z318" s="35"/>
      <c r="AA318" s="1" t="str">
        <f>IFERROR(VLOOKUP(D:D,[1]Габариты!$A:$I,9,0),"")</f>
        <v>Основной ассортимент</v>
      </c>
      <c r="AB318" s="6" t="str">
        <f>IFERROR(VLOOKUP(D:D,[1]Габариты!$A:$D,4,0),"")</f>
        <v>СТЕЛЛАЖИ</v>
      </c>
      <c r="AC318" s="39">
        <f t="shared" ref="AC318" si="61">D318</f>
        <v>3209</v>
      </c>
      <c r="AD318" s="13" t="str">
        <f t="shared" ref="AD318" si="62">C318</f>
        <v>СКГТ (ОЗОН)</v>
      </c>
    </row>
    <row r="319" spans="1:30" s="6" customFormat="1" ht="20.100000000000001" customHeight="1" x14ac:dyDescent="0.25">
      <c r="A319" s="631" t="s">
        <v>7472</v>
      </c>
      <c r="B319" s="121"/>
      <c r="C319" s="13" t="s">
        <v>4328</v>
      </c>
      <c r="D319" s="123">
        <v>4054</v>
      </c>
      <c r="E319" s="124">
        <v>20</v>
      </c>
      <c r="F319" s="125">
        <v>4054</v>
      </c>
      <c r="G319" s="126"/>
      <c r="H319" s="124" t="s">
        <v>7474</v>
      </c>
      <c r="I319" s="124"/>
      <c r="J319" s="124"/>
      <c r="K319" s="125"/>
      <c r="L319" s="126"/>
      <c r="M319" s="126"/>
      <c r="N319" s="4" t="s">
        <v>7499</v>
      </c>
      <c r="O319" s="124">
        <v>1713054521</v>
      </c>
      <c r="P319" s="124">
        <v>1713054521</v>
      </c>
      <c r="Q319" s="124"/>
      <c r="R319" s="124"/>
      <c r="S319" s="124"/>
      <c r="T319" s="124"/>
      <c r="U319" s="124"/>
      <c r="V319" s="124"/>
      <c r="W319" s="124"/>
      <c r="X319" s="124" t="s">
        <v>7499</v>
      </c>
      <c r="Y319" s="124"/>
      <c r="AA319" s="1" t="str">
        <f>IFERROR(VLOOKUP(D:D,[1]Габариты!$A:$I,9,0),"")</f>
        <v>Вакансия</v>
      </c>
      <c r="AB319" s="6" t="str">
        <f>IFERROR(VLOOKUP(D:D,[1]Габариты!$A:$D,4,0),"")</f>
        <v>СТЕЛЛАЖИ</v>
      </c>
      <c r="AC319" s="39">
        <f>D319</f>
        <v>4054</v>
      </c>
      <c r="AD319" s="13" t="str">
        <f>C319</f>
        <v>СКГТ</v>
      </c>
    </row>
    <row r="320" spans="1:30" s="6" customFormat="1" ht="20.100000000000001" customHeight="1" outlineLevel="1" x14ac:dyDescent="0.2">
      <c r="A320" s="754" t="s">
        <v>434</v>
      </c>
      <c r="B320" s="754" t="s">
        <v>7774</v>
      </c>
      <c r="C320" s="164"/>
      <c r="D320" s="170"/>
      <c r="E320" s="166"/>
      <c r="F320" s="167"/>
      <c r="G320" s="168"/>
      <c r="H320" s="166"/>
      <c r="I320" s="166"/>
      <c r="J320" s="166"/>
      <c r="K320" s="167"/>
      <c r="L320" s="168"/>
      <c r="M320" s="168"/>
      <c r="N320" s="166"/>
      <c r="O320" s="166"/>
      <c r="P320" s="166"/>
      <c r="Q320" s="793"/>
      <c r="R320" s="793"/>
      <c r="S320" s="166"/>
      <c r="T320" s="166"/>
      <c r="U320" s="166"/>
      <c r="V320" s="166"/>
      <c r="W320" s="166"/>
      <c r="X320" s="166"/>
      <c r="Y320" s="166"/>
      <c r="Z320" s="35"/>
      <c r="AA320" s="1" t="str">
        <f>IFERROR(VLOOKUP(D:D,[1]Габариты!$A:$I,9,0),"")</f>
        <v/>
      </c>
      <c r="AB320" s="6" t="str">
        <f>IFERROR(VLOOKUP(D:D,[1]Габариты!$A:$D,4,0),"")</f>
        <v/>
      </c>
      <c r="AC320" s="39"/>
      <c r="AD320" s="3"/>
    </row>
    <row r="321" spans="1:30" s="6" customFormat="1" ht="20.100000000000001" customHeight="1" outlineLevel="1" x14ac:dyDescent="0.25">
      <c r="A321" s="635" t="s">
        <v>4428</v>
      </c>
      <c r="B321" s="25"/>
      <c r="C321" s="13" t="s">
        <v>4050</v>
      </c>
      <c r="D321" s="39" t="s">
        <v>4426</v>
      </c>
      <c r="E321" s="4">
        <v>8</v>
      </c>
      <c r="F321" s="101" t="s">
        <v>7907</v>
      </c>
      <c r="G321" s="57" t="s">
        <v>5703</v>
      </c>
      <c r="H321" s="4" t="s">
        <v>6611</v>
      </c>
      <c r="I321" s="4"/>
      <c r="J321" s="4"/>
      <c r="K321" s="54"/>
      <c r="L321" s="57"/>
      <c r="M321" s="57"/>
      <c r="N321" s="4" t="s">
        <v>4459</v>
      </c>
      <c r="O321" s="4">
        <v>1651721371</v>
      </c>
      <c r="P321" s="4">
        <v>1651721371</v>
      </c>
      <c r="Q321" s="767"/>
      <c r="R321" s="767"/>
      <c r="S321" s="4"/>
      <c r="T321" s="4"/>
      <c r="U321" s="4"/>
      <c r="V321" s="4"/>
      <c r="W321" s="4"/>
      <c r="X321" s="4"/>
      <c r="Y321" s="4"/>
      <c r="Z321" s="35"/>
      <c r="AA321" s="1" t="str">
        <f>IFERROR(VLOOKUP(D:D,[1]Габариты!$A:$I,9,0),"")</f>
        <v>Вакансия</v>
      </c>
      <c r="AB321" s="6" t="str">
        <f>IFERROR(VLOOKUP(D:D,[1]Габариты!$A:$D,4,0),"")</f>
        <v>СТЕЛЛАЖИ</v>
      </c>
      <c r="AC321" s="39" t="str">
        <f t="shared" si="59"/>
        <v>MK2990101</v>
      </c>
      <c r="AD321" s="13" t="str">
        <f t="shared" ref="AD321:AD339" si="63">C321</f>
        <v>СКГТ (ОЗОН)</v>
      </c>
    </row>
    <row r="322" spans="1:30" s="6" customFormat="1" ht="20.100000000000001" customHeight="1" outlineLevel="1" x14ac:dyDescent="0.25">
      <c r="A322" s="673" t="s">
        <v>8701</v>
      </c>
      <c r="B322" s="576"/>
      <c r="C322" s="571" t="s">
        <v>2582</v>
      </c>
      <c r="D322" s="572" t="s">
        <v>8700</v>
      </c>
      <c r="E322" s="573">
        <v>20</v>
      </c>
      <c r="F322" s="574"/>
      <c r="G322" s="575"/>
      <c r="H322" s="573" t="s">
        <v>8699</v>
      </c>
      <c r="I322" s="573"/>
      <c r="J322" s="573"/>
      <c r="K322" s="574"/>
      <c r="L322" s="575"/>
      <c r="M322" s="575"/>
      <c r="N322" s="573" t="s">
        <v>8707</v>
      </c>
      <c r="O322" s="573">
        <v>2230066881</v>
      </c>
      <c r="P322" s="573">
        <v>2230066881</v>
      </c>
      <c r="Q322" s="778"/>
      <c r="R322" s="778"/>
      <c r="S322" s="573"/>
      <c r="T322" s="573"/>
      <c r="U322" s="573"/>
      <c r="V322" s="573"/>
      <c r="W322" s="573"/>
      <c r="X322" s="573"/>
      <c r="Y322" s="573"/>
      <c r="Z322" s="35"/>
      <c r="AA322" s="1" t="str">
        <f>IFERROR(VLOOKUP(D:D,[1]Габариты!$A:$I,9,0),"")</f>
        <v>Основной ассортимент</v>
      </c>
      <c r="AB322" s="6" t="str">
        <f>IFERROR(VLOOKUP(D:D,[1]Габариты!$A:$D,4,0),"")</f>
        <v>СТЕЛЛАЖИ</v>
      </c>
      <c r="AC322" s="39" t="str">
        <f t="shared" ref="AC322" si="64">D322</f>
        <v>20035.17/01</v>
      </c>
      <c r="AD322" s="13" t="str">
        <f t="shared" ref="AD322" si="65">C322</f>
        <v>FBO</v>
      </c>
    </row>
    <row r="323" spans="1:30" s="1" customFormat="1" ht="20.100000000000001" customHeight="1" outlineLevel="1" x14ac:dyDescent="0.2">
      <c r="A323" s="754" t="s">
        <v>440</v>
      </c>
      <c r="B323" s="754" t="s">
        <v>3539</v>
      </c>
      <c r="C323" s="13"/>
      <c r="D323" s="42"/>
      <c r="E323" s="4"/>
      <c r="F323" s="101"/>
      <c r="G323" s="57"/>
      <c r="H323" s="4"/>
      <c r="I323" s="4"/>
      <c r="J323" s="4"/>
      <c r="K323" s="54"/>
      <c r="L323" s="57"/>
      <c r="M323" s="57"/>
      <c r="N323" s="766"/>
      <c r="O323" s="4"/>
      <c r="P323" s="4"/>
      <c r="Q323" s="767"/>
      <c r="R323" s="767"/>
      <c r="S323" s="4"/>
      <c r="T323" s="4"/>
      <c r="U323" s="4"/>
      <c r="V323" s="4"/>
      <c r="W323" s="4"/>
      <c r="X323" s="4"/>
      <c r="Y323" s="4" t="s">
        <v>4066</v>
      </c>
      <c r="Z323" s="35"/>
      <c r="AA323" s="1" t="str">
        <f>IFERROR(VLOOKUP(D:D,[1]Габариты!$A:$I,9,0),"")</f>
        <v/>
      </c>
      <c r="AB323" s="6" t="str">
        <f>IFERROR(VLOOKUP(D:D,[1]Габариты!$A:$D,4,0),"")</f>
        <v/>
      </c>
      <c r="AC323" s="39"/>
      <c r="AD323" s="3"/>
    </row>
    <row r="324" spans="1:30" s="6" customFormat="1" ht="20.100000000000001" customHeight="1" outlineLevel="1" x14ac:dyDescent="0.25">
      <c r="A324" s="635" t="s">
        <v>269</v>
      </c>
      <c r="B324" s="3"/>
      <c r="C324" s="13" t="s">
        <v>2582</v>
      </c>
      <c r="D324" s="39">
        <v>3030</v>
      </c>
      <c r="E324" s="4">
        <v>54</v>
      </c>
      <c r="F324" s="101">
        <v>3030</v>
      </c>
      <c r="G324" s="57" t="s">
        <v>4966</v>
      </c>
      <c r="H324" s="4" t="s">
        <v>6730</v>
      </c>
      <c r="I324" s="4" t="s">
        <v>1260</v>
      </c>
      <c r="J324" s="4" t="s">
        <v>1858</v>
      </c>
      <c r="K324" s="54" t="s">
        <v>2323</v>
      </c>
      <c r="L324" s="57">
        <v>275344073</v>
      </c>
      <c r="M324" s="57">
        <v>275344073</v>
      </c>
      <c r="N324" s="4" t="s">
        <v>749</v>
      </c>
      <c r="O324" s="4">
        <v>273217768</v>
      </c>
      <c r="P324" s="4">
        <v>273217771</v>
      </c>
      <c r="Q324" s="767" t="s">
        <v>2830</v>
      </c>
      <c r="R324" s="767">
        <v>321947600</v>
      </c>
      <c r="S324" s="4">
        <v>321947600</v>
      </c>
      <c r="T324" s="4" t="s">
        <v>3023</v>
      </c>
      <c r="U324" s="4">
        <v>889446589</v>
      </c>
      <c r="V324" s="4">
        <v>889446589</v>
      </c>
      <c r="W324" s="4" t="s">
        <v>2323</v>
      </c>
      <c r="X324" s="4" t="s">
        <v>749</v>
      </c>
      <c r="Y324" s="4">
        <v>3030</v>
      </c>
      <c r="Z324" s="35"/>
      <c r="AA324" s="1" t="str">
        <f>IFERROR(VLOOKUP(D:D,[1]Габариты!$A:$I,9,0),"")</f>
        <v>Основной ассортимент</v>
      </c>
      <c r="AB324" s="6" t="str">
        <f>IFERROR(VLOOKUP(D:D,[1]Габариты!$A:$D,4,0),"")</f>
        <v>СТОЛИКИ ЖУРНАЛЬНЫЕ</v>
      </c>
      <c r="AC324" s="39">
        <f t="shared" si="59"/>
        <v>3030</v>
      </c>
      <c r="AD324" s="13" t="str">
        <f t="shared" si="63"/>
        <v>FBO</v>
      </c>
    </row>
    <row r="325" spans="1:30" s="6" customFormat="1" ht="20.100000000000001" customHeight="1" outlineLevel="1" x14ac:dyDescent="0.25">
      <c r="A325" s="635" t="s">
        <v>270</v>
      </c>
      <c r="B325" s="3"/>
      <c r="C325" s="13" t="s">
        <v>2582</v>
      </c>
      <c r="D325" s="39">
        <v>3031</v>
      </c>
      <c r="E325" s="4">
        <v>54</v>
      </c>
      <c r="F325" s="101">
        <v>3031</v>
      </c>
      <c r="G325" s="57" t="s">
        <v>4967</v>
      </c>
      <c r="H325" s="4" t="s">
        <v>6731</v>
      </c>
      <c r="I325" s="4" t="s">
        <v>1261</v>
      </c>
      <c r="J325" s="4" t="s">
        <v>1859</v>
      </c>
      <c r="K325" s="54" t="s">
        <v>2324</v>
      </c>
      <c r="L325" s="57">
        <v>276385755</v>
      </c>
      <c r="M325" s="57">
        <v>276385755</v>
      </c>
      <c r="N325" s="4" t="s">
        <v>750</v>
      </c>
      <c r="O325" s="4">
        <v>276373510</v>
      </c>
      <c r="P325" s="4">
        <v>276734392</v>
      </c>
      <c r="Q325" s="767" t="s">
        <v>2831</v>
      </c>
      <c r="R325" s="767">
        <v>321949866</v>
      </c>
      <c r="S325" s="4">
        <v>321949885</v>
      </c>
      <c r="T325" s="4" t="s">
        <v>3024</v>
      </c>
      <c r="U325" s="4">
        <v>889460531</v>
      </c>
      <c r="V325" s="4">
        <v>889460531</v>
      </c>
      <c r="W325" s="4" t="s">
        <v>2324</v>
      </c>
      <c r="X325" s="4" t="s">
        <v>750</v>
      </c>
      <c r="Y325" s="4">
        <v>3031</v>
      </c>
      <c r="Z325" s="35"/>
      <c r="AA325" s="1" t="str">
        <f>IFERROR(VLOOKUP(D:D,[1]Габариты!$A:$I,9,0),"")</f>
        <v>Основной ассортимент</v>
      </c>
      <c r="AB325" s="6" t="str">
        <f>IFERROR(VLOOKUP(D:D,[1]Габариты!$A:$D,4,0),"")</f>
        <v>СТОЛИКИ ЖУРНАЛЬНЫЕ</v>
      </c>
      <c r="AC325" s="39">
        <f t="shared" si="59"/>
        <v>3031</v>
      </c>
      <c r="AD325" s="13" t="str">
        <f t="shared" si="63"/>
        <v>FBO</v>
      </c>
    </row>
    <row r="326" spans="1:30" s="6" customFormat="1" ht="20.100000000000001" customHeight="1" outlineLevel="1" x14ac:dyDescent="0.25">
      <c r="A326" s="635" t="s">
        <v>109</v>
      </c>
      <c r="B326" s="3"/>
      <c r="C326" s="13" t="s">
        <v>2582</v>
      </c>
      <c r="D326" s="39">
        <v>2852</v>
      </c>
      <c r="E326" s="4">
        <v>54</v>
      </c>
      <c r="F326" s="101">
        <v>2852</v>
      </c>
      <c r="G326" s="57" t="s">
        <v>4884</v>
      </c>
      <c r="H326" s="4" t="s">
        <v>6732</v>
      </c>
      <c r="I326" s="4" t="s">
        <v>1262</v>
      </c>
      <c r="J326" s="4" t="s">
        <v>1860</v>
      </c>
      <c r="K326" s="54" t="s">
        <v>2325</v>
      </c>
      <c r="L326" s="57">
        <v>196797033</v>
      </c>
      <c r="M326" s="57">
        <v>196797033</v>
      </c>
      <c r="N326" s="4" t="s">
        <v>662</v>
      </c>
      <c r="O326" s="4">
        <v>262591386</v>
      </c>
      <c r="P326" s="4">
        <v>262591397</v>
      </c>
      <c r="Q326" s="767" t="s">
        <v>2832</v>
      </c>
      <c r="R326" s="767">
        <v>321961361</v>
      </c>
      <c r="S326" s="4">
        <v>321961379</v>
      </c>
      <c r="T326" s="4" t="s">
        <v>3025</v>
      </c>
      <c r="U326" s="4">
        <v>889454731</v>
      </c>
      <c r="V326" s="4">
        <v>889454731</v>
      </c>
      <c r="W326" s="4" t="s">
        <v>2325</v>
      </c>
      <c r="X326" s="4" t="s">
        <v>662</v>
      </c>
      <c r="Y326" s="4">
        <v>2852</v>
      </c>
      <c r="Z326" s="35"/>
      <c r="AA326" s="1" t="str">
        <f>IFERROR(VLOOKUP(D:D,[1]Габариты!$A:$I,9,0),"")</f>
        <v>Основной ассортимент</v>
      </c>
      <c r="AB326" s="6" t="str">
        <f>IFERROR(VLOOKUP(D:D,[1]Габариты!$A:$D,4,0),"")</f>
        <v>СТОЛИКИ ЖУРНАЛЬНЫЕ</v>
      </c>
      <c r="AC326" s="39">
        <f t="shared" si="59"/>
        <v>2852</v>
      </c>
      <c r="AD326" s="13" t="str">
        <f t="shared" si="63"/>
        <v>FBO</v>
      </c>
    </row>
    <row r="327" spans="1:30" s="6" customFormat="1" ht="20.100000000000001" customHeight="1" outlineLevel="1" x14ac:dyDescent="0.25">
      <c r="A327" s="635" t="s">
        <v>1673</v>
      </c>
      <c r="B327" s="24"/>
      <c r="C327" s="13" t="s">
        <v>2582</v>
      </c>
      <c r="D327" s="40">
        <v>135573</v>
      </c>
      <c r="E327" s="4">
        <v>54</v>
      </c>
      <c r="F327" s="101">
        <v>135573</v>
      </c>
      <c r="G327" s="57"/>
      <c r="H327" s="4" t="s">
        <v>6739</v>
      </c>
      <c r="I327" s="4"/>
      <c r="J327" s="4" t="s">
        <v>1861</v>
      </c>
      <c r="K327" s="54"/>
      <c r="L327" s="57"/>
      <c r="M327" s="57"/>
      <c r="N327" s="4" t="s">
        <v>1696</v>
      </c>
      <c r="O327" s="4">
        <v>822911990</v>
      </c>
      <c r="P327" s="4">
        <v>822911989</v>
      </c>
      <c r="Q327" s="767"/>
      <c r="R327" s="767"/>
      <c r="S327" s="4"/>
      <c r="T327" s="4" t="s">
        <v>3026</v>
      </c>
      <c r="U327" s="4">
        <v>889480088</v>
      </c>
      <c r="V327" s="4">
        <v>889480088</v>
      </c>
      <c r="W327" s="4"/>
      <c r="X327" s="4" t="s">
        <v>1696</v>
      </c>
      <c r="Y327" s="4">
        <v>135573</v>
      </c>
      <c r="Z327" s="35"/>
      <c r="AA327" s="1" t="str">
        <f>IFERROR(VLOOKUP(D:D,[1]Габариты!$A:$I,9,0),"")</f>
        <v>Основной ассортимент</v>
      </c>
      <c r="AB327" s="6" t="str">
        <f>IFERROR(VLOOKUP(D:D,[1]Габариты!$A:$D,4,0),"")</f>
        <v>СТОЛИКИ ЖУРНАЛЬНЫЕ</v>
      </c>
      <c r="AC327" s="39">
        <f t="shared" si="59"/>
        <v>135573</v>
      </c>
      <c r="AD327" s="13" t="str">
        <f t="shared" si="63"/>
        <v>FBO</v>
      </c>
    </row>
    <row r="328" spans="1:30" s="6" customFormat="1" ht="20.100000000000001" customHeight="1" outlineLevel="1" x14ac:dyDescent="0.25">
      <c r="A328" s="635" t="s">
        <v>1674</v>
      </c>
      <c r="B328" s="24"/>
      <c r="C328" s="13" t="s">
        <v>2582</v>
      </c>
      <c r="D328" s="40">
        <v>135574</v>
      </c>
      <c r="E328" s="4">
        <v>54</v>
      </c>
      <c r="F328" s="101">
        <v>135574</v>
      </c>
      <c r="G328" s="57"/>
      <c r="H328" s="4" t="s">
        <v>6740</v>
      </c>
      <c r="I328" s="4"/>
      <c r="J328" s="4" t="s">
        <v>1862</v>
      </c>
      <c r="K328" s="54"/>
      <c r="L328" s="57"/>
      <c r="M328" s="57"/>
      <c r="N328" s="4" t="s">
        <v>1704</v>
      </c>
      <c r="O328" s="4">
        <v>822910328</v>
      </c>
      <c r="P328" s="4">
        <v>822910329</v>
      </c>
      <c r="Q328" s="767"/>
      <c r="R328" s="767"/>
      <c r="S328" s="4"/>
      <c r="T328" s="4" t="s">
        <v>3027</v>
      </c>
      <c r="U328" s="4">
        <v>889490698</v>
      </c>
      <c r="V328" s="4">
        <v>889490698</v>
      </c>
      <c r="W328" s="4"/>
      <c r="X328" s="4" t="s">
        <v>1704</v>
      </c>
      <c r="Y328" s="4">
        <v>135574</v>
      </c>
      <c r="Z328" s="35"/>
      <c r="AA328" s="1" t="str">
        <f>IFERROR(VLOOKUP(D:D,[1]Габариты!$A:$I,9,0),"")</f>
        <v>Основной ассортимент</v>
      </c>
      <c r="AB328" s="6" t="str">
        <f>IFERROR(VLOOKUP(D:D,[1]Габариты!$A:$D,4,0),"")</f>
        <v>СТОЛИКИ ЖУРНАЛЬНЫЕ</v>
      </c>
      <c r="AC328" s="39">
        <f t="shared" si="59"/>
        <v>135574</v>
      </c>
      <c r="AD328" s="13" t="str">
        <f t="shared" si="63"/>
        <v>FBO</v>
      </c>
    </row>
    <row r="329" spans="1:30" s="6" customFormat="1" ht="20.100000000000001" customHeight="1" outlineLevel="1" x14ac:dyDescent="0.25">
      <c r="A329" s="635" t="s">
        <v>3113</v>
      </c>
      <c r="B329" s="24"/>
      <c r="C329" s="13" t="s">
        <v>2582</v>
      </c>
      <c r="D329" s="40">
        <v>3609</v>
      </c>
      <c r="E329" s="4">
        <v>54</v>
      </c>
      <c r="F329" s="101">
        <v>3609</v>
      </c>
      <c r="G329" s="57"/>
      <c r="H329" s="4" t="s">
        <v>8681</v>
      </c>
      <c r="I329" s="4"/>
      <c r="J329" s="4" t="s">
        <v>3143</v>
      </c>
      <c r="K329" s="54"/>
      <c r="L329" s="57"/>
      <c r="M329" s="57"/>
      <c r="N329" s="4" t="s">
        <v>3114</v>
      </c>
      <c r="O329" s="4">
        <v>964512927</v>
      </c>
      <c r="P329" s="4">
        <v>964512927</v>
      </c>
      <c r="Q329" s="767"/>
      <c r="R329" s="767"/>
      <c r="S329" s="4"/>
      <c r="T329" s="4"/>
      <c r="U329" s="4"/>
      <c r="V329" s="4"/>
      <c r="W329" s="4"/>
      <c r="X329" s="4" t="s">
        <v>3114</v>
      </c>
      <c r="Y329" s="4" t="s">
        <v>4066</v>
      </c>
      <c r="Z329" s="35"/>
      <c r="AA329" s="1" t="str">
        <f>IFERROR(VLOOKUP(D:D,[1]Габариты!$A:$I,9,0),"")</f>
        <v>Основной ассортимент</v>
      </c>
      <c r="AB329" s="6" t="str">
        <f>IFERROR(VLOOKUP(D:D,[1]Габариты!$A:$D,4,0),"")</f>
        <v>СТОЛИКИ ЖУРНАЛЬНЫЕ</v>
      </c>
      <c r="AC329" s="39">
        <f t="shared" si="59"/>
        <v>3609</v>
      </c>
      <c r="AD329" s="13" t="str">
        <f t="shared" si="63"/>
        <v>FBO</v>
      </c>
    </row>
    <row r="330" spans="1:30" s="6" customFormat="1" ht="20.100000000000001" customHeight="1" outlineLevel="1" x14ac:dyDescent="0.25">
      <c r="A330" s="633" t="s">
        <v>3788</v>
      </c>
      <c r="B330" s="24"/>
      <c r="C330" s="13" t="s">
        <v>2582</v>
      </c>
      <c r="D330" s="40">
        <v>135602</v>
      </c>
      <c r="E330" s="4">
        <v>36</v>
      </c>
      <c r="F330" s="101"/>
      <c r="G330" s="57"/>
      <c r="H330" s="4" t="s">
        <v>6741</v>
      </c>
      <c r="I330" s="813"/>
      <c r="J330" s="4" t="s">
        <v>3820</v>
      </c>
      <c r="K330" s="54"/>
      <c r="L330" s="57"/>
      <c r="M330" s="57"/>
      <c r="N330" s="4" t="s">
        <v>3792</v>
      </c>
      <c r="O330" s="4">
        <v>1293033284</v>
      </c>
      <c r="P330" s="4">
        <v>1293033284</v>
      </c>
      <c r="Q330" s="767"/>
      <c r="R330" s="767"/>
      <c r="S330" s="4"/>
      <c r="T330" s="4" t="s">
        <v>4227</v>
      </c>
      <c r="U330" s="4">
        <v>1583595690</v>
      </c>
      <c r="V330" s="4">
        <v>1583595690</v>
      </c>
      <c r="W330" s="4"/>
      <c r="X330" s="4" t="s">
        <v>3792</v>
      </c>
      <c r="Y330" s="4" t="s">
        <v>4066</v>
      </c>
      <c r="Z330" s="35"/>
      <c r="AA330" s="1" t="str">
        <f>IFERROR(VLOOKUP(D:D,[1]Габариты!$A:$I,9,0),"")</f>
        <v>Основной ассортимент</v>
      </c>
      <c r="AB330" s="6" t="str">
        <f>IFERROR(VLOOKUP(D:D,[1]Габариты!$A:$D,4,0),"")</f>
        <v>СТОЛИКИ ЖУРНАЛЬНЫЕ</v>
      </c>
      <c r="AC330" s="39">
        <f t="shared" si="59"/>
        <v>135602</v>
      </c>
      <c r="AD330" s="13" t="str">
        <f t="shared" si="63"/>
        <v>FBO</v>
      </c>
    </row>
    <row r="331" spans="1:30" s="6" customFormat="1" ht="20.100000000000001" customHeight="1" outlineLevel="1" x14ac:dyDescent="0.25">
      <c r="A331" s="635" t="s">
        <v>3616</v>
      </c>
      <c r="B331" s="24"/>
      <c r="C331" s="13" t="s">
        <v>2582</v>
      </c>
      <c r="D331" s="40">
        <v>135603</v>
      </c>
      <c r="E331" s="4">
        <v>36</v>
      </c>
      <c r="F331" s="101"/>
      <c r="G331" s="57"/>
      <c r="H331" s="4" t="s">
        <v>6742</v>
      </c>
      <c r="I331" s="4"/>
      <c r="J331" s="4" t="s">
        <v>3633</v>
      </c>
      <c r="K331" s="54"/>
      <c r="L331" s="57"/>
      <c r="M331" s="57"/>
      <c r="N331" s="4" t="s">
        <v>3620</v>
      </c>
      <c r="O331" s="4">
        <v>1089398534</v>
      </c>
      <c r="P331" s="4">
        <v>1089398535</v>
      </c>
      <c r="Q331" s="767"/>
      <c r="R331" s="767"/>
      <c r="S331" s="4"/>
      <c r="T331" s="4" t="s">
        <v>3659</v>
      </c>
      <c r="U331" s="4">
        <v>1099682311</v>
      </c>
      <c r="V331" s="4">
        <v>1099682311</v>
      </c>
      <c r="W331" s="4"/>
      <c r="X331" s="4" t="s">
        <v>3620</v>
      </c>
      <c r="Y331" s="4">
        <v>135603</v>
      </c>
      <c r="Z331" s="35"/>
      <c r="AA331" s="1" t="str">
        <f>IFERROR(VLOOKUP(D:D,[1]Габариты!$A:$I,9,0),"")</f>
        <v>Основной ассортимент</v>
      </c>
      <c r="AB331" s="6" t="str">
        <f>IFERROR(VLOOKUP(D:D,[1]Габариты!$A:$D,4,0),"")</f>
        <v>СТОЛИКИ ЖУРНАЛЬНЫЕ</v>
      </c>
      <c r="AC331" s="39">
        <f t="shared" si="59"/>
        <v>135603</v>
      </c>
      <c r="AD331" s="13" t="str">
        <f t="shared" si="63"/>
        <v>FBO</v>
      </c>
    </row>
    <row r="332" spans="1:30" s="6" customFormat="1" ht="20.100000000000001" customHeight="1" outlineLevel="1" x14ac:dyDescent="0.25">
      <c r="A332" s="635" t="s">
        <v>3615</v>
      </c>
      <c r="B332" s="24"/>
      <c r="C332" s="13" t="s">
        <v>2582</v>
      </c>
      <c r="D332" s="40">
        <v>135604</v>
      </c>
      <c r="E332" s="4">
        <v>36</v>
      </c>
      <c r="F332" s="101"/>
      <c r="G332" s="57"/>
      <c r="H332" s="4" t="s">
        <v>6743</v>
      </c>
      <c r="I332" s="4"/>
      <c r="J332" s="4" t="s">
        <v>3634</v>
      </c>
      <c r="K332" s="54"/>
      <c r="L332" s="57"/>
      <c r="M332" s="57"/>
      <c r="N332" s="4" t="s">
        <v>3622</v>
      </c>
      <c r="O332" s="4">
        <v>1095243532</v>
      </c>
      <c r="P332" s="4">
        <v>1095243531</v>
      </c>
      <c r="Q332" s="767"/>
      <c r="R332" s="767"/>
      <c r="S332" s="4"/>
      <c r="T332" s="4" t="s">
        <v>3660</v>
      </c>
      <c r="U332" s="4">
        <v>1099738354</v>
      </c>
      <c r="V332" s="4">
        <v>1099738354</v>
      </c>
      <c r="W332" s="4"/>
      <c r="X332" s="4" t="s">
        <v>3622</v>
      </c>
      <c r="Y332" s="4" t="s">
        <v>4066</v>
      </c>
      <c r="Z332" s="35"/>
      <c r="AA332" s="1" t="str">
        <f>IFERROR(VLOOKUP(D:D,[1]Габариты!$A:$I,9,0),"")</f>
        <v>Основной ассортимент</v>
      </c>
      <c r="AB332" s="6" t="str">
        <f>IFERROR(VLOOKUP(D:D,[1]Габариты!$A:$D,4,0),"")</f>
        <v>СТОЛИКИ ЖУРНАЛЬНЫЕ</v>
      </c>
      <c r="AC332" s="39">
        <f t="shared" si="59"/>
        <v>135604</v>
      </c>
      <c r="AD332" s="13" t="str">
        <f t="shared" si="63"/>
        <v>FBO</v>
      </c>
    </row>
    <row r="333" spans="1:30" s="6" customFormat="1" ht="20.100000000000001" customHeight="1" outlineLevel="1" x14ac:dyDescent="0.25">
      <c r="A333" s="635" t="s">
        <v>4596</v>
      </c>
      <c r="B333" s="3"/>
      <c r="C333" s="13" t="s">
        <v>2582</v>
      </c>
      <c r="D333" s="39" t="s">
        <v>4595</v>
      </c>
      <c r="E333" s="4">
        <v>68</v>
      </c>
      <c r="F333" s="101" t="s">
        <v>6235</v>
      </c>
      <c r="G333" s="57" t="s">
        <v>7464</v>
      </c>
      <c r="H333" s="4" t="s">
        <v>6733</v>
      </c>
      <c r="I333" s="4"/>
      <c r="J333" s="4"/>
      <c r="K333" s="54" t="s">
        <v>6235</v>
      </c>
      <c r="L333" s="57">
        <v>1781379234</v>
      </c>
      <c r="M333" s="57">
        <v>1781379234</v>
      </c>
      <c r="N333" s="4" t="s">
        <v>4597</v>
      </c>
      <c r="O333" s="4">
        <v>1658183826</v>
      </c>
      <c r="P333" s="4">
        <v>1658183826</v>
      </c>
      <c r="Q333" s="767"/>
      <c r="R333" s="767"/>
      <c r="S333" s="4"/>
      <c r="T333" s="4"/>
      <c r="U333" s="4"/>
      <c r="V333" s="4"/>
      <c r="W333" s="4"/>
      <c r="X333" s="4" t="s">
        <v>4597</v>
      </c>
      <c r="Y333" s="4"/>
      <c r="Z333" s="35"/>
      <c r="AA333" s="1" t="str">
        <f>IFERROR(VLOOKUP(D:D,[1]Габариты!$A:$I,9,0),"")</f>
        <v>Основной ассортимент</v>
      </c>
      <c r="AB333" s="6" t="str">
        <f>IFERROR(VLOOKUP(D:D,[1]Габариты!$A:$D,4,0),"")</f>
        <v>СТОЛИКИ ЖУРНАЛЬНЫЕ</v>
      </c>
      <c r="AC333" s="39" t="str">
        <f t="shared" si="59"/>
        <v>MK2650101</v>
      </c>
      <c r="AD333" s="13" t="str">
        <f t="shared" si="63"/>
        <v>FBO</v>
      </c>
    </row>
    <row r="334" spans="1:30" s="6" customFormat="1" ht="20.100000000000001" customHeight="1" outlineLevel="1" x14ac:dyDescent="0.25">
      <c r="A334" s="674" t="s">
        <v>8585</v>
      </c>
      <c r="B334" s="516"/>
      <c r="C334" s="13" t="s">
        <v>2582</v>
      </c>
      <c r="D334" s="517" t="s">
        <v>8586</v>
      </c>
      <c r="E334" s="4">
        <v>68</v>
      </c>
      <c r="F334" s="514"/>
      <c r="G334" s="515"/>
      <c r="H334" s="513" t="s">
        <v>8587</v>
      </c>
      <c r="I334" s="513"/>
      <c r="J334" s="513"/>
      <c r="K334" s="514"/>
      <c r="L334" s="515"/>
      <c r="M334" s="515"/>
      <c r="N334" s="513" t="s">
        <v>8708</v>
      </c>
      <c r="O334" s="513">
        <v>2233029468</v>
      </c>
      <c r="P334" s="513">
        <v>2233029468</v>
      </c>
      <c r="Q334" s="814"/>
      <c r="R334" s="814"/>
      <c r="S334" s="513"/>
      <c r="T334" s="513"/>
      <c r="U334" s="513"/>
      <c r="V334" s="513"/>
      <c r="W334" s="513"/>
      <c r="X334" s="513"/>
      <c r="Y334" s="513"/>
      <c r="Z334" s="35"/>
      <c r="AA334" s="1" t="str">
        <f>IFERROR(VLOOKUP(D:D,[1]Габариты!$A:$I,9,0),"")</f>
        <v>Основной ассортимент</v>
      </c>
      <c r="AB334" s="6" t="str">
        <f>IFERROR(VLOOKUP(D:D,[1]Габариты!$A:$D,4,0),"")</f>
        <v>СТОЛИКИ ЖУРНАЛЬНЫЕ</v>
      </c>
      <c r="AC334" s="39" t="str">
        <f t="shared" si="59"/>
        <v>MK2650601</v>
      </c>
      <c r="AD334" s="13" t="str">
        <f t="shared" ref="AD334" si="66">C334</f>
        <v>FBO</v>
      </c>
    </row>
    <row r="335" spans="1:30" s="1" customFormat="1" ht="20.100000000000001" customHeight="1" outlineLevel="1" x14ac:dyDescent="0.2">
      <c r="A335" s="754" t="s">
        <v>440</v>
      </c>
      <c r="B335" s="754" t="s">
        <v>7774</v>
      </c>
      <c r="C335" s="13"/>
      <c r="D335" s="42"/>
      <c r="E335" s="4"/>
      <c r="F335" s="101"/>
      <c r="G335" s="57"/>
      <c r="H335" s="4"/>
      <c r="I335" s="4"/>
      <c r="J335" s="4"/>
      <c r="K335" s="54"/>
      <c r="L335" s="57"/>
      <c r="M335" s="57"/>
      <c r="N335" s="766"/>
      <c r="O335" s="4"/>
      <c r="P335" s="4"/>
      <c r="Q335" s="767"/>
      <c r="R335" s="767"/>
      <c r="S335" s="4"/>
      <c r="T335" s="4"/>
      <c r="U335" s="4"/>
      <c r="V335" s="4"/>
      <c r="W335" s="4"/>
      <c r="X335" s="4"/>
      <c r="Y335" s="4" t="s">
        <v>4066</v>
      </c>
      <c r="Z335" s="35"/>
      <c r="AA335" s="1" t="str">
        <f>IFERROR(VLOOKUP(D:D,[1]Габариты!$A:$I,9,0),"")</f>
        <v/>
      </c>
      <c r="AB335" s="6" t="str">
        <f>IFERROR(VLOOKUP(D:D,[1]Габариты!$A:$D,4,0),"")</f>
        <v/>
      </c>
      <c r="AC335" s="39"/>
      <c r="AD335" s="13"/>
    </row>
    <row r="336" spans="1:30" s="1" customFormat="1" ht="20.100000000000001" customHeight="1" outlineLevel="1" x14ac:dyDescent="0.25">
      <c r="A336" s="635" t="s">
        <v>8324</v>
      </c>
      <c r="B336" s="400"/>
      <c r="C336" s="13" t="s">
        <v>4050</v>
      </c>
      <c r="D336" s="39" t="s">
        <v>8323</v>
      </c>
      <c r="E336" s="397">
        <v>12</v>
      </c>
      <c r="F336" s="398" t="s">
        <v>8395</v>
      </c>
      <c r="G336" s="399"/>
      <c r="H336" s="397" t="s">
        <v>8325</v>
      </c>
      <c r="I336" s="397"/>
      <c r="J336" s="397"/>
      <c r="K336" s="398"/>
      <c r="L336" s="399"/>
      <c r="M336" s="399"/>
      <c r="N336" s="815" t="s">
        <v>8331</v>
      </c>
      <c r="O336" s="397">
        <v>1859491897</v>
      </c>
      <c r="P336" s="397">
        <v>1859491897</v>
      </c>
      <c r="Q336" s="800"/>
      <c r="R336" s="800"/>
      <c r="S336" s="397"/>
      <c r="T336" s="397"/>
      <c r="U336" s="397"/>
      <c r="V336" s="397"/>
      <c r="W336" s="397"/>
      <c r="X336" s="397" t="s">
        <v>8331</v>
      </c>
      <c r="Y336" s="397"/>
      <c r="Z336" s="35"/>
      <c r="AA336" s="1" t="str">
        <f>IFERROR(VLOOKUP(D:D,[1]Габариты!$A:$I,9,0),"")</f>
        <v>Вакансия</v>
      </c>
      <c r="AB336" s="6" t="str">
        <f>IFERROR(VLOOKUP(D:D,[1]Габариты!$A:$D,4,0),"")</f>
        <v>СТОЛЫ</v>
      </c>
      <c r="AC336" s="39" t="str">
        <f t="shared" si="59"/>
        <v>MK3630101</v>
      </c>
      <c r="AD336" s="13" t="str">
        <f t="shared" ref="AD336" si="67">C336</f>
        <v>СКГТ (ОЗОН)</v>
      </c>
    </row>
    <row r="337" spans="1:30" s="1" customFormat="1" ht="20.100000000000001" customHeight="1" outlineLevel="1" x14ac:dyDescent="0.25">
      <c r="A337" s="675" t="s">
        <v>8499</v>
      </c>
      <c r="B337" s="485"/>
      <c r="C337" s="479" t="s">
        <v>2582</v>
      </c>
      <c r="D337" s="484" t="s">
        <v>8497</v>
      </c>
      <c r="E337" s="481">
        <v>18</v>
      </c>
      <c r="F337" s="482"/>
      <c r="G337" s="483"/>
      <c r="H337" s="481" t="s">
        <v>8498</v>
      </c>
      <c r="I337" s="481"/>
      <c r="J337" s="481"/>
      <c r="K337" s="482"/>
      <c r="L337" s="483"/>
      <c r="M337" s="483"/>
      <c r="N337" s="481" t="s">
        <v>8534</v>
      </c>
      <c r="O337" s="481">
        <v>1940456226</v>
      </c>
      <c r="P337" s="481">
        <v>1940456226</v>
      </c>
      <c r="Q337" s="784"/>
      <c r="R337" s="784"/>
      <c r="S337" s="481"/>
      <c r="T337" s="481"/>
      <c r="U337" s="481"/>
      <c r="V337" s="481"/>
      <c r="W337" s="481"/>
      <c r="X337" s="481"/>
      <c r="Y337" s="481"/>
      <c r="Z337" s="35"/>
      <c r="AA337" s="1" t="str">
        <f>IFERROR(VLOOKUP(D:D,[1]Габариты!$A:$I,9,0),"")</f>
        <v>Основной ассортимент</v>
      </c>
      <c r="AB337" s="6" t="str">
        <f>IFERROR(VLOOKUP(D:D,[1]Габариты!$A:$D,4,0),"")</f>
        <v>СТОЛИКИ ЖУРНАЛЬНЫЕ</v>
      </c>
      <c r="AC337" s="39" t="str">
        <f t="shared" si="59"/>
        <v>3971.17.01/01</v>
      </c>
      <c r="AD337" s="13" t="str">
        <f t="shared" ref="AD337" si="68">C337</f>
        <v>FBO</v>
      </c>
    </row>
    <row r="338" spans="1:30" s="6" customFormat="1" ht="20.100000000000001" customHeight="1" outlineLevel="1" x14ac:dyDescent="0.2">
      <c r="A338" s="754" t="s">
        <v>435</v>
      </c>
      <c r="B338" s="754" t="s">
        <v>7774</v>
      </c>
      <c r="C338" s="164"/>
      <c r="D338" s="165"/>
      <c r="E338" s="166"/>
      <c r="F338" s="167"/>
      <c r="G338" s="168"/>
      <c r="H338" s="166"/>
      <c r="I338" s="166"/>
      <c r="J338" s="166"/>
      <c r="K338" s="167"/>
      <c r="L338" s="168"/>
      <c r="M338" s="168"/>
      <c r="N338" s="166"/>
      <c r="O338" s="166"/>
      <c r="P338" s="166"/>
      <c r="Q338" s="793"/>
      <c r="R338" s="793"/>
      <c r="S338" s="166"/>
      <c r="T338" s="166"/>
      <c r="U338" s="166"/>
      <c r="V338" s="166"/>
      <c r="W338" s="166"/>
      <c r="X338" s="166"/>
      <c r="Y338" s="166"/>
      <c r="Z338" s="35"/>
      <c r="AA338" s="1" t="str">
        <f>IFERROR(VLOOKUP(D:D,[1]Габариты!$A:$I,9,0),"")</f>
        <v/>
      </c>
      <c r="AB338" s="6" t="str">
        <f>IFERROR(VLOOKUP(D:D,[1]Габариты!$A:$D,4,0),"")</f>
        <v/>
      </c>
      <c r="AC338" s="39"/>
      <c r="AD338" s="3"/>
    </row>
    <row r="339" spans="1:30" s="6" customFormat="1" ht="20.100000000000001" customHeight="1" outlineLevel="1" x14ac:dyDescent="0.25">
      <c r="A339" s="676" t="s">
        <v>8017</v>
      </c>
      <c r="B339" s="266"/>
      <c r="C339" s="267" t="s">
        <v>4328</v>
      </c>
      <c r="D339" s="268" t="s">
        <v>8016</v>
      </c>
      <c r="E339" s="269">
        <v>16</v>
      </c>
      <c r="F339" s="270" t="s">
        <v>8200</v>
      </c>
      <c r="G339" s="271"/>
      <c r="H339" s="269" t="s">
        <v>8022</v>
      </c>
      <c r="I339" s="269"/>
      <c r="J339" s="269"/>
      <c r="K339" s="270"/>
      <c r="L339" s="271"/>
      <c r="M339" s="271"/>
      <c r="N339" s="269" t="s">
        <v>8036</v>
      </c>
      <c r="O339" s="269">
        <v>1776967085</v>
      </c>
      <c r="P339" s="269">
        <v>1776967085</v>
      </c>
      <c r="Q339" s="816"/>
      <c r="R339" s="816"/>
      <c r="S339" s="269"/>
      <c r="T339" s="269"/>
      <c r="U339" s="269"/>
      <c r="V339" s="269"/>
      <c r="W339" s="269"/>
      <c r="X339" s="269" t="s">
        <v>8036</v>
      </c>
      <c r="Y339" s="269"/>
      <c r="Z339" s="35"/>
      <c r="AA339" s="1" t="str">
        <f>IFERROR(VLOOKUP(D:D,[1]Габариты!$A:$I,9,0),"")</f>
        <v>Вакансия</v>
      </c>
      <c r="AB339" s="6" t="str">
        <f>IFERROR(VLOOKUP(D:D,[1]Габариты!$A:$D,4,0),"")</f>
        <v>СТОЛЫ</v>
      </c>
      <c r="AC339" s="39" t="str">
        <f t="shared" si="59"/>
        <v>5006.05.09/01</v>
      </c>
      <c r="AD339" s="13" t="str">
        <f t="shared" si="63"/>
        <v>СКГТ</v>
      </c>
    </row>
    <row r="340" spans="1:30" s="6" customFormat="1" ht="20.100000000000001" customHeight="1" outlineLevel="1" x14ac:dyDescent="0.25">
      <c r="A340" s="656" t="s">
        <v>8441</v>
      </c>
      <c r="B340" s="439"/>
      <c r="C340" s="432" t="s">
        <v>2582</v>
      </c>
      <c r="D340" s="440" t="s">
        <v>8439</v>
      </c>
      <c r="E340" s="937">
        <v>24</v>
      </c>
      <c r="F340" s="435" t="s">
        <v>8465</v>
      </c>
      <c r="G340" s="436"/>
      <c r="H340" s="434" t="s">
        <v>8440</v>
      </c>
      <c r="I340" s="434"/>
      <c r="J340" s="434"/>
      <c r="K340" s="435"/>
      <c r="L340" s="436"/>
      <c r="M340" s="436"/>
      <c r="N340" s="434" t="s">
        <v>8518</v>
      </c>
      <c r="O340" s="434">
        <v>1922374286</v>
      </c>
      <c r="P340" s="434">
        <v>1922374286</v>
      </c>
      <c r="Q340" s="796"/>
      <c r="R340" s="796"/>
      <c r="S340" s="434"/>
      <c r="T340" s="434"/>
      <c r="U340" s="434"/>
      <c r="V340" s="434"/>
      <c r="W340" s="434"/>
      <c r="X340" s="434"/>
      <c r="Y340" s="434"/>
      <c r="Z340" s="35"/>
      <c r="AA340" s="1" t="str">
        <f>IFERROR(VLOOKUP(D:D,[1]Габариты!$A:$I,9,0),"")</f>
        <v>Основной ассортимент</v>
      </c>
      <c r="AB340" s="6" t="str">
        <f>IFERROR(VLOOKUP(D:D,[1]Габариты!$A:$D,4,0),"")</f>
        <v>СТОЛЫ</v>
      </c>
      <c r="AC340" s="39" t="str">
        <f t="shared" si="59"/>
        <v>5005.05/01</v>
      </c>
      <c r="AD340" s="13" t="str">
        <f t="shared" ref="AD340:AD341" si="69">C340</f>
        <v>FBO</v>
      </c>
    </row>
    <row r="341" spans="1:30" s="6" customFormat="1" ht="20.100000000000001" customHeight="1" outlineLevel="1" x14ac:dyDescent="0.25">
      <c r="A341" s="649" t="s">
        <v>8463</v>
      </c>
      <c r="B341" s="454"/>
      <c r="C341" s="13" t="s">
        <v>4050</v>
      </c>
      <c r="D341" s="456" t="s">
        <v>8462</v>
      </c>
      <c r="E341" s="938">
        <v>18</v>
      </c>
      <c r="F341" s="457" t="s">
        <v>8466</v>
      </c>
      <c r="G341" s="458"/>
      <c r="H341" s="459" t="s">
        <v>8464</v>
      </c>
      <c r="I341" s="459"/>
      <c r="J341" s="459"/>
      <c r="K341" s="457"/>
      <c r="L341" s="458"/>
      <c r="M341" s="458"/>
      <c r="N341" s="459" t="s">
        <v>8524</v>
      </c>
      <c r="O341" s="459">
        <v>1931667267</v>
      </c>
      <c r="P341" s="459">
        <v>1931667267</v>
      </c>
      <c r="Q341" s="789"/>
      <c r="R341" s="789"/>
      <c r="S341" s="459"/>
      <c r="T341" s="459"/>
      <c r="U341" s="459"/>
      <c r="V341" s="459"/>
      <c r="W341" s="459"/>
      <c r="X341" s="459"/>
      <c r="Y341" s="459"/>
      <c r="Z341" s="35"/>
      <c r="AA341" s="1" t="str">
        <f>IFERROR(VLOOKUP(D:D,[1]Габариты!$A:$I,9,0),"")</f>
        <v>Основной ассортимент</v>
      </c>
      <c r="AB341" s="6" t="str">
        <f>IFERROR(VLOOKUP(D:D,[1]Габариты!$A:$D,4,0),"")</f>
        <v>СТОЛЫ</v>
      </c>
      <c r="AC341" s="39" t="str">
        <f t="shared" si="59"/>
        <v>5054.17Ч/01</v>
      </c>
      <c r="AD341" s="13" t="str">
        <f t="shared" si="69"/>
        <v>СКГТ (ОЗОН)</v>
      </c>
    </row>
    <row r="342" spans="1:30" s="6" customFormat="1" ht="20.100000000000001" customHeight="1" outlineLevel="1" x14ac:dyDescent="0.25">
      <c r="A342" s="677" t="s">
        <v>8740</v>
      </c>
      <c r="B342" s="604"/>
      <c r="C342" s="599" t="s">
        <v>2581</v>
      </c>
      <c r="D342" s="605" t="s">
        <v>8739</v>
      </c>
      <c r="E342" s="938">
        <v>18</v>
      </c>
      <c r="F342" s="602"/>
      <c r="G342" s="603"/>
      <c r="H342" s="601" t="s">
        <v>8738</v>
      </c>
      <c r="I342" s="601"/>
      <c r="J342" s="601"/>
      <c r="K342" s="602"/>
      <c r="L342" s="603"/>
      <c r="M342" s="603"/>
      <c r="N342" s="601" t="s">
        <v>8758</v>
      </c>
      <c r="O342" s="601">
        <v>2317283985</v>
      </c>
      <c r="P342" s="601">
        <v>2317283985</v>
      </c>
      <c r="Q342" s="817"/>
      <c r="R342" s="817"/>
      <c r="S342" s="601"/>
      <c r="T342" s="601"/>
      <c r="U342" s="601"/>
      <c r="V342" s="601"/>
      <c r="W342" s="601"/>
      <c r="X342" s="601"/>
      <c r="Y342" s="601"/>
      <c r="Z342" s="35"/>
      <c r="AA342" s="1" t="str">
        <f>IFERROR(VLOOKUP(D:D,[1]Габариты!$A:$I,9,0),"")</f>
        <v>Основной ассортимент</v>
      </c>
      <c r="AB342" s="6" t="str">
        <f>IFERROR(VLOOKUP(D:D,[1]Габариты!$A:$D,4,0),"")</f>
        <v>СТОЛЫ</v>
      </c>
      <c r="AC342" s="39" t="str">
        <f t="shared" ref="AC342" si="70">D342</f>
        <v>20044.17/01</v>
      </c>
      <c r="AD342" s="13" t="str">
        <f t="shared" ref="AD342" si="71">C342</f>
        <v>FBS</v>
      </c>
    </row>
    <row r="343" spans="1:30" s="6" customFormat="1" ht="20.100000000000001" customHeight="1" outlineLevel="1" x14ac:dyDescent="0.25">
      <c r="A343" s="930" t="s">
        <v>8878</v>
      </c>
      <c r="B343" s="931"/>
      <c r="C343" s="599" t="s">
        <v>2581</v>
      </c>
      <c r="D343" s="932" t="s">
        <v>8875</v>
      </c>
      <c r="E343" s="938">
        <v>18</v>
      </c>
      <c r="F343" s="933"/>
      <c r="G343" s="934"/>
      <c r="H343" s="935" t="s">
        <v>8881</v>
      </c>
      <c r="I343" s="935"/>
      <c r="J343" s="935"/>
      <c r="K343" s="933"/>
      <c r="L343" s="934"/>
      <c r="M343" s="934"/>
      <c r="N343" s="935"/>
      <c r="O343" s="935"/>
      <c r="P343" s="935"/>
      <c r="Q343" s="936"/>
      <c r="R343" s="936"/>
      <c r="S343" s="935"/>
      <c r="T343" s="935"/>
      <c r="U343" s="935"/>
      <c r="V343" s="935"/>
      <c r="W343" s="935"/>
      <c r="X343" s="935"/>
      <c r="Y343" s="935"/>
      <c r="Z343" s="35"/>
      <c r="AA343" s="1" t="str">
        <f>IFERROR(VLOOKUP(D:D,[1]Габариты!$A:$I,9,0),"")</f>
        <v>Основной ассортимент</v>
      </c>
      <c r="AB343" s="6" t="str">
        <f>IFERROR(VLOOKUP(D:D,[1]Габариты!$A:$D,4,0),"")</f>
        <v>СТОЛЫ</v>
      </c>
      <c r="AC343" s="39" t="str">
        <f t="shared" ref="AC343:AC345" si="72">D343</f>
        <v>20044.06/01</v>
      </c>
      <c r="AD343" s="13" t="str">
        <f t="shared" ref="AD343:AD345" si="73">C343</f>
        <v>FBS</v>
      </c>
    </row>
    <row r="344" spans="1:30" s="6" customFormat="1" ht="20.100000000000001" customHeight="1" outlineLevel="1" x14ac:dyDescent="0.25">
      <c r="A344" s="930" t="s">
        <v>8879</v>
      </c>
      <c r="B344" s="931"/>
      <c r="C344" s="599" t="s">
        <v>2581</v>
      </c>
      <c r="D344" s="932" t="s">
        <v>8876</v>
      </c>
      <c r="E344" s="938">
        <v>18</v>
      </c>
      <c r="F344" s="933"/>
      <c r="G344" s="934"/>
      <c r="H344" s="935" t="s">
        <v>8882</v>
      </c>
      <c r="I344" s="935"/>
      <c r="J344" s="935"/>
      <c r="K344" s="933"/>
      <c r="L344" s="934"/>
      <c r="M344" s="934"/>
      <c r="N344" s="935"/>
      <c r="O344" s="935"/>
      <c r="P344" s="935"/>
      <c r="Q344" s="936"/>
      <c r="R344" s="936"/>
      <c r="S344" s="935"/>
      <c r="T344" s="935"/>
      <c r="U344" s="935"/>
      <c r="V344" s="935"/>
      <c r="W344" s="935"/>
      <c r="X344" s="935"/>
      <c r="Y344" s="935"/>
      <c r="Z344" s="35"/>
      <c r="AA344" s="1" t="str">
        <f>IFERROR(VLOOKUP(D:D,[1]Габариты!$A:$I,9,0),"")</f>
        <v>Основной ассортимент</v>
      </c>
      <c r="AB344" s="6" t="str">
        <f>IFERROR(VLOOKUP(D:D,[1]Габариты!$A:$D,4,0),"")</f>
        <v>СТОЛЫ</v>
      </c>
      <c r="AC344" s="39" t="str">
        <f t="shared" si="72"/>
        <v>20044.05/01</v>
      </c>
      <c r="AD344" s="13" t="str">
        <f t="shared" si="73"/>
        <v>FBS</v>
      </c>
    </row>
    <row r="345" spans="1:30" s="6" customFormat="1" ht="20.100000000000001" customHeight="1" outlineLevel="1" x14ac:dyDescent="0.25">
      <c r="A345" s="930" t="s">
        <v>8880</v>
      </c>
      <c r="B345" s="931"/>
      <c r="C345" s="599" t="s">
        <v>2581</v>
      </c>
      <c r="D345" s="932" t="s">
        <v>8877</v>
      </c>
      <c r="E345" s="938">
        <v>18</v>
      </c>
      <c r="F345" s="933"/>
      <c r="G345" s="934"/>
      <c r="H345" s="935" t="s">
        <v>8883</v>
      </c>
      <c r="I345" s="935"/>
      <c r="J345" s="935"/>
      <c r="K345" s="933"/>
      <c r="L345" s="934"/>
      <c r="M345" s="934"/>
      <c r="N345" s="935"/>
      <c r="O345" s="935"/>
      <c r="P345" s="935"/>
      <c r="Q345" s="936"/>
      <c r="R345" s="936"/>
      <c r="S345" s="935"/>
      <c r="T345" s="935"/>
      <c r="U345" s="935"/>
      <c r="V345" s="935"/>
      <c r="W345" s="935"/>
      <c r="X345" s="935"/>
      <c r="Y345" s="935"/>
      <c r="Z345" s="35"/>
      <c r="AA345" s="1" t="str">
        <f>IFERROR(VLOOKUP(D:D,[1]Габариты!$A:$I,9,0),"")</f>
        <v>Основной ассортимент</v>
      </c>
      <c r="AB345" s="6" t="str">
        <f>IFERROR(VLOOKUP(D:D,[1]Габариты!$A:$D,4,0),"")</f>
        <v>СТОЛЫ</v>
      </c>
      <c r="AC345" s="39" t="str">
        <f t="shared" si="72"/>
        <v>20044.09/01</v>
      </c>
      <c r="AD345" s="13" t="str">
        <f t="shared" si="73"/>
        <v>FBS</v>
      </c>
    </row>
    <row r="346" spans="1:30" s="6" customFormat="1" ht="20.100000000000001" customHeight="1" outlineLevel="1" x14ac:dyDescent="0.2">
      <c r="A346" s="754" t="s">
        <v>435</v>
      </c>
      <c r="B346" s="754" t="s">
        <v>5530</v>
      </c>
      <c r="C346" s="164"/>
      <c r="D346" s="165"/>
      <c r="E346" s="166"/>
      <c r="F346" s="167"/>
      <c r="G346" s="168"/>
      <c r="H346" s="166"/>
      <c r="I346" s="166"/>
      <c r="J346" s="166"/>
      <c r="K346" s="167"/>
      <c r="L346" s="168"/>
      <c r="M346" s="168"/>
      <c r="N346" s="166"/>
      <c r="O346" s="166"/>
      <c r="P346" s="166"/>
      <c r="Q346" s="793"/>
      <c r="R346" s="793"/>
      <c r="S346" s="166"/>
      <c r="T346" s="166"/>
      <c r="U346" s="166"/>
      <c r="V346" s="166"/>
      <c r="W346" s="166"/>
      <c r="X346" s="166"/>
      <c r="Y346" s="166"/>
      <c r="Z346" s="35"/>
      <c r="AA346" s="1" t="str">
        <f>IFERROR(VLOOKUP(D:D,[1]Габариты!$A:$I,9,0),"")</f>
        <v/>
      </c>
      <c r="AB346" s="6" t="str">
        <f>IFERROR(VLOOKUP(D:D,[1]Габариты!$A:$D,4,0),"")</f>
        <v/>
      </c>
      <c r="AC346" s="39"/>
      <c r="AD346" s="3"/>
    </row>
    <row r="347" spans="1:30" s="6" customFormat="1" ht="20.100000000000001" customHeight="1" outlineLevel="1" x14ac:dyDescent="0.25">
      <c r="A347" s="641" t="s">
        <v>5534</v>
      </c>
      <c r="B347" s="68"/>
      <c r="C347" s="13" t="s">
        <v>4328</v>
      </c>
      <c r="D347" s="70" t="s">
        <v>5533</v>
      </c>
      <c r="E347" s="65">
        <v>17</v>
      </c>
      <c r="F347" s="101" t="s">
        <v>7628</v>
      </c>
      <c r="G347" s="57" t="s">
        <v>5658</v>
      </c>
      <c r="H347" s="4" t="s">
        <v>6875</v>
      </c>
      <c r="I347" s="65"/>
      <c r="J347" s="65"/>
      <c r="K347" s="54"/>
      <c r="L347" s="57"/>
      <c r="M347" s="57"/>
      <c r="N347" s="65" t="s">
        <v>6177</v>
      </c>
      <c r="O347" s="65">
        <v>1696349991</v>
      </c>
      <c r="P347" s="65">
        <v>1696349991</v>
      </c>
      <c r="Q347" s="779"/>
      <c r="R347" s="779"/>
      <c r="S347" s="65"/>
      <c r="T347" s="65"/>
      <c r="U347" s="65"/>
      <c r="V347" s="65"/>
      <c r="W347" s="65"/>
      <c r="X347" s="65" t="s">
        <v>6177</v>
      </c>
      <c r="Y347" s="65"/>
      <c r="Z347" s="35"/>
      <c r="AA347" s="1" t="str">
        <f>IFERROR(VLOOKUP(D:D,[1]Габариты!$A:$I,9,0),"")</f>
        <v>Вакансия</v>
      </c>
      <c r="AB347" s="6" t="str">
        <f>IFERROR(VLOOKUP(D:D,[1]Габариты!$A:$D,4,0),"")</f>
        <v>СТОЛЫ</v>
      </c>
      <c r="AC347" s="39" t="str">
        <f t="shared" si="59"/>
        <v>4014.02.03/01</v>
      </c>
      <c r="AD347" s="13" t="str">
        <f>C347</f>
        <v>СКГТ</v>
      </c>
    </row>
    <row r="348" spans="1:30" s="6" customFormat="1" ht="20.100000000000001" customHeight="1" outlineLevel="1" x14ac:dyDescent="0.25">
      <c r="A348" s="649" t="s">
        <v>8474</v>
      </c>
      <c r="B348" s="454"/>
      <c r="C348" s="13" t="s">
        <v>2582</v>
      </c>
      <c r="D348" s="461" t="s">
        <v>8473</v>
      </c>
      <c r="E348" s="459">
        <v>20</v>
      </c>
      <c r="F348" s="457"/>
      <c r="G348" s="458"/>
      <c r="H348" s="459" t="s">
        <v>8472</v>
      </c>
      <c r="I348" s="459"/>
      <c r="J348" s="459"/>
      <c r="K348" s="457"/>
      <c r="L348" s="458"/>
      <c r="M348" s="458"/>
      <c r="N348" s="459" t="s">
        <v>8525</v>
      </c>
      <c r="O348" s="459">
        <v>1931715563</v>
      </c>
      <c r="P348" s="459">
        <v>1931715563</v>
      </c>
      <c r="Q348" s="789"/>
      <c r="R348" s="789"/>
      <c r="S348" s="459"/>
      <c r="T348" s="459"/>
      <c r="U348" s="459"/>
      <c r="V348" s="459"/>
      <c r="W348" s="459"/>
      <c r="X348" s="459"/>
      <c r="Y348" s="459"/>
      <c r="Z348" s="35"/>
      <c r="AA348" s="1" t="str">
        <f>IFERROR(VLOOKUP(D:D,[1]Габариты!$A:$I,9,0),"")</f>
        <v>Основной ассортимент</v>
      </c>
      <c r="AB348" s="6" t="str">
        <f>IFERROR(VLOOKUP(D:D,[1]Габариты!$A:$D,4,0),"")</f>
        <v>СТОЛЫ</v>
      </c>
      <c r="AC348" s="39" t="str">
        <f t="shared" si="59"/>
        <v>4301.07.05.24/01</v>
      </c>
      <c r="AD348" s="13" t="str">
        <f>C348</f>
        <v>FBO</v>
      </c>
    </row>
    <row r="349" spans="1:30" s="6" customFormat="1" ht="20.100000000000001" customHeight="1" outlineLevel="1" x14ac:dyDescent="0.2">
      <c r="A349" s="754" t="s">
        <v>435</v>
      </c>
      <c r="B349" s="754" t="s">
        <v>8114</v>
      </c>
      <c r="C349" s="164"/>
      <c r="D349" s="165"/>
      <c r="E349" s="166"/>
      <c r="F349" s="167"/>
      <c r="G349" s="168"/>
      <c r="H349" s="166"/>
      <c r="I349" s="166"/>
      <c r="J349" s="166"/>
      <c r="K349" s="167"/>
      <c r="L349" s="168"/>
      <c r="M349" s="168"/>
      <c r="N349" s="166"/>
      <c r="O349" s="166"/>
      <c r="P349" s="166"/>
      <c r="Q349" s="793"/>
      <c r="R349" s="793"/>
      <c r="S349" s="166"/>
      <c r="T349" s="166"/>
      <c r="U349" s="166"/>
      <c r="V349" s="166"/>
      <c r="W349" s="166"/>
      <c r="X349" s="166"/>
      <c r="Y349" s="166"/>
      <c r="Z349" s="35"/>
      <c r="AA349" s="1" t="str">
        <f>IFERROR(VLOOKUP(D:D,[1]Габариты!$A:$I,9,0),"")</f>
        <v/>
      </c>
      <c r="AB349" s="6" t="str">
        <f>IFERROR(VLOOKUP(D:D,[1]Габариты!$A:$D,4,0),"")</f>
        <v/>
      </c>
      <c r="AC349" s="39"/>
      <c r="AD349" s="3"/>
    </row>
    <row r="350" spans="1:30" s="6" customFormat="1" ht="20.100000000000001" customHeight="1" outlineLevel="1" x14ac:dyDescent="0.25">
      <c r="A350" s="635" t="s">
        <v>3785</v>
      </c>
      <c r="B350" s="24"/>
      <c r="C350" s="13" t="s">
        <v>2581</v>
      </c>
      <c r="D350" s="40">
        <v>14032</v>
      </c>
      <c r="E350" s="4">
        <v>24</v>
      </c>
      <c r="F350" s="101">
        <v>14032</v>
      </c>
      <c r="G350" s="57"/>
      <c r="H350" s="4" t="s">
        <v>6780</v>
      </c>
      <c r="I350" s="4"/>
      <c r="J350" s="4"/>
      <c r="K350" s="54"/>
      <c r="L350" s="57"/>
      <c r="M350" s="57"/>
      <c r="N350" s="37" t="s">
        <v>3791</v>
      </c>
      <c r="O350" s="4">
        <v>1292048826</v>
      </c>
      <c r="P350" s="4">
        <v>1292048826</v>
      </c>
      <c r="Q350" s="767"/>
      <c r="R350" s="767"/>
      <c r="S350" s="4"/>
      <c r="T350" s="4"/>
      <c r="U350" s="4"/>
      <c r="V350" s="4"/>
      <c r="W350" s="4"/>
      <c r="X350" s="4" t="s">
        <v>3791</v>
      </c>
      <c r="Y350" s="4" t="s">
        <v>4066</v>
      </c>
      <c r="Z350" s="35"/>
      <c r="AA350" s="1" t="str">
        <f>IFERROR(VLOOKUP(D:D,[1]Габариты!$A:$I,9,0),"")</f>
        <v>Основной ассортимент</v>
      </c>
      <c r="AB350" s="6" t="str">
        <f>IFERROR(VLOOKUP(D:D,[1]Габариты!$A:$D,4,0),"")</f>
        <v>СТОЛЫ</v>
      </c>
      <c r="AC350" s="39">
        <f t="shared" si="59"/>
        <v>14032</v>
      </c>
      <c r="AD350" s="13" t="str">
        <f t="shared" ref="AD350:AD393" si="74">C350</f>
        <v>FBS</v>
      </c>
    </row>
    <row r="351" spans="1:30" s="6" customFormat="1" ht="20.100000000000001" customHeight="1" outlineLevel="1" x14ac:dyDescent="0.25">
      <c r="A351" s="635" t="s">
        <v>3908</v>
      </c>
      <c r="B351" s="3"/>
      <c r="C351" s="13" t="s">
        <v>2581</v>
      </c>
      <c r="D351" s="40" t="s">
        <v>3907</v>
      </c>
      <c r="E351" s="4">
        <v>22</v>
      </c>
      <c r="F351" s="101" t="s">
        <v>6236</v>
      </c>
      <c r="G351" s="57"/>
      <c r="H351" s="4" t="s">
        <v>6782</v>
      </c>
      <c r="I351" s="4"/>
      <c r="J351" s="4" t="s">
        <v>4133</v>
      </c>
      <c r="K351" s="54"/>
      <c r="L351" s="57"/>
      <c r="M351" s="57"/>
      <c r="N351" s="4" t="s">
        <v>3993</v>
      </c>
      <c r="O351" s="4">
        <v>1469404425</v>
      </c>
      <c r="P351" s="4">
        <v>1469404425</v>
      </c>
      <c r="Q351" s="4"/>
      <c r="R351" s="4"/>
      <c r="S351" s="4"/>
      <c r="T351" s="4"/>
      <c r="U351" s="4"/>
      <c r="V351" s="4"/>
      <c r="W351" s="4"/>
      <c r="X351" s="4" t="s">
        <v>3993</v>
      </c>
      <c r="Y351" s="4" t="s">
        <v>4066</v>
      </c>
      <c r="AA351" s="1" t="str">
        <f>IFERROR(VLOOKUP(D:D,[1]Габариты!$A:$I,9,0),"")</f>
        <v>Основной ассортимент</v>
      </c>
      <c r="AB351" s="6" t="str">
        <f>IFERROR(VLOOKUP(D:D,[1]Габариты!$A:$D,4,0),"")</f>
        <v>СТОЛЫ</v>
      </c>
      <c r="AC351" s="39" t="str">
        <f t="shared" si="59"/>
        <v>3793.17/01</v>
      </c>
      <c r="AD351" s="13" t="str">
        <f t="shared" si="74"/>
        <v>FBS</v>
      </c>
    </row>
    <row r="352" spans="1:30" s="6" customFormat="1" ht="20.100000000000001" customHeight="1" outlineLevel="1" x14ac:dyDescent="0.25">
      <c r="A352" s="635" t="s">
        <v>3915</v>
      </c>
      <c r="B352" s="3"/>
      <c r="C352" s="13" t="s">
        <v>2582</v>
      </c>
      <c r="D352" s="40">
        <v>3770</v>
      </c>
      <c r="E352" s="4">
        <v>24</v>
      </c>
      <c r="F352" s="101">
        <v>3770</v>
      </c>
      <c r="G352" s="57"/>
      <c r="H352" s="4" t="s">
        <v>6783</v>
      </c>
      <c r="I352" s="4"/>
      <c r="J352" s="4" t="s">
        <v>5313</v>
      </c>
      <c r="K352" s="54"/>
      <c r="L352" s="57"/>
      <c r="M352" s="57"/>
      <c r="N352" s="4" t="s">
        <v>3957</v>
      </c>
      <c r="O352" s="4">
        <v>1456591327</v>
      </c>
      <c r="P352" s="4">
        <v>1456591327</v>
      </c>
      <c r="Q352" s="4"/>
      <c r="R352" s="4"/>
      <c r="S352" s="4"/>
      <c r="T352" s="4" t="s">
        <v>6187</v>
      </c>
      <c r="U352" s="4">
        <v>1680057322</v>
      </c>
      <c r="V352" s="4">
        <v>1680057322</v>
      </c>
      <c r="W352" s="4"/>
      <c r="X352" s="4" t="s">
        <v>3957</v>
      </c>
      <c r="Y352" s="4" t="s">
        <v>3957</v>
      </c>
      <c r="AA352" s="1" t="str">
        <f>IFERROR(VLOOKUP(D:D,[1]Габариты!$A:$I,9,0),"")</f>
        <v>Основной ассортимент</v>
      </c>
      <c r="AB352" s="6" t="str">
        <f>IFERROR(VLOOKUP(D:D,[1]Габариты!$A:$D,4,0),"")</f>
        <v>СТОЛЫ</v>
      </c>
      <c r="AC352" s="39">
        <f t="shared" si="59"/>
        <v>3770</v>
      </c>
      <c r="AD352" s="13" t="str">
        <f t="shared" si="74"/>
        <v>FBO</v>
      </c>
    </row>
    <row r="353" spans="1:30" s="6" customFormat="1" ht="20.100000000000001" customHeight="1" outlineLevel="1" x14ac:dyDescent="0.25">
      <c r="A353" s="635" t="s">
        <v>4082</v>
      </c>
      <c r="B353" s="3"/>
      <c r="C353" s="13" t="s">
        <v>2582</v>
      </c>
      <c r="D353" s="40" t="s">
        <v>4081</v>
      </c>
      <c r="E353" s="4">
        <v>24</v>
      </c>
      <c r="F353" s="101" t="s">
        <v>6237</v>
      </c>
      <c r="G353" s="57"/>
      <c r="H353" s="4" t="s">
        <v>6784</v>
      </c>
      <c r="I353" s="4"/>
      <c r="J353" s="4" t="s">
        <v>5314</v>
      </c>
      <c r="K353" s="54"/>
      <c r="L353" s="57"/>
      <c r="M353" s="57"/>
      <c r="N353" s="4" t="s">
        <v>4124</v>
      </c>
      <c r="O353" s="4">
        <v>1552351899</v>
      </c>
      <c r="P353" s="4">
        <v>1552351899</v>
      </c>
      <c r="Q353" s="4"/>
      <c r="R353" s="4"/>
      <c r="S353" s="4"/>
      <c r="T353" s="4" t="s">
        <v>6188</v>
      </c>
      <c r="U353" s="4">
        <v>1680072759</v>
      </c>
      <c r="V353" s="4">
        <v>1680072759</v>
      </c>
      <c r="W353" s="4"/>
      <c r="X353" s="4" t="s">
        <v>4124</v>
      </c>
      <c r="Y353" s="4" t="s">
        <v>4124</v>
      </c>
      <c r="AA353" s="1" t="str">
        <f>IFERROR(VLOOKUP(D:D,[1]Габариты!$A:$I,9,0),"")</f>
        <v>Основной ассортимент</v>
      </c>
      <c r="AB353" s="6" t="str">
        <f>IFERROR(VLOOKUP(D:D,[1]Габариты!$A:$D,4,0),"")</f>
        <v>СТОЛЫ</v>
      </c>
      <c r="AC353" s="39" t="str">
        <f t="shared" si="59"/>
        <v>3770.03/01</v>
      </c>
      <c r="AD353" s="13" t="str">
        <f t="shared" si="74"/>
        <v>FBO</v>
      </c>
    </row>
    <row r="354" spans="1:30" s="6" customFormat="1" ht="20.100000000000001" customHeight="1" outlineLevel="1" x14ac:dyDescent="0.25">
      <c r="A354" s="635" t="s">
        <v>4454</v>
      </c>
      <c r="B354" s="3"/>
      <c r="C354" s="13" t="s">
        <v>2582</v>
      </c>
      <c r="D354" s="40" t="s">
        <v>4453</v>
      </c>
      <c r="E354" s="4">
        <v>24</v>
      </c>
      <c r="F354" s="101" t="s">
        <v>7910</v>
      </c>
      <c r="G354" s="57"/>
      <c r="H354" s="4" t="s">
        <v>6785</v>
      </c>
      <c r="I354" s="4"/>
      <c r="J354" s="4" t="s">
        <v>5316</v>
      </c>
      <c r="K354" s="54"/>
      <c r="L354" s="57"/>
      <c r="M354" s="57"/>
      <c r="N354" s="4" t="s">
        <v>4463</v>
      </c>
      <c r="O354" s="4">
        <v>1656996183</v>
      </c>
      <c r="P354" s="4">
        <v>1656996183</v>
      </c>
      <c r="Q354" s="4"/>
      <c r="R354" s="4"/>
      <c r="S354" s="4"/>
      <c r="T354" s="4" t="s">
        <v>6189</v>
      </c>
      <c r="U354" s="4">
        <v>1680067400</v>
      </c>
      <c r="V354" s="4">
        <v>1680067400</v>
      </c>
      <c r="W354" s="4"/>
      <c r="X354" s="4" t="s">
        <v>4463</v>
      </c>
      <c r="Y354" s="4"/>
      <c r="AA354" s="1" t="str">
        <f>IFERROR(VLOOKUP(D:D,[1]Габариты!$A:$I,9,0),"")</f>
        <v>Основной ассортимент</v>
      </c>
      <c r="AB354" s="6" t="str">
        <f>IFERROR(VLOOKUP(D:D,[1]Габариты!$A:$D,4,0),"")</f>
        <v>СТОЛЫ</v>
      </c>
      <c r="AC354" s="39" t="str">
        <f t="shared" si="59"/>
        <v>3770.06/01</v>
      </c>
      <c r="AD354" s="13" t="str">
        <f t="shared" si="74"/>
        <v>FBO</v>
      </c>
    </row>
    <row r="355" spans="1:30" s="6" customFormat="1" ht="20.100000000000001" customHeight="1" outlineLevel="1" x14ac:dyDescent="0.25">
      <c r="A355" s="635" t="s">
        <v>4591</v>
      </c>
      <c r="B355" s="3"/>
      <c r="C355" s="13" t="s">
        <v>2582</v>
      </c>
      <c r="D355" s="40" t="s">
        <v>4590</v>
      </c>
      <c r="E355" s="4">
        <v>24</v>
      </c>
      <c r="F355" s="101" t="s">
        <v>7911</v>
      </c>
      <c r="G355" s="57"/>
      <c r="H355" s="4" t="s">
        <v>6786</v>
      </c>
      <c r="I355" s="4"/>
      <c r="J355" s="4" t="s">
        <v>5317</v>
      </c>
      <c r="K355" s="54"/>
      <c r="L355" s="57"/>
      <c r="M355" s="57"/>
      <c r="N355" s="4" t="s">
        <v>4594</v>
      </c>
      <c r="O355" s="4">
        <v>1656999026</v>
      </c>
      <c r="P355" s="4">
        <v>1656999026</v>
      </c>
      <c r="Q355" s="4"/>
      <c r="R355" s="4"/>
      <c r="S355" s="4"/>
      <c r="T355" s="4" t="s">
        <v>6190</v>
      </c>
      <c r="U355" s="4">
        <v>1680076059</v>
      </c>
      <c r="V355" s="4">
        <v>1680076059</v>
      </c>
      <c r="W355" s="4"/>
      <c r="X355" s="4" t="s">
        <v>4594</v>
      </c>
      <c r="Y355" s="4"/>
      <c r="AA355" s="1" t="str">
        <f>IFERROR(VLOOKUP(D:D,[1]Габариты!$A:$I,9,0),"")</f>
        <v>Основной ассортимент</v>
      </c>
      <c r="AB355" s="6" t="str">
        <f>IFERROR(VLOOKUP(D:D,[1]Габариты!$A:$D,4,0),"")</f>
        <v>СТОЛЫ</v>
      </c>
      <c r="AC355" s="39" t="str">
        <f t="shared" si="59"/>
        <v>3770.09/01</v>
      </c>
      <c r="AD355" s="13" t="str">
        <f t="shared" si="74"/>
        <v>FBO</v>
      </c>
    </row>
    <row r="356" spans="1:30" s="6" customFormat="1" ht="20.100000000000001" customHeight="1" outlineLevel="1" x14ac:dyDescent="0.25">
      <c r="A356" s="635" t="s">
        <v>4097</v>
      </c>
      <c r="B356" s="3"/>
      <c r="C356" s="13" t="s">
        <v>2582</v>
      </c>
      <c r="D356" s="40" t="s">
        <v>4096</v>
      </c>
      <c r="E356" s="4">
        <v>24</v>
      </c>
      <c r="F356" s="101" t="s">
        <v>6238</v>
      </c>
      <c r="G356" s="57"/>
      <c r="H356" s="4" t="s">
        <v>6787</v>
      </c>
      <c r="I356" s="4"/>
      <c r="J356" s="4" t="s">
        <v>5315</v>
      </c>
      <c r="K356" s="54"/>
      <c r="L356" s="57"/>
      <c r="M356" s="57"/>
      <c r="N356" s="4" t="s">
        <v>4125</v>
      </c>
      <c r="O356" s="4">
        <v>1552352607</v>
      </c>
      <c r="P356" s="4">
        <v>1552352607</v>
      </c>
      <c r="Q356" s="4"/>
      <c r="R356" s="4"/>
      <c r="S356" s="4"/>
      <c r="T356" s="4" t="s">
        <v>6191</v>
      </c>
      <c r="U356" s="4">
        <v>1680078506</v>
      </c>
      <c r="V356" s="4">
        <v>1680078506</v>
      </c>
      <c r="W356" s="4"/>
      <c r="X356" s="4" t="s">
        <v>4125</v>
      </c>
      <c r="Y356" s="4" t="s">
        <v>4125</v>
      </c>
      <c r="AA356" s="1" t="str">
        <f>IFERROR(VLOOKUP(D:D,[1]Габариты!$A:$I,9,0),"")</f>
        <v>Основной ассортимент</v>
      </c>
      <c r="AB356" s="6" t="str">
        <f>IFERROR(VLOOKUP(D:D,[1]Габариты!$A:$D,4,0),"")</f>
        <v>СТОЛЫ</v>
      </c>
      <c r="AC356" s="39" t="str">
        <f t="shared" si="59"/>
        <v>3770.12/01</v>
      </c>
      <c r="AD356" s="13" t="str">
        <f t="shared" si="74"/>
        <v>FBO</v>
      </c>
    </row>
    <row r="357" spans="1:30" s="6" customFormat="1" ht="20.100000000000001" customHeight="1" outlineLevel="1" x14ac:dyDescent="0.25">
      <c r="A357" s="635" t="s">
        <v>4229</v>
      </c>
      <c r="B357" s="25"/>
      <c r="C357" s="13" t="s">
        <v>4328</v>
      </c>
      <c r="D357" s="40">
        <v>3804</v>
      </c>
      <c r="E357" s="4">
        <v>14</v>
      </c>
      <c r="F357" s="101">
        <v>3804</v>
      </c>
      <c r="G357" s="57"/>
      <c r="H357" s="4" t="s">
        <v>6793</v>
      </c>
      <c r="I357" s="4"/>
      <c r="J357" s="4"/>
      <c r="K357" s="54"/>
      <c r="L357" s="57"/>
      <c r="M357" s="57"/>
      <c r="N357" s="4" t="s">
        <v>4323</v>
      </c>
      <c r="O357" s="4">
        <v>1607577040</v>
      </c>
      <c r="P357" s="4">
        <v>1607577040</v>
      </c>
      <c r="Q357" s="767"/>
      <c r="R357" s="767"/>
      <c r="S357" s="4"/>
      <c r="T357" s="4"/>
      <c r="U357" s="4"/>
      <c r="V357" s="4"/>
      <c r="W357" s="4"/>
      <c r="X357" s="4" t="s">
        <v>4323</v>
      </c>
      <c r="Y357" s="4">
        <v>3804</v>
      </c>
      <c r="Z357" s="35"/>
      <c r="AA357" s="1" t="str">
        <f>IFERROR(VLOOKUP(D:D,[1]Габариты!$A:$I,9,0),"")</f>
        <v>Основной ассортимент</v>
      </c>
      <c r="AB357" s="6" t="str">
        <f>IFERROR(VLOOKUP(D:D,[1]Габариты!$A:$D,4,0),"")</f>
        <v>СТОЛЫ</v>
      </c>
      <c r="AC357" s="39">
        <f t="shared" ref="AC357:AC419" si="75">D357</f>
        <v>3804</v>
      </c>
      <c r="AD357" s="13" t="str">
        <f t="shared" si="74"/>
        <v>СКГТ</v>
      </c>
    </row>
    <row r="358" spans="1:30" s="6" customFormat="1" ht="20.100000000000001" customHeight="1" outlineLevel="1" x14ac:dyDescent="0.25">
      <c r="A358" s="635" t="s">
        <v>3918</v>
      </c>
      <c r="B358" s="3"/>
      <c r="C358" s="13" t="s">
        <v>4328</v>
      </c>
      <c r="D358" s="40" t="s">
        <v>3917</v>
      </c>
      <c r="E358" s="4">
        <v>14</v>
      </c>
      <c r="F358" s="101" t="s">
        <v>6239</v>
      </c>
      <c r="G358" s="57"/>
      <c r="H358" s="4" t="s">
        <v>6794</v>
      </c>
      <c r="I358" s="4"/>
      <c r="J358" s="4"/>
      <c r="K358" s="54"/>
      <c r="L358" s="57"/>
      <c r="M358" s="57"/>
      <c r="N358" s="4" t="s">
        <v>3956</v>
      </c>
      <c r="O358" s="4">
        <v>1456119969</v>
      </c>
      <c r="P358" s="4">
        <v>1456119969</v>
      </c>
      <c r="Q358" s="4"/>
      <c r="R358" s="4"/>
      <c r="S358" s="4"/>
      <c r="T358" s="4"/>
      <c r="U358" s="4"/>
      <c r="V358" s="4"/>
      <c r="W358" s="4"/>
      <c r="X358" s="4" t="s">
        <v>3956</v>
      </c>
      <c r="Y358" s="4" t="s">
        <v>3917</v>
      </c>
      <c r="AA358" s="1" t="str">
        <f>IFERROR(VLOOKUP(D:D,[1]Габариты!$A:$I,9,0),"")</f>
        <v>Основной ассортимент</v>
      </c>
      <c r="AB358" s="6" t="str">
        <f>IFERROR(VLOOKUP(D:D,[1]Габариты!$A:$D,4,0),"")</f>
        <v>СТОЛЫ</v>
      </c>
      <c r="AC358" s="39" t="str">
        <f t="shared" si="75"/>
        <v>3804.17/01</v>
      </c>
      <c r="AD358" s="13" t="str">
        <f t="shared" si="74"/>
        <v>СКГТ</v>
      </c>
    </row>
    <row r="359" spans="1:30" s="6" customFormat="1" ht="20.100000000000001" customHeight="1" outlineLevel="1" x14ac:dyDescent="0.25">
      <c r="A359" s="635" t="s">
        <v>409</v>
      </c>
      <c r="B359" s="3"/>
      <c r="C359" s="13" t="s">
        <v>2581</v>
      </c>
      <c r="D359" s="39">
        <v>9396</v>
      </c>
      <c r="E359" s="4">
        <v>27</v>
      </c>
      <c r="F359" s="101">
        <v>9396</v>
      </c>
      <c r="G359" s="57"/>
      <c r="H359" s="4" t="s">
        <v>6795</v>
      </c>
      <c r="I359" s="4"/>
      <c r="J359" s="4" t="s">
        <v>1959</v>
      </c>
      <c r="K359" s="54"/>
      <c r="L359" s="57"/>
      <c r="M359" s="57"/>
      <c r="N359" s="4" t="s">
        <v>914</v>
      </c>
      <c r="O359" s="4">
        <v>332471003</v>
      </c>
      <c r="P359" s="4">
        <v>332471038</v>
      </c>
      <c r="Q359" s="767" t="s">
        <v>2887</v>
      </c>
      <c r="R359" s="767">
        <v>341931881</v>
      </c>
      <c r="S359" s="4">
        <v>341931916</v>
      </c>
      <c r="T359" s="4" t="s">
        <v>3816</v>
      </c>
      <c r="U359" s="4">
        <v>1337106421</v>
      </c>
      <c r="V359" s="4">
        <v>1337106421</v>
      </c>
      <c r="W359" s="4" t="s">
        <v>2388</v>
      </c>
      <c r="X359" s="4" t="s">
        <v>914</v>
      </c>
      <c r="Y359" s="4" t="s">
        <v>4066</v>
      </c>
      <c r="Z359" s="35"/>
      <c r="AA359" s="1" t="str">
        <f>IFERROR(VLOOKUP(D:D,[1]Габариты!$A:$I,9,0),"")</f>
        <v>Основной ассортимент</v>
      </c>
      <c r="AB359" s="6" t="str">
        <f>IFERROR(VLOOKUP(D:D,[1]Габариты!$A:$D,4,0),"")</f>
        <v>СТОЛЫ</v>
      </c>
      <c r="AC359" s="39">
        <f t="shared" si="75"/>
        <v>9396</v>
      </c>
      <c r="AD359" s="13" t="str">
        <f t="shared" si="74"/>
        <v>FBS</v>
      </c>
    </row>
    <row r="360" spans="1:30" s="6" customFormat="1" ht="20.100000000000001" customHeight="1" outlineLevel="1" x14ac:dyDescent="0.25">
      <c r="A360" s="635" t="s">
        <v>1096</v>
      </c>
      <c r="B360" s="3"/>
      <c r="C360" s="13" t="s">
        <v>2581</v>
      </c>
      <c r="D360" s="39">
        <v>135400</v>
      </c>
      <c r="E360" s="4">
        <v>20</v>
      </c>
      <c r="F360" s="101">
        <v>135400</v>
      </c>
      <c r="G360" s="57"/>
      <c r="H360" s="4" t="s">
        <v>6796</v>
      </c>
      <c r="I360" s="4" t="s">
        <v>2077</v>
      </c>
      <c r="J360" s="4" t="s">
        <v>1885</v>
      </c>
      <c r="K360" s="54"/>
      <c r="L360" s="57"/>
      <c r="M360" s="57"/>
      <c r="N360" s="4" t="s">
        <v>1121</v>
      </c>
      <c r="O360" s="4">
        <v>636786122</v>
      </c>
      <c r="P360" s="4">
        <v>636786123</v>
      </c>
      <c r="Q360" s="767" t="s">
        <v>4144</v>
      </c>
      <c r="R360" s="767">
        <v>1575154591</v>
      </c>
      <c r="S360" s="4">
        <v>1575154591</v>
      </c>
      <c r="T360" s="4" t="s">
        <v>3060</v>
      </c>
      <c r="U360" s="4">
        <v>889531007</v>
      </c>
      <c r="V360" s="4">
        <v>889531007</v>
      </c>
      <c r="W360" s="4"/>
      <c r="X360" s="4" t="s">
        <v>1121</v>
      </c>
      <c r="Y360" s="4">
        <v>135400</v>
      </c>
      <c r="Z360" s="35"/>
      <c r="AA360" s="1" t="str">
        <f>IFERROR(VLOOKUP(D:D,[1]Габариты!$A:$I,9,0),"")</f>
        <v>Основной ассортимент</v>
      </c>
      <c r="AB360" s="6" t="str">
        <f>IFERROR(VLOOKUP(D:D,[1]Габариты!$A:$D,4,0),"")</f>
        <v>СТОЛЫ</v>
      </c>
      <c r="AC360" s="39">
        <f t="shared" si="75"/>
        <v>135400</v>
      </c>
      <c r="AD360" s="13" t="str">
        <f t="shared" si="74"/>
        <v>FBS</v>
      </c>
    </row>
    <row r="361" spans="1:30" s="6" customFormat="1" ht="20.100000000000001" customHeight="1" outlineLevel="1" x14ac:dyDescent="0.25">
      <c r="A361" s="635" t="s">
        <v>1827</v>
      </c>
      <c r="B361" s="3"/>
      <c r="C361" s="13" t="s">
        <v>2581</v>
      </c>
      <c r="D361" s="39">
        <v>135401</v>
      </c>
      <c r="E361" s="4">
        <v>20</v>
      </c>
      <c r="F361" s="101">
        <v>135401</v>
      </c>
      <c r="G361" s="57"/>
      <c r="H361" s="4" t="s">
        <v>6797</v>
      </c>
      <c r="I361" s="4"/>
      <c r="J361" s="4" t="s">
        <v>1968</v>
      </c>
      <c r="K361" s="54"/>
      <c r="L361" s="57"/>
      <c r="M361" s="57"/>
      <c r="N361" s="4" t="s">
        <v>2637</v>
      </c>
      <c r="O361" s="4">
        <v>913925568</v>
      </c>
      <c r="P361" s="4">
        <v>913925567</v>
      </c>
      <c r="Q361" s="767"/>
      <c r="R361" s="767"/>
      <c r="S361" s="4"/>
      <c r="T361" s="4" t="s">
        <v>3806</v>
      </c>
      <c r="U361" s="4">
        <v>1317361215</v>
      </c>
      <c r="V361" s="4">
        <v>1317361215</v>
      </c>
      <c r="W361" s="4"/>
      <c r="X361" s="4" t="s">
        <v>2637</v>
      </c>
      <c r="Y361" s="4">
        <v>135401</v>
      </c>
      <c r="Z361" s="35"/>
      <c r="AA361" s="1" t="str">
        <f>IFERROR(VLOOKUP(D:D,[1]Габариты!$A:$I,9,0),"")</f>
        <v>Основной ассортимент</v>
      </c>
      <c r="AB361" s="6" t="str">
        <f>IFERROR(VLOOKUP(D:D,[1]Габариты!$A:$D,4,0),"")</f>
        <v>СТОЛЫ</v>
      </c>
      <c r="AC361" s="39">
        <f t="shared" si="75"/>
        <v>135401</v>
      </c>
      <c r="AD361" s="13" t="str">
        <f t="shared" si="74"/>
        <v>FBS</v>
      </c>
    </row>
    <row r="362" spans="1:30" s="6" customFormat="1" ht="20.100000000000001" customHeight="1" outlineLevel="1" x14ac:dyDescent="0.25">
      <c r="A362" s="635" t="s">
        <v>4139</v>
      </c>
      <c r="B362" s="3"/>
      <c r="C362" s="13" t="s">
        <v>2581</v>
      </c>
      <c r="D362" s="39">
        <v>135402</v>
      </c>
      <c r="E362" s="4">
        <v>20</v>
      </c>
      <c r="F362" s="101">
        <v>135402</v>
      </c>
      <c r="G362" s="57"/>
      <c r="H362" s="4" t="s">
        <v>6798</v>
      </c>
      <c r="I362" s="4" t="s">
        <v>4141</v>
      </c>
      <c r="J362" s="4"/>
      <c r="K362" s="54"/>
      <c r="L362" s="57"/>
      <c r="M362" s="57"/>
      <c r="N362" s="4" t="s">
        <v>4362</v>
      </c>
      <c r="O362" s="4">
        <v>1623691576</v>
      </c>
      <c r="P362" s="4">
        <v>1623691576</v>
      </c>
      <c r="Q362" s="767" t="s">
        <v>4145</v>
      </c>
      <c r="R362" s="767">
        <v>1575291220</v>
      </c>
      <c r="S362" s="4">
        <v>1575291220</v>
      </c>
      <c r="T362" s="4"/>
      <c r="U362" s="4"/>
      <c r="V362" s="4"/>
      <c r="W362" s="4"/>
      <c r="X362" s="4" t="s">
        <v>4362</v>
      </c>
      <c r="Y362" s="4"/>
      <c r="Z362" s="35"/>
      <c r="AA362" s="1" t="str">
        <f>IFERROR(VLOOKUP(D:D,[1]Габариты!$A:$I,9,0),"")</f>
        <v>Основной ассортимент</v>
      </c>
      <c r="AB362" s="6" t="str">
        <f>IFERROR(VLOOKUP(D:D,[1]Габариты!$A:$D,4,0),"")</f>
        <v>СТОЛЫ</v>
      </c>
      <c r="AC362" s="39">
        <f t="shared" si="75"/>
        <v>135402</v>
      </c>
      <c r="AD362" s="13" t="str">
        <f t="shared" si="74"/>
        <v>FBS</v>
      </c>
    </row>
    <row r="363" spans="1:30" s="6" customFormat="1" ht="20.100000000000001" customHeight="1" outlineLevel="1" x14ac:dyDescent="0.25">
      <c r="A363" s="665" t="s">
        <v>3999</v>
      </c>
      <c r="B363" s="3"/>
      <c r="C363" s="13" t="s">
        <v>2582</v>
      </c>
      <c r="D363" s="40">
        <v>26203</v>
      </c>
      <c r="E363" s="4">
        <v>20</v>
      </c>
      <c r="F363" s="101">
        <v>26203</v>
      </c>
      <c r="G363" s="57"/>
      <c r="H363" s="4" t="s">
        <v>6810</v>
      </c>
      <c r="I363" s="4"/>
      <c r="J363" s="4"/>
      <c r="K363" s="54"/>
      <c r="L363" s="57"/>
      <c r="M363" s="57"/>
      <c r="N363" s="4" t="s">
        <v>4064</v>
      </c>
      <c r="O363" s="4">
        <v>1525161625</v>
      </c>
      <c r="P363" s="4">
        <v>1525161625</v>
      </c>
      <c r="Q363" s="4"/>
      <c r="R363" s="4"/>
      <c r="S363" s="4"/>
      <c r="T363" s="4"/>
      <c r="U363" s="4"/>
      <c r="V363" s="4"/>
      <c r="W363" s="4"/>
      <c r="X363" s="4" t="s">
        <v>4064</v>
      </c>
      <c r="Y363" s="4" t="s">
        <v>4066</v>
      </c>
      <c r="AA363" s="1" t="str">
        <f>IFERROR(VLOOKUP(D:D,[1]Габариты!$A:$I,9,0),"")</f>
        <v>Основной ассортимент</v>
      </c>
      <c r="AB363" s="6" t="str">
        <f>IFERROR(VLOOKUP(D:D,[1]Габариты!$A:$D,4,0),"")</f>
        <v>СТОЛЫ</v>
      </c>
      <c r="AC363" s="39">
        <f t="shared" si="75"/>
        <v>26203</v>
      </c>
      <c r="AD363" s="13" t="str">
        <f t="shared" si="74"/>
        <v>FBO</v>
      </c>
    </row>
    <row r="364" spans="1:30" s="6" customFormat="1" ht="20.100000000000001" customHeight="1" outlineLevel="1" x14ac:dyDescent="0.25">
      <c r="A364" s="665" t="s">
        <v>4049</v>
      </c>
      <c r="B364" s="3"/>
      <c r="C364" s="13" t="s">
        <v>2582</v>
      </c>
      <c r="D364" s="40">
        <v>26204</v>
      </c>
      <c r="E364" s="4">
        <v>20</v>
      </c>
      <c r="F364" s="101">
        <v>26204</v>
      </c>
      <c r="G364" s="57"/>
      <c r="H364" s="4" t="s">
        <v>6811</v>
      </c>
      <c r="I364" s="4"/>
      <c r="J364" s="4"/>
      <c r="K364" s="54"/>
      <c r="L364" s="57"/>
      <c r="M364" s="57"/>
      <c r="N364" s="4" t="s">
        <v>4071</v>
      </c>
      <c r="O364" s="4">
        <v>1539178175</v>
      </c>
      <c r="P364" s="4">
        <v>1539178175</v>
      </c>
      <c r="Q364" s="4"/>
      <c r="R364" s="4"/>
      <c r="S364" s="4"/>
      <c r="T364" s="4"/>
      <c r="U364" s="4"/>
      <c r="V364" s="4"/>
      <c r="W364" s="4"/>
      <c r="X364" s="4" t="s">
        <v>4071</v>
      </c>
      <c r="Y364" s="4" t="s">
        <v>4066</v>
      </c>
      <c r="AA364" s="1" t="str">
        <f>IFERROR(VLOOKUP(D:D,[1]Габариты!$A:$I,9,0),"")</f>
        <v>Основной ассортимент</v>
      </c>
      <c r="AB364" s="6" t="str">
        <f>IFERROR(VLOOKUP(D:D,[1]Габариты!$A:$D,4,0),"")</f>
        <v>СТОЛЫ</v>
      </c>
      <c r="AC364" s="39">
        <f t="shared" si="75"/>
        <v>26204</v>
      </c>
      <c r="AD364" s="13" t="str">
        <f t="shared" si="74"/>
        <v>FBO</v>
      </c>
    </row>
    <row r="365" spans="1:30" s="6" customFormat="1" ht="20.100000000000001" customHeight="1" outlineLevel="1" x14ac:dyDescent="0.25">
      <c r="A365" s="678" t="s">
        <v>8108</v>
      </c>
      <c r="B365" s="325"/>
      <c r="C365" s="13" t="s">
        <v>2582</v>
      </c>
      <c r="D365" s="321">
        <v>26205</v>
      </c>
      <c r="E365" s="4">
        <v>20</v>
      </c>
      <c r="F365" s="323"/>
      <c r="G365" s="324"/>
      <c r="H365" s="322" t="s">
        <v>8225</v>
      </c>
      <c r="I365" s="322"/>
      <c r="J365" s="322"/>
      <c r="K365" s="323"/>
      <c r="L365" s="324"/>
      <c r="M365" s="324"/>
      <c r="N365" s="322" t="s">
        <v>8230</v>
      </c>
      <c r="O365" s="322">
        <v>1847040478</v>
      </c>
      <c r="P365" s="322">
        <v>1847040478</v>
      </c>
      <c r="Q365" s="322"/>
      <c r="R365" s="322"/>
      <c r="S365" s="322"/>
      <c r="T365" s="322"/>
      <c r="U365" s="322"/>
      <c r="V365" s="322"/>
      <c r="W365" s="322"/>
      <c r="X365" s="322" t="s">
        <v>8230</v>
      </c>
      <c r="Y365" s="322"/>
      <c r="AA365" s="1" t="str">
        <f>IFERROR(VLOOKUP(D:D,[1]Габариты!$A:$I,9,0),"")</f>
        <v>Основной ассортимент</v>
      </c>
      <c r="AB365" s="6" t="str">
        <f>IFERROR(VLOOKUP(D:D,[1]Габариты!$A:$D,4,0),"")</f>
        <v>СТОЛЫ</v>
      </c>
      <c r="AC365" s="39">
        <f t="shared" si="75"/>
        <v>26205</v>
      </c>
      <c r="AD365" s="13" t="str">
        <f t="shared" ref="AD365:AD366" si="76">C365</f>
        <v>FBO</v>
      </c>
    </row>
    <row r="366" spans="1:30" s="6" customFormat="1" ht="20.100000000000001" customHeight="1" outlineLevel="1" x14ac:dyDescent="0.25">
      <c r="A366" s="678" t="s">
        <v>8109</v>
      </c>
      <c r="B366" s="325"/>
      <c r="C366" s="13" t="s">
        <v>2582</v>
      </c>
      <c r="D366" s="321">
        <v>26206</v>
      </c>
      <c r="E366" s="4">
        <v>20</v>
      </c>
      <c r="F366" s="323"/>
      <c r="G366" s="324"/>
      <c r="H366" s="322" t="s">
        <v>8226</v>
      </c>
      <c r="I366" s="322"/>
      <c r="J366" s="322"/>
      <c r="K366" s="323"/>
      <c r="L366" s="324"/>
      <c r="M366" s="324"/>
      <c r="N366" s="322" t="s">
        <v>8231</v>
      </c>
      <c r="O366" s="322">
        <v>1847043427</v>
      </c>
      <c r="P366" s="322">
        <v>1847043427</v>
      </c>
      <c r="Q366" s="322"/>
      <c r="R366" s="322"/>
      <c r="S366" s="322"/>
      <c r="T366" s="322"/>
      <c r="U366" s="322"/>
      <c r="V366" s="322"/>
      <c r="W366" s="322"/>
      <c r="X366" s="322" t="s">
        <v>8231</v>
      </c>
      <c r="Y366" s="322"/>
      <c r="AA366" s="1" t="str">
        <f>IFERROR(VLOOKUP(D:D,[1]Габариты!$A:$I,9,0),"")</f>
        <v>Основной ассортимент</v>
      </c>
      <c r="AB366" s="6" t="str">
        <f>IFERROR(VLOOKUP(D:D,[1]Габариты!$A:$D,4,0),"")</f>
        <v>СТОЛЫ</v>
      </c>
      <c r="AC366" s="39">
        <f t="shared" si="75"/>
        <v>26206</v>
      </c>
      <c r="AD366" s="13" t="str">
        <f t="shared" si="76"/>
        <v>FBO</v>
      </c>
    </row>
    <row r="367" spans="1:30" s="6" customFormat="1" ht="20.100000000000001" customHeight="1" outlineLevel="1" x14ac:dyDescent="0.25">
      <c r="A367" s="635" t="s">
        <v>969</v>
      </c>
      <c r="B367" s="25"/>
      <c r="C367" s="13" t="s">
        <v>2582</v>
      </c>
      <c r="D367" s="40">
        <v>9477</v>
      </c>
      <c r="E367" s="4">
        <v>23</v>
      </c>
      <c r="F367" s="101"/>
      <c r="G367" s="57"/>
      <c r="H367" s="4" t="s">
        <v>6812</v>
      </c>
      <c r="I367" s="4"/>
      <c r="J367" s="4" t="s">
        <v>1883</v>
      </c>
      <c r="K367" s="54"/>
      <c r="L367" s="57"/>
      <c r="M367" s="57"/>
      <c r="N367" s="4" t="s">
        <v>1005</v>
      </c>
      <c r="O367" s="818">
        <v>564354636</v>
      </c>
      <c r="P367" s="818">
        <v>564354635</v>
      </c>
      <c r="Q367" s="767" t="s">
        <v>3623</v>
      </c>
      <c r="R367" s="767">
        <v>1085144326</v>
      </c>
      <c r="S367" s="4">
        <v>1085144325</v>
      </c>
      <c r="T367" s="4" t="s">
        <v>3057</v>
      </c>
      <c r="U367" s="4">
        <v>889445143</v>
      </c>
      <c r="V367" s="4">
        <v>889445143</v>
      </c>
      <c r="W367" s="4" t="s">
        <v>2422</v>
      </c>
      <c r="X367" s="4" t="s">
        <v>1005</v>
      </c>
      <c r="Y367" s="4">
        <v>9477</v>
      </c>
      <c r="Z367" s="35"/>
      <c r="AA367" s="1" t="str">
        <f>IFERROR(VLOOKUP(D:D,[1]Габариты!$A:$I,9,0),"")</f>
        <v>Основной ассортимент</v>
      </c>
      <c r="AB367" s="6" t="str">
        <f>IFERROR(VLOOKUP(D:D,[1]Габариты!$A:$D,4,0),"")</f>
        <v>СТОЛЫ</v>
      </c>
      <c r="AC367" s="39">
        <f t="shared" si="75"/>
        <v>9477</v>
      </c>
      <c r="AD367" s="13" t="str">
        <f t="shared" si="74"/>
        <v>FBO</v>
      </c>
    </row>
    <row r="368" spans="1:30" s="6" customFormat="1" ht="20.100000000000001" customHeight="1" outlineLevel="1" x14ac:dyDescent="0.25">
      <c r="A368" s="635" t="s">
        <v>972</v>
      </c>
      <c r="B368" s="25"/>
      <c r="C368" s="13" t="s">
        <v>2582</v>
      </c>
      <c r="D368" s="40">
        <v>9480</v>
      </c>
      <c r="E368" s="4">
        <v>23</v>
      </c>
      <c r="F368" s="101"/>
      <c r="G368" s="57"/>
      <c r="H368" s="4" t="s">
        <v>6813</v>
      </c>
      <c r="I368" s="4"/>
      <c r="J368" s="4" t="s">
        <v>1884</v>
      </c>
      <c r="K368" s="54"/>
      <c r="L368" s="57"/>
      <c r="M368" s="57"/>
      <c r="N368" s="4" t="s">
        <v>1006</v>
      </c>
      <c r="O368" s="818">
        <v>579200251</v>
      </c>
      <c r="P368" s="818">
        <v>579200250</v>
      </c>
      <c r="Q368" s="767"/>
      <c r="R368" s="767"/>
      <c r="S368" s="4"/>
      <c r="T368" s="4" t="s">
        <v>3058</v>
      </c>
      <c r="U368" s="4">
        <v>889452652</v>
      </c>
      <c r="V368" s="4">
        <v>889452652</v>
      </c>
      <c r="W368" s="4" t="s">
        <v>2423</v>
      </c>
      <c r="X368" s="4" t="s">
        <v>1006</v>
      </c>
      <c r="Y368" s="4">
        <v>9480</v>
      </c>
      <c r="Z368" s="35"/>
      <c r="AA368" s="1" t="str">
        <f>IFERROR(VLOOKUP(D:D,[1]Габариты!$A:$I,9,0),"")</f>
        <v>Основной ассортимент</v>
      </c>
      <c r="AB368" s="6" t="str">
        <f>IFERROR(VLOOKUP(D:D,[1]Габариты!$A:$D,4,0),"")</f>
        <v>СТОЛЫ</v>
      </c>
      <c r="AC368" s="39">
        <f t="shared" si="75"/>
        <v>9480</v>
      </c>
      <c r="AD368" s="13" t="str">
        <f t="shared" si="74"/>
        <v>FBO</v>
      </c>
    </row>
    <row r="369" spans="1:30" s="6" customFormat="1" ht="20.100000000000001" customHeight="1" outlineLevel="1" x14ac:dyDescent="0.25">
      <c r="A369" s="635" t="s">
        <v>966</v>
      </c>
      <c r="B369" s="25"/>
      <c r="C369" s="13" t="s">
        <v>2582</v>
      </c>
      <c r="D369" s="40">
        <v>9481</v>
      </c>
      <c r="E369" s="4">
        <v>23</v>
      </c>
      <c r="F369" s="101"/>
      <c r="G369" s="57"/>
      <c r="H369" s="4" t="s">
        <v>6814</v>
      </c>
      <c r="I369" s="4"/>
      <c r="J369" s="4" t="s">
        <v>1882</v>
      </c>
      <c r="K369" s="54"/>
      <c r="L369" s="57"/>
      <c r="M369" s="57"/>
      <c r="N369" s="4" t="s">
        <v>1004</v>
      </c>
      <c r="O369" s="34">
        <v>557355930</v>
      </c>
      <c r="P369" s="34">
        <v>557355931</v>
      </c>
      <c r="Q369" s="767"/>
      <c r="R369" s="767"/>
      <c r="S369" s="4"/>
      <c r="T369" s="4" t="s">
        <v>3056</v>
      </c>
      <c r="U369" s="4">
        <v>889459204</v>
      </c>
      <c r="V369" s="4">
        <v>889459204</v>
      </c>
      <c r="W369" s="4" t="s">
        <v>2421</v>
      </c>
      <c r="X369" s="4" t="s">
        <v>1004</v>
      </c>
      <c r="Y369" s="4">
        <v>9481</v>
      </c>
      <c r="Z369" s="35"/>
      <c r="AA369" s="1" t="str">
        <f>IFERROR(VLOOKUP(D:D,[1]Габариты!$A:$I,9,0),"")</f>
        <v>Основной ассортимент</v>
      </c>
      <c r="AB369" s="6" t="str">
        <f>IFERROR(VLOOKUP(D:D,[1]Габариты!$A:$D,4,0),"")</f>
        <v>СТОЛЫ</v>
      </c>
      <c r="AC369" s="39">
        <f t="shared" si="75"/>
        <v>9481</v>
      </c>
      <c r="AD369" s="13" t="str">
        <f t="shared" si="74"/>
        <v>FBO</v>
      </c>
    </row>
    <row r="370" spans="1:30" s="6" customFormat="1" ht="20.100000000000001" customHeight="1" outlineLevel="1" x14ac:dyDescent="0.25">
      <c r="A370" s="635" t="s">
        <v>1687</v>
      </c>
      <c r="B370" s="25"/>
      <c r="C370" s="13" t="s">
        <v>2582</v>
      </c>
      <c r="D370" s="40">
        <v>9486</v>
      </c>
      <c r="E370" s="4">
        <v>23</v>
      </c>
      <c r="F370" s="101"/>
      <c r="G370" s="57"/>
      <c r="H370" s="4" t="s">
        <v>6815</v>
      </c>
      <c r="I370" s="4"/>
      <c r="J370" s="4" t="s">
        <v>1966</v>
      </c>
      <c r="K370" s="54"/>
      <c r="L370" s="57"/>
      <c r="M370" s="57"/>
      <c r="N370" s="4" t="s">
        <v>1697</v>
      </c>
      <c r="O370" s="818">
        <v>828605506</v>
      </c>
      <c r="P370" s="818">
        <v>828605507</v>
      </c>
      <c r="Q370" s="767"/>
      <c r="R370" s="767"/>
      <c r="S370" s="4"/>
      <c r="T370" s="4"/>
      <c r="U370" s="4"/>
      <c r="V370" s="4"/>
      <c r="W370" s="4"/>
      <c r="X370" s="4" t="s">
        <v>1697</v>
      </c>
      <c r="Y370" s="4" t="s">
        <v>4066</v>
      </c>
      <c r="Z370" s="35"/>
      <c r="AA370" s="1" t="str">
        <f>IFERROR(VLOOKUP(D:D,[1]Габариты!$A:$I,9,0),"")</f>
        <v>Основной ассортимент</v>
      </c>
      <c r="AB370" s="6" t="str">
        <f>IFERROR(VLOOKUP(D:D,[1]Габариты!$A:$D,4,0),"")</f>
        <v>СТОЛЫ</v>
      </c>
      <c r="AC370" s="39">
        <f t="shared" si="75"/>
        <v>9486</v>
      </c>
      <c r="AD370" s="13" t="str">
        <f t="shared" si="74"/>
        <v>FBO</v>
      </c>
    </row>
    <row r="371" spans="1:30" s="6" customFormat="1" ht="20.100000000000001" customHeight="1" outlineLevel="1" x14ac:dyDescent="0.25">
      <c r="A371" s="635" t="s">
        <v>1688</v>
      </c>
      <c r="B371" s="25"/>
      <c r="C371" s="13" t="s">
        <v>2582</v>
      </c>
      <c r="D371" s="40">
        <v>9487</v>
      </c>
      <c r="E371" s="4">
        <v>23</v>
      </c>
      <c r="F371" s="101"/>
      <c r="G371" s="57"/>
      <c r="H371" s="4" t="s">
        <v>6816</v>
      </c>
      <c r="I371" s="4"/>
      <c r="J371" s="4" t="s">
        <v>2050</v>
      </c>
      <c r="K371" s="54"/>
      <c r="L371" s="57"/>
      <c r="M371" s="57"/>
      <c r="N371" s="4" t="s">
        <v>1698</v>
      </c>
      <c r="O371" s="818">
        <v>828568984</v>
      </c>
      <c r="P371" s="818">
        <v>828568983</v>
      </c>
      <c r="Q371" s="767"/>
      <c r="R371" s="767"/>
      <c r="S371" s="4"/>
      <c r="T371" s="4"/>
      <c r="U371" s="4"/>
      <c r="V371" s="4"/>
      <c r="W371" s="4"/>
      <c r="X371" s="4" t="s">
        <v>1698</v>
      </c>
      <c r="Y371" s="4" t="s">
        <v>4066</v>
      </c>
      <c r="Z371" s="35"/>
      <c r="AA371" s="1" t="str">
        <f>IFERROR(VLOOKUP(D:D,[1]Габариты!$A:$I,9,0),"")</f>
        <v>Основной ассортимент</v>
      </c>
      <c r="AB371" s="6" t="str">
        <f>IFERROR(VLOOKUP(D:D,[1]Габариты!$A:$D,4,0),"")</f>
        <v>СТОЛЫ</v>
      </c>
      <c r="AC371" s="39">
        <f t="shared" si="75"/>
        <v>9487</v>
      </c>
      <c r="AD371" s="13" t="str">
        <f t="shared" si="74"/>
        <v>FBO</v>
      </c>
    </row>
    <row r="372" spans="1:30" s="6" customFormat="1" ht="20.100000000000001" customHeight="1" outlineLevel="1" x14ac:dyDescent="0.25">
      <c r="A372" s="635" t="s">
        <v>1766</v>
      </c>
      <c r="B372" s="24"/>
      <c r="C372" s="13" t="s">
        <v>2582</v>
      </c>
      <c r="D372" s="40">
        <v>9470</v>
      </c>
      <c r="E372" s="4">
        <v>23</v>
      </c>
      <c r="F372" s="101"/>
      <c r="G372" s="57"/>
      <c r="H372" s="4" t="s">
        <v>6817</v>
      </c>
      <c r="I372" s="4"/>
      <c r="J372" s="4" t="s">
        <v>1890</v>
      </c>
      <c r="K372" s="54"/>
      <c r="L372" s="57"/>
      <c r="M372" s="57"/>
      <c r="N372" s="4" t="s">
        <v>2650</v>
      </c>
      <c r="O372" s="4">
        <v>869935581</v>
      </c>
      <c r="P372" s="4">
        <v>869935580</v>
      </c>
      <c r="Q372" s="767"/>
      <c r="R372" s="767"/>
      <c r="S372" s="4"/>
      <c r="T372" s="4" t="s">
        <v>3075</v>
      </c>
      <c r="U372" s="4">
        <v>889325996</v>
      </c>
      <c r="V372" s="4">
        <v>889325996</v>
      </c>
      <c r="W372" s="4"/>
      <c r="X372" s="4" t="s">
        <v>2650</v>
      </c>
      <c r="Y372" s="4" t="s">
        <v>4066</v>
      </c>
      <c r="Z372" s="35"/>
      <c r="AA372" s="1" t="str">
        <f>IFERROR(VLOOKUP(D:D,[1]Габариты!$A:$I,9,0),"")</f>
        <v>Основной ассортимент</v>
      </c>
      <c r="AB372" s="6" t="str">
        <f>IFERROR(VLOOKUP(D:D,[1]Габариты!$A:$D,4,0),"")</f>
        <v>СТОЛЫ</v>
      </c>
      <c r="AC372" s="39">
        <f t="shared" si="75"/>
        <v>9470</v>
      </c>
      <c r="AD372" s="13" t="str">
        <f t="shared" si="74"/>
        <v>FBO</v>
      </c>
    </row>
    <row r="373" spans="1:30" s="6" customFormat="1" ht="20.100000000000001" customHeight="1" outlineLevel="1" x14ac:dyDescent="0.25">
      <c r="A373" s="635" t="s">
        <v>4349</v>
      </c>
      <c r="B373" s="24"/>
      <c r="C373" s="13" t="s">
        <v>2582</v>
      </c>
      <c r="D373" s="40">
        <v>5481</v>
      </c>
      <c r="E373" s="4">
        <v>23</v>
      </c>
      <c r="F373" s="101"/>
      <c r="G373" s="57"/>
      <c r="H373" s="4" t="s">
        <v>6818</v>
      </c>
      <c r="I373" s="4"/>
      <c r="J373" s="4"/>
      <c r="K373" s="54"/>
      <c r="L373" s="57"/>
      <c r="M373" s="57"/>
      <c r="N373" s="806" t="s">
        <v>7497</v>
      </c>
      <c r="O373" s="4">
        <v>1712699555</v>
      </c>
      <c r="P373" s="4">
        <v>1712699555</v>
      </c>
      <c r="Q373" s="767"/>
      <c r="R373" s="767"/>
      <c r="S373" s="4"/>
      <c r="T373" s="4"/>
      <c r="U373" s="4"/>
      <c r="V373" s="4"/>
      <c r="W373" s="4"/>
      <c r="X373" s="4" t="s">
        <v>7497</v>
      </c>
      <c r="Y373" s="4"/>
      <c r="Z373" s="35"/>
      <c r="AA373" s="1" t="str">
        <f>IFERROR(VLOOKUP(D:D,[1]Габариты!$A:$I,9,0),"")</f>
        <v>Основной ассортимент</v>
      </c>
      <c r="AB373" s="6" t="str">
        <f>IFERROR(VLOOKUP(D:D,[1]Габариты!$A:$D,4,0),"")</f>
        <v>СТОЛЫ</v>
      </c>
      <c r="AC373" s="39">
        <f t="shared" si="75"/>
        <v>5481</v>
      </c>
      <c r="AD373" s="13" t="str">
        <f t="shared" si="74"/>
        <v>FBO</v>
      </c>
    </row>
    <row r="374" spans="1:30" s="6" customFormat="1" ht="20.100000000000001" customHeight="1" outlineLevel="1" x14ac:dyDescent="0.25">
      <c r="A374" s="635" t="s">
        <v>4350</v>
      </c>
      <c r="B374" s="24"/>
      <c r="C374" s="13" t="s">
        <v>2582</v>
      </c>
      <c r="D374" s="40">
        <v>5477</v>
      </c>
      <c r="E374" s="4">
        <v>23</v>
      </c>
      <c r="F374" s="101"/>
      <c r="G374" s="57"/>
      <c r="H374" s="4" t="s">
        <v>6819</v>
      </c>
      <c r="I374" s="4"/>
      <c r="J374" s="4"/>
      <c r="K374" s="54"/>
      <c r="L374" s="57"/>
      <c r="M374" s="57"/>
      <c r="N374" s="819" t="s">
        <v>7496</v>
      </c>
      <c r="O374" s="4">
        <v>1712686266</v>
      </c>
      <c r="P374" s="4">
        <v>1712686266</v>
      </c>
      <c r="Q374" s="767"/>
      <c r="R374" s="767"/>
      <c r="S374" s="4"/>
      <c r="T374" s="4"/>
      <c r="U374" s="4"/>
      <c r="V374" s="4"/>
      <c r="W374" s="4"/>
      <c r="X374" s="4" t="s">
        <v>7496</v>
      </c>
      <c r="Y374" s="4"/>
      <c r="Z374" s="35"/>
      <c r="AA374" s="1" t="str">
        <f>IFERROR(VLOOKUP(D:D,[1]Габариты!$A:$I,9,0),"")</f>
        <v>Основной ассортимент</v>
      </c>
      <c r="AB374" s="6" t="str">
        <f>IFERROR(VLOOKUP(D:D,[1]Габариты!$A:$D,4,0),"")</f>
        <v>СТОЛЫ</v>
      </c>
      <c r="AC374" s="39">
        <f t="shared" si="75"/>
        <v>5477</v>
      </c>
      <c r="AD374" s="13" t="str">
        <f t="shared" si="74"/>
        <v>FBO</v>
      </c>
    </row>
    <row r="375" spans="1:30" s="6" customFormat="1" ht="20.100000000000001" customHeight="1" outlineLevel="1" x14ac:dyDescent="0.25">
      <c r="A375" s="633" t="s">
        <v>4348</v>
      </c>
      <c r="B375" s="24"/>
      <c r="C375" s="13" t="s">
        <v>2582</v>
      </c>
      <c r="D375" s="40">
        <v>4053</v>
      </c>
      <c r="E375" s="4">
        <v>22</v>
      </c>
      <c r="F375" s="101">
        <v>4053</v>
      </c>
      <c r="G375" s="57" t="s">
        <v>5136</v>
      </c>
      <c r="H375" s="4" t="s">
        <v>6820</v>
      </c>
      <c r="I375" s="4"/>
      <c r="J375" s="4" t="s">
        <v>7597</v>
      </c>
      <c r="K375" s="54">
        <v>4053</v>
      </c>
      <c r="L375" s="57">
        <v>1589718239</v>
      </c>
      <c r="M375" s="57">
        <v>1589718239</v>
      </c>
      <c r="N375" s="4" t="s">
        <v>4364</v>
      </c>
      <c r="O375" s="4">
        <v>1624256794</v>
      </c>
      <c r="P375" s="4">
        <v>1624256794</v>
      </c>
      <c r="Q375" s="767"/>
      <c r="R375" s="767"/>
      <c r="S375" s="4"/>
      <c r="T375" s="4"/>
      <c r="U375" s="4"/>
      <c r="V375" s="4"/>
      <c r="W375" s="4"/>
      <c r="X375" s="4" t="s">
        <v>4364</v>
      </c>
      <c r="Y375" s="4">
        <v>4053</v>
      </c>
      <c r="Z375" s="35"/>
      <c r="AA375" s="1" t="str">
        <f>IFERROR(VLOOKUP(D:D,[1]Габариты!$A:$I,9,0),"")</f>
        <v>Основной ассортимент</v>
      </c>
      <c r="AB375" s="6" t="str">
        <f>IFERROR(VLOOKUP(D:D,[1]Габариты!$A:$D,4,0),"")</f>
        <v>СТОЛЫ</v>
      </c>
      <c r="AC375" s="39">
        <f t="shared" si="75"/>
        <v>4053</v>
      </c>
      <c r="AD375" s="13" t="str">
        <f t="shared" si="74"/>
        <v>FBO</v>
      </c>
    </row>
    <row r="376" spans="1:30" s="6" customFormat="1" ht="20.100000000000001" customHeight="1" outlineLevel="1" x14ac:dyDescent="0.25">
      <c r="A376" s="633" t="s">
        <v>4761</v>
      </c>
      <c r="B376" s="24"/>
      <c r="C376" s="13" t="s">
        <v>2582</v>
      </c>
      <c r="D376" s="40" t="s">
        <v>4762</v>
      </c>
      <c r="E376" s="4">
        <v>24</v>
      </c>
      <c r="F376" s="101" t="s">
        <v>7914</v>
      </c>
      <c r="G376" s="57"/>
      <c r="H376" s="4" t="s">
        <v>6822</v>
      </c>
      <c r="I376" s="4"/>
      <c r="J376" s="4"/>
      <c r="K376" s="54"/>
      <c r="L376" s="57"/>
      <c r="M376" s="57"/>
      <c r="N376" s="4" t="s">
        <v>4765</v>
      </c>
      <c r="O376" s="4">
        <v>1678422604</v>
      </c>
      <c r="P376" s="4">
        <v>1678422604</v>
      </c>
      <c r="Q376" s="767"/>
      <c r="R376" s="767"/>
      <c r="S376" s="4"/>
      <c r="T376" s="4"/>
      <c r="U376" s="4"/>
      <c r="V376" s="4"/>
      <c r="W376" s="4"/>
      <c r="X376" s="4"/>
      <c r="Y376" s="4"/>
      <c r="Z376" s="35"/>
      <c r="AA376" s="1" t="str">
        <f>IFERROR(VLOOKUP(D:D,[1]Габариты!$A:$I,9,0),"")</f>
        <v>Основной ассортимент</v>
      </c>
      <c r="AB376" s="6" t="str">
        <f>IFERROR(VLOOKUP(D:D,[1]Габариты!$A:$D,4,0),"")</f>
        <v>СТОЛЫ</v>
      </c>
      <c r="AC376" s="39" t="str">
        <f t="shared" si="75"/>
        <v>3770.05/01</v>
      </c>
      <c r="AD376" s="13" t="str">
        <f t="shared" si="74"/>
        <v>FBO</v>
      </c>
    </row>
    <row r="377" spans="1:30" s="6" customFormat="1" ht="20.100000000000001" customHeight="1" outlineLevel="1" x14ac:dyDescent="0.25">
      <c r="A377" s="633" t="s">
        <v>4763</v>
      </c>
      <c r="B377" s="24"/>
      <c r="C377" s="13" t="s">
        <v>2582</v>
      </c>
      <c r="D377" s="40" t="s">
        <v>4764</v>
      </c>
      <c r="E377" s="4">
        <v>24</v>
      </c>
      <c r="F377" s="101" t="s">
        <v>7915</v>
      </c>
      <c r="G377" s="57"/>
      <c r="H377" s="4" t="s">
        <v>6823</v>
      </c>
      <c r="I377" s="4"/>
      <c r="J377" s="4" t="s">
        <v>4767</v>
      </c>
      <c r="K377" s="54"/>
      <c r="L377" s="57"/>
      <c r="M377" s="57"/>
      <c r="N377" s="4" t="s">
        <v>4766</v>
      </c>
      <c r="O377" s="4">
        <v>1679567048</v>
      </c>
      <c r="P377" s="4">
        <v>1679567048</v>
      </c>
      <c r="Q377" s="767"/>
      <c r="R377" s="767"/>
      <c r="S377" s="4"/>
      <c r="T377" s="4" t="s">
        <v>6192</v>
      </c>
      <c r="U377" s="4">
        <v>1680070322</v>
      </c>
      <c r="V377" s="4">
        <v>1680070322</v>
      </c>
      <c r="W377" s="4"/>
      <c r="X377" s="4" t="s">
        <v>4766</v>
      </c>
      <c r="Y377" s="4"/>
      <c r="Z377" s="35"/>
      <c r="AA377" s="1" t="str">
        <f>IFERROR(VLOOKUP(D:D,[1]Габариты!$A:$I,9,0),"")</f>
        <v>Основной ассортимент</v>
      </c>
      <c r="AB377" s="6" t="str">
        <f>IFERROR(VLOOKUP(D:D,[1]Габариты!$A:$D,4,0),"")</f>
        <v>СТОЛЫ</v>
      </c>
      <c r="AC377" s="39" t="str">
        <f t="shared" si="75"/>
        <v>3770.05Ч/01</v>
      </c>
      <c r="AD377" s="13" t="str">
        <f t="shared" si="74"/>
        <v>FBO</v>
      </c>
    </row>
    <row r="378" spans="1:30" s="6" customFormat="1" ht="20.100000000000001" customHeight="1" outlineLevel="1" x14ac:dyDescent="0.25">
      <c r="A378" s="635" t="s">
        <v>1776</v>
      </c>
      <c r="B378" s="24"/>
      <c r="C378" s="13" t="s">
        <v>4328</v>
      </c>
      <c r="D378" s="40">
        <v>9900</v>
      </c>
      <c r="E378" s="4">
        <v>15</v>
      </c>
      <c r="F378" s="101">
        <v>9900</v>
      </c>
      <c r="G378" s="57"/>
      <c r="H378" s="4" t="s">
        <v>6828</v>
      </c>
      <c r="I378" s="4"/>
      <c r="J378" s="4" t="s">
        <v>4052</v>
      </c>
      <c r="K378" s="54"/>
      <c r="L378" s="57"/>
      <c r="M378" s="57"/>
      <c r="N378" s="4" t="s">
        <v>2641</v>
      </c>
      <c r="O378" s="4">
        <v>884392596</v>
      </c>
      <c r="P378" s="4">
        <v>884392595</v>
      </c>
      <c r="Q378" s="767"/>
      <c r="R378" s="767"/>
      <c r="S378" s="4"/>
      <c r="T378" s="4"/>
      <c r="U378" s="4"/>
      <c r="V378" s="4"/>
      <c r="W378" s="4"/>
      <c r="X378" s="4" t="s">
        <v>2641</v>
      </c>
      <c r="Y378" s="4" t="s">
        <v>4066</v>
      </c>
      <c r="Z378" s="35"/>
      <c r="AA378" s="1" t="str">
        <f>IFERROR(VLOOKUP(D:D,[1]Габариты!$A:$I,9,0),"")</f>
        <v>Основной ассортимент</v>
      </c>
      <c r="AB378" s="6" t="str">
        <f>IFERROR(VLOOKUP(D:D,[1]Габариты!$A:$D,4,0),"")</f>
        <v>СТОЛЫ</v>
      </c>
      <c r="AC378" s="39">
        <f t="shared" si="75"/>
        <v>9900</v>
      </c>
      <c r="AD378" s="13" t="str">
        <f t="shared" si="74"/>
        <v>СКГТ</v>
      </c>
    </row>
    <row r="379" spans="1:30" s="6" customFormat="1" ht="20.100000000000001" customHeight="1" outlineLevel="1" x14ac:dyDescent="0.25">
      <c r="A379" s="635" t="s">
        <v>3507</v>
      </c>
      <c r="B379" s="24"/>
      <c r="C379" s="13" t="s">
        <v>4328</v>
      </c>
      <c r="D379" s="40">
        <v>9901</v>
      </c>
      <c r="E379" s="4">
        <v>15</v>
      </c>
      <c r="F379" s="101">
        <v>9901</v>
      </c>
      <c r="G379" s="57"/>
      <c r="H379" s="4" t="s">
        <v>6829</v>
      </c>
      <c r="I379" s="4"/>
      <c r="J379" s="4"/>
      <c r="K379" s="54"/>
      <c r="L379" s="57"/>
      <c r="M379" s="57"/>
      <c r="N379" s="37" t="s">
        <v>3608</v>
      </c>
      <c r="O379" s="4">
        <v>1082337754</v>
      </c>
      <c r="P379" s="4">
        <v>1082337753</v>
      </c>
      <c r="Q379" s="767"/>
      <c r="R379" s="767"/>
      <c r="S379" s="4"/>
      <c r="T379" s="4"/>
      <c r="U379" s="4"/>
      <c r="V379" s="4"/>
      <c r="W379" s="4"/>
      <c r="X379" s="4" t="s">
        <v>3608</v>
      </c>
      <c r="Y379" s="4" t="s">
        <v>4066</v>
      </c>
      <c r="Z379" s="35"/>
      <c r="AA379" s="1" t="str">
        <f>IFERROR(VLOOKUP(D:D,[1]Габариты!$A:$I,9,0),"")</f>
        <v>Основной ассортимент</v>
      </c>
      <c r="AB379" s="6" t="str">
        <f>IFERROR(VLOOKUP(D:D,[1]Габариты!$A:$D,4,0),"")</f>
        <v>СТОЛЫ</v>
      </c>
      <c r="AC379" s="39">
        <f t="shared" si="75"/>
        <v>9901</v>
      </c>
      <c r="AD379" s="13" t="str">
        <f t="shared" si="74"/>
        <v>СКГТ</v>
      </c>
    </row>
    <row r="380" spans="1:30" s="6" customFormat="1" ht="20.100000000000001" customHeight="1" outlineLevel="1" x14ac:dyDescent="0.25">
      <c r="A380" s="633" t="s">
        <v>4258</v>
      </c>
      <c r="B380" s="24"/>
      <c r="C380" s="13" t="s">
        <v>4328</v>
      </c>
      <c r="D380" s="40">
        <v>9903</v>
      </c>
      <c r="E380" s="4">
        <v>15</v>
      </c>
      <c r="F380" s="101">
        <v>9903</v>
      </c>
      <c r="G380" s="57"/>
      <c r="H380" s="4" t="s">
        <v>6830</v>
      </c>
      <c r="I380" s="4"/>
      <c r="J380" s="4"/>
      <c r="K380" s="54"/>
      <c r="L380" s="57"/>
      <c r="M380" s="57"/>
      <c r="N380" s="37" t="s">
        <v>4259</v>
      </c>
      <c r="O380" s="4">
        <v>1597652627</v>
      </c>
      <c r="P380" s="4">
        <v>1597652627</v>
      </c>
      <c r="Q380" s="767"/>
      <c r="R380" s="767"/>
      <c r="S380" s="4"/>
      <c r="T380" s="4"/>
      <c r="U380" s="4"/>
      <c r="V380" s="4"/>
      <c r="W380" s="4"/>
      <c r="X380" s="4" t="s">
        <v>4259</v>
      </c>
      <c r="Y380" s="4"/>
      <c r="Z380" s="35"/>
      <c r="AA380" s="1" t="str">
        <f>IFERROR(VLOOKUP(D:D,[1]Габариты!$A:$I,9,0),"")</f>
        <v>Основной ассортимент</v>
      </c>
      <c r="AB380" s="6" t="str">
        <f>IFERROR(VLOOKUP(D:D,[1]Габариты!$A:$D,4,0),"")</f>
        <v>СТОЛЫ</v>
      </c>
      <c r="AC380" s="39">
        <f t="shared" si="75"/>
        <v>9903</v>
      </c>
      <c r="AD380" s="13" t="str">
        <f t="shared" si="74"/>
        <v>СКГТ</v>
      </c>
    </row>
    <row r="381" spans="1:30" s="6" customFormat="1" ht="20.100000000000001" customHeight="1" outlineLevel="1" x14ac:dyDescent="0.25">
      <c r="A381" s="635" t="s">
        <v>83</v>
      </c>
      <c r="B381" s="3"/>
      <c r="C381" s="13" t="s">
        <v>2581</v>
      </c>
      <c r="D381" s="39">
        <v>2496</v>
      </c>
      <c r="E381" s="4">
        <v>20</v>
      </c>
      <c r="F381" s="101">
        <v>2496</v>
      </c>
      <c r="G381" s="57" t="s">
        <v>4802</v>
      </c>
      <c r="H381" s="4" t="s">
        <v>6833</v>
      </c>
      <c r="I381" s="4" t="s">
        <v>1273</v>
      </c>
      <c r="J381" s="4" t="s">
        <v>1866</v>
      </c>
      <c r="K381" s="54" t="s">
        <v>2347</v>
      </c>
      <c r="L381" s="57">
        <v>194719628</v>
      </c>
      <c r="M381" s="57">
        <v>194719628</v>
      </c>
      <c r="N381" s="4" t="s">
        <v>591</v>
      </c>
      <c r="O381" s="4">
        <v>262640733</v>
      </c>
      <c r="P381" s="4">
        <v>262640755</v>
      </c>
      <c r="Q381" s="767" t="s">
        <v>2850</v>
      </c>
      <c r="R381" s="767">
        <v>323255408</v>
      </c>
      <c r="S381" s="4">
        <v>323255445</v>
      </c>
      <c r="T381" s="4" t="s">
        <v>3035</v>
      </c>
      <c r="U381" s="4">
        <v>891850991</v>
      </c>
      <c r="V381" s="4">
        <v>891850991</v>
      </c>
      <c r="W381" s="4" t="s">
        <v>2347</v>
      </c>
      <c r="X381" s="4" t="s">
        <v>591</v>
      </c>
      <c r="Y381" s="4">
        <v>2496</v>
      </c>
      <c r="Z381" s="35"/>
      <c r="AA381" s="1" t="str">
        <f>IFERROR(VLOOKUP(D:D,[1]Габариты!$A:$I,9,0),"")</f>
        <v>Основной ассортимент</v>
      </c>
      <c r="AB381" s="6" t="str">
        <f>IFERROR(VLOOKUP(D:D,[1]Габариты!$A:$D,4,0),"")</f>
        <v>СТОЛЫ</v>
      </c>
      <c r="AC381" s="39">
        <f t="shared" si="75"/>
        <v>2496</v>
      </c>
      <c r="AD381" s="13" t="str">
        <f t="shared" si="74"/>
        <v>FBS</v>
      </c>
    </row>
    <row r="382" spans="1:30" s="6" customFormat="1" ht="20.100000000000001" customHeight="1" outlineLevel="1" x14ac:dyDescent="0.25">
      <c r="A382" s="635" t="s">
        <v>84</v>
      </c>
      <c r="B382" s="3"/>
      <c r="C382" s="13" t="s">
        <v>2581</v>
      </c>
      <c r="D382" s="39">
        <v>2497</v>
      </c>
      <c r="E382" s="4">
        <v>20</v>
      </c>
      <c r="F382" s="101">
        <v>2497</v>
      </c>
      <c r="G382" s="57" t="s">
        <v>4803</v>
      </c>
      <c r="H382" s="4" t="s">
        <v>6834</v>
      </c>
      <c r="I382" s="4" t="s">
        <v>1274</v>
      </c>
      <c r="J382" s="4" t="s">
        <v>1867</v>
      </c>
      <c r="K382" s="54" t="s">
        <v>2348</v>
      </c>
      <c r="L382" s="57">
        <v>194719654</v>
      </c>
      <c r="M382" s="57">
        <v>194719654</v>
      </c>
      <c r="N382" s="4" t="s">
        <v>592</v>
      </c>
      <c r="O382" s="4">
        <v>265273854</v>
      </c>
      <c r="P382" s="4">
        <v>265273884</v>
      </c>
      <c r="Q382" s="767" t="s">
        <v>2851</v>
      </c>
      <c r="R382" s="767">
        <v>323260758</v>
      </c>
      <c r="S382" s="4">
        <v>323260788</v>
      </c>
      <c r="T382" s="4" t="s">
        <v>3036</v>
      </c>
      <c r="U382" s="4">
        <v>891881514</v>
      </c>
      <c r="V382" s="4">
        <v>891881514</v>
      </c>
      <c r="W382" s="4" t="s">
        <v>2348</v>
      </c>
      <c r="X382" s="4" t="s">
        <v>592</v>
      </c>
      <c r="Y382" s="4">
        <v>2497</v>
      </c>
      <c r="Z382" s="35"/>
      <c r="AA382" s="1" t="str">
        <f>IFERROR(VLOOKUP(D:D,[1]Габариты!$A:$I,9,0),"")</f>
        <v>Основной ассортимент</v>
      </c>
      <c r="AB382" s="6" t="str">
        <f>IFERROR(VLOOKUP(D:D,[1]Габариты!$A:$D,4,0),"")</f>
        <v>СТОЛЫ</v>
      </c>
      <c r="AC382" s="39">
        <f t="shared" si="75"/>
        <v>2497</v>
      </c>
      <c r="AD382" s="13" t="str">
        <f t="shared" si="74"/>
        <v>FBS</v>
      </c>
    </row>
    <row r="383" spans="1:30" s="6" customFormat="1" ht="20.100000000000001" customHeight="1" outlineLevel="1" x14ac:dyDescent="0.25">
      <c r="A383" s="635" t="s">
        <v>85</v>
      </c>
      <c r="B383" s="3"/>
      <c r="C383" s="13" t="s">
        <v>2581</v>
      </c>
      <c r="D383" s="39">
        <v>2498</v>
      </c>
      <c r="E383" s="4">
        <v>20</v>
      </c>
      <c r="F383" s="101">
        <v>2498</v>
      </c>
      <c r="G383" s="57" t="s">
        <v>4804</v>
      </c>
      <c r="H383" s="4" t="s">
        <v>6835</v>
      </c>
      <c r="I383" s="4" t="s">
        <v>1275</v>
      </c>
      <c r="J383" s="4" t="s">
        <v>1868</v>
      </c>
      <c r="K383" s="54" t="s">
        <v>2349</v>
      </c>
      <c r="L383" s="57">
        <v>197461008</v>
      </c>
      <c r="M383" s="57">
        <v>197461008</v>
      </c>
      <c r="N383" s="4" t="s">
        <v>593</v>
      </c>
      <c r="O383" s="4">
        <v>262695500</v>
      </c>
      <c r="P383" s="4">
        <v>262695507</v>
      </c>
      <c r="Q383" s="767" t="s">
        <v>2852</v>
      </c>
      <c r="R383" s="767">
        <v>323274512</v>
      </c>
      <c r="S383" s="4">
        <v>323274547</v>
      </c>
      <c r="T383" s="4" t="s">
        <v>3037</v>
      </c>
      <c r="U383" s="4">
        <v>889535848</v>
      </c>
      <c r="V383" s="4">
        <v>889535848</v>
      </c>
      <c r="W383" s="4" t="s">
        <v>2349</v>
      </c>
      <c r="X383" s="4" t="s">
        <v>593</v>
      </c>
      <c r="Y383" s="4">
        <v>2498</v>
      </c>
      <c r="Z383" s="35"/>
      <c r="AA383" s="1" t="str">
        <f>IFERROR(VLOOKUP(D:D,[1]Габариты!$A:$I,9,0),"")</f>
        <v>Основной ассортимент</v>
      </c>
      <c r="AB383" s="6" t="str">
        <f>IFERROR(VLOOKUP(D:D,[1]Габариты!$A:$D,4,0),"")</f>
        <v>СТОЛЫ</v>
      </c>
      <c r="AC383" s="39">
        <f t="shared" si="75"/>
        <v>2498</v>
      </c>
      <c r="AD383" s="13" t="str">
        <f t="shared" si="74"/>
        <v>FBS</v>
      </c>
    </row>
    <row r="384" spans="1:30" s="6" customFormat="1" ht="20.100000000000001" customHeight="1" outlineLevel="1" x14ac:dyDescent="0.25">
      <c r="A384" s="665" t="s">
        <v>287</v>
      </c>
      <c r="B384" s="2"/>
      <c r="C384" s="13" t="s">
        <v>2581</v>
      </c>
      <c r="D384" s="39">
        <v>3055</v>
      </c>
      <c r="E384" s="4">
        <v>20</v>
      </c>
      <c r="F384" s="101">
        <v>3055</v>
      </c>
      <c r="G384" s="57" t="s">
        <v>4980</v>
      </c>
      <c r="H384" s="4" t="s">
        <v>6836</v>
      </c>
      <c r="I384" s="4" t="s">
        <v>1276</v>
      </c>
      <c r="J384" s="4" t="s">
        <v>1869</v>
      </c>
      <c r="K384" s="54" t="s">
        <v>2350</v>
      </c>
      <c r="L384" s="57">
        <v>286149049</v>
      </c>
      <c r="M384" s="57">
        <v>286149049</v>
      </c>
      <c r="N384" s="4" t="s">
        <v>762</v>
      </c>
      <c r="O384" s="4">
        <v>293316318</v>
      </c>
      <c r="P384" s="4">
        <v>293316321</v>
      </c>
      <c r="Q384" s="767" t="s">
        <v>2853</v>
      </c>
      <c r="R384" s="767">
        <v>323312889</v>
      </c>
      <c r="S384" s="4">
        <v>323312941</v>
      </c>
      <c r="T384" s="4" t="s">
        <v>3038</v>
      </c>
      <c r="U384" s="4">
        <v>889519432</v>
      </c>
      <c r="V384" s="4">
        <v>889519432</v>
      </c>
      <c r="W384" s="4" t="s">
        <v>2350</v>
      </c>
      <c r="X384" s="4" t="s">
        <v>762</v>
      </c>
      <c r="Y384" s="4" t="s">
        <v>4066</v>
      </c>
      <c r="Z384" s="35"/>
      <c r="AA384" s="1" t="str">
        <f>IFERROR(VLOOKUP(D:D,[1]Габариты!$A:$I,9,0),"")</f>
        <v>Основной ассортимент</v>
      </c>
      <c r="AB384" s="6" t="str">
        <f>IFERROR(VLOOKUP(D:D,[1]Габариты!$A:$D,4,0),"")</f>
        <v>СТОЛЫ</v>
      </c>
      <c r="AC384" s="39">
        <f t="shared" si="75"/>
        <v>3055</v>
      </c>
      <c r="AD384" s="13" t="str">
        <f t="shared" si="74"/>
        <v>FBS</v>
      </c>
    </row>
    <row r="385" spans="1:30" s="6" customFormat="1" ht="20.100000000000001" customHeight="1" outlineLevel="1" x14ac:dyDescent="0.25">
      <c r="A385" s="665" t="s">
        <v>274</v>
      </c>
      <c r="B385" s="2"/>
      <c r="C385" s="13" t="s">
        <v>2582</v>
      </c>
      <c r="D385" s="39">
        <v>3035</v>
      </c>
      <c r="E385" s="4">
        <v>27</v>
      </c>
      <c r="F385" s="101">
        <v>3035</v>
      </c>
      <c r="G385" s="57" t="s">
        <v>4970</v>
      </c>
      <c r="H385" s="4" t="s">
        <v>6837</v>
      </c>
      <c r="I385" s="4"/>
      <c r="J385" s="4" t="s">
        <v>3112</v>
      </c>
      <c r="K385" s="54"/>
      <c r="L385" s="57"/>
      <c r="M385" s="57"/>
      <c r="N385" s="4" t="s">
        <v>754</v>
      </c>
      <c r="O385" s="4">
        <v>977700423</v>
      </c>
      <c r="P385" s="4">
        <v>977700422</v>
      </c>
      <c r="Q385" s="767" t="s">
        <v>2865</v>
      </c>
      <c r="R385" s="767">
        <v>977769728</v>
      </c>
      <c r="S385" s="4">
        <v>977769729</v>
      </c>
      <c r="T385" s="4" t="s">
        <v>3803</v>
      </c>
      <c r="U385" s="4">
        <v>1313060420</v>
      </c>
      <c r="V385" s="4">
        <v>1313060420</v>
      </c>
      <c r="W385" s="4" t="s">
        <v>2363</v>
      </c>
      <c r="X385" s="4" t="s">
        <v>754</v>
      </c>
      <c r="Y385" s="4">
        <v>3035</v>
      </c>
      <c r="Z385" s="35"/>
      <c r="AA385" s="1" t="str">
        <f>IFERROR(VLOOKUP(D:D,[1]Габариты!$A:$I,9,0),"")</f>
        <v>Основной ассортимент</v>
      </c>
      <c r="AB385" s="6" t="str">
        <f>IFERROR(VLOOKUP(D:D,[1]Габариты!$A:$D,4,0),"")</f>
        <v>СТОЛЫ</v>
      </c>
      <c r="AC385" s="39">
        <f t="shared" si="75"/>
        <v>3035</v>
      </c>
      <c r="AD385" s="13" t="str">
        <f t="shared" si="74"/>
        <v>FBO</v>
      </c>
    </row>
    <row r="386" spans="1:30" s="6" customFormat="1" ht="20.100000000000001" customHeight="1" outlineLevel="1" x14ac:dyDescent="0.25">
      <c r="A386" s="635" t="s">
        <v>100</v>
      </c>
      <c r="B386" s="3"/>
      <c r="C386" s="13" t="s">
        <v>2582</v>
      </c>
      <c r="D386" s="39">
        <v>2614</v>
      </c>
      <c r="E386" s="4">
        <v>27</v>
      </c>
      <c r="F386" s="101">
        <v>2614</v>
      </c>
      <c r="G386" s="57" t="s">
        <v>4836</v>
      </c>
      <c r="H386" s="4" t="s">
        <v>6838</v>
      </c>
      <c r="I386" s="4"/>
      <c r="J386" s="4" t="s">
        <v>3111</v>
      </c>
      <c r="K386" s="54"/>
      <c r="L386" s="57"/>
      <c r="M386" s="57"/>
      <c r="N386" s="4" t="s">
        <v>619</v>
      </c>
      <c r="O386" s="4">
        <v>953276955</v>
      </c>
      <c r="P386" s="4">
        <v>953276954</v>
      </c>
      <c r="Q386" s="767"/>
      <c r="R386" s="767"/>
      <c r="S386" s="4"/>
      <c r="T386" s="4" t="s">
        <v>3804</v>
      </c>
      <c r="U386" s="4">
        <v>1313226484</v>
      </c>
      <c r="V386" s="4">
        <v>1313226484</v>
      </c>
      <c r="W386" s="4" t="s">
        <v>2364</v>
      </c>
      <c r="X386" s="4" t="s">
        <v>619</v>
      </c>
      <c r="Y386" s="4" t="s">
        <v>4066</v>
      </c>
      <c r="Z386" s="35"/>
      <c r="AA386" s="1" t="str">
        <f>IFERROR(VLOOKUP(D:D,[1]Габариты!$A:$I,9,0),"")</f>
        <v>Основной ассортимент</v>
      </c>
      <c r="AB386" s="6" t="str">
        <f>IFERROR(VLOOKUP(D:D,[1]Габариты!$A:$D,4,0),"")</f>
        <v>СТОЛЫ</v>
      </c>
      <c r="AC386" s="39">
        <f t="shared" si="75"/>
        <v>2614</v>
      </c>
      <c r="AD386" s="13" t="str">
        <f t="shared" si="74"/>
        <v>FBO</v>
      </c>
    </row>
    <row r="387" spans="1:30" s="6" customFormat="1" ht="20.100000000000001" customHeight="1" outlineLevel="1" x14ac:dyDescent="0.25">
      <c r="A387" s="635" t="s">
        <v>45</v>
      </c>
      <c r="B387" s="3"/>
      <c r="C387" s="13" t="s">
        <v>2582</v>
      </c>
      <c r="D387" s="39">
        <v>2405</v>
      </c>
      <c r="E387" s="4">
        <v>27</v>
      </c>
      <c r="F387" s="101">
        <v>2405</v>
      </c>
      <c r="G387" s="57" t="s">
        <v>4779</v>
      </c>
      <c r="H387" s="4" t="s">
        <v>6839</v>
      </c>
      <c r="I387" s="4"/>
      <c r="J387" s="4" t="s">
        <v>3110</v>
      </c>
      <c r="K387" s="54"/>
      <c r="L387" s="57"/>
      <c r="M387" s="57"/>
      <c r="N387" s="4" t="s">
        <v>572</v>
      </c>
      <c r="O387" s="4">
        <v>977717213</v>
      </c>
      <c r="P387" s="4">
        <v>977717212</v>
      </c>
      <c r="Q387" s="767"/>
      <c r="R387" s="767"/>
      <c r="S387" s="4"/>
      <c r="T387" s="4" t="s">
        <v>3805</v>
      </c>
      <c r="U387" s="4">
        <v>1313245572</v>
      </c>
      <c r="V387" s="4">
        <v>1313245572</v>
      </c>
      <c r="W387" s="4" t="s">
        <v>2365</v>
      </c>
      <c r="X387" s="4" t="s">
        <v>572</v>
      </c>
      <c r="Y387" s="4" t="s">
        <v>4066</v>
      </c>
      <c r="Z387" s="35"/>
      <c r="AA387" s="1" t="str">
        <f>IFERROR(VLOOKUP(D:D,[1]Габариты!$A:$I,9,0),"")</f>
        <v>Основной ассортимент</v>
      </c>
      <c r="AB387" s="6" t="str">
        <f>IFERROR(VLOOKUP(D:D,[1]Габариты!$A:$D,4,0),"")</f>
        <v>СТОЛЫ</v>
      </c>
      <c r="AC387" s="39">
        <f t="shared" si="75"/>
        <v>2405</v>
      </c>
      <c r="AD387" s="13" t="str">
        <f t="shared" si="74"/>
        <v>FBO</v>
      </c>
    </row>
    <row r="388" spans="1:30" s="6" customFormat="1" ht="20.100000000000001" customHeight="1" outlineLevel="1" x14ac:dyDescent="0.25">
      <c r="A388" s="665" t="s">
        <v>465</v>
      </c>
      <c r="B388" s="19"/>
      <c r="C388" s="13" t="s">
        <v>2581</v>
      </c>
      <c r="D388" s="820">
        <v>135521</v>
      </c>
      <c r="E388" s="4">
        <v>19</v>
      </c>
      <c r="F388" s="101">
        <v>135521</v>
      </c>
      <c r="G388" s="57"/>
      <c r="H388" s="4" t="s">
        <v>6840</v>
      </c>
      <c r="I388" s="4" t="s">
        <v>2088</v>
      </c>
      <c r="J388" s="4" t="s">
        <v>1875</v>
      </c>
      <c r="K388" s="54"/>
      <c r="L388" s="57"/>
      <c r="M388" s="57"/>
      <c r="N388" s="4" t="s">
        <v>786</v>
      </c>
      <c r="O388" s="4">
        <v>367832015</v>
      </c>
      <c r="P388" s="4">
        <v>367832016</v>
      </c>
      <c r="Q388" s="767" t="s">
        <v>2893</v>
      </c>
      <c r="R388" s="767">
        <v>916166838</v>
      </c>
      <c r="S388" s="4">
        <v>916166836</v>
      </c>
      <c r="T388" s="4" t="s">
        <v>3047</v>
      </c>
      <c r="U388" s="4">
        <v>893902360</v>
      </c>
      <c r="V388" s="4">
        <v>893902360</v>
      </c>
      <c r="W388" s="4" t="s">
        <v>2394</v>
      </c>
      <c r="X388" s="4" t="s">
        <v>786</v>
      </c>
      <c r="Y388" s="4">
        <v>135521</v>
      </c>
      <c r="Z388" s="35"/>
      <c r="AA388" s="1" t="str">
        <f>IFERROR(VLOOKUP(D:D,[1]Габариты!$A:$I,9,0),"")</f>
        <v>Основной ассортимент</v>
      </c>
      <c r="AB388" s="6" t="str">
        <f>IFERROR(VLOOKUP(D:D,[1]Габариты!$A:$D,4,0),"")</f>
        <v>СТОЛЫ</v>
      </c>
      <c r="AC388" s="39">
        <f t="shared" si="75"/>
        <v>135521</v>
      </c>
      <c r="AD388" s="13" t="str">
        <f t="shared" si="74"/>
        <v>FBS</v>
      </c>
    </row>
    <row r="389" spans="1:30" s="6" customFormat="1" ht="20.100000000000001" customHeight="1" outlineLevel="1" x14ac:dyDescent="0.25">
      <c r="A389" s="665" t="s">
        <v>466</v>
      </c>
      <c r="B389" s="19"/>
      <c r="C389" s="13" t="s">
        <v>2581</v>
      </c>
      <c r="D389" s="820">
        <v>135523</v>
      </c>
      <c r="E389" s="4">
        <v>19</v>
      </c>
      <c r="F389" s="101">
        <v>135523</v>
      </c>
      <c r="G389" s="57"/>
      <c r="H389" s="4" t="s">
        <v>6841</v>
      </c>
      <c r="I389" s="4" t="s">
        <v>2514</v>
      </c>
      <c r="J389" s="4" t="s">
        <v>1876</v>
      </c>
      <c r="K389" s="54"/>
      <c r="L389" s="57"/>
      <c r="M389" s="57"/>
      <c r="N389" s="4" t="s">
        <v>915</v>
      </c>
      <c r="O389" s="4">
        <v>390837796</v>
      </c>
      <c r="P389" s="4">
        <v>390837795</v>
      </c>
      <c r="Q389" s="767" t="s">
        <v>2894</v>
      </c>
      <c r="R389" s="767">
        <v>916191602</v>
      </c>
      <c r="S389" s="4">
        <v>916191603</v>
      </c>
      <c r="T389" s="4" t="s">
        <v>3048</v>
      </c>
      <c r="U389" s="4">
        <v>895225993</v>
      </c>
      <c r="V389" s="4">
        <v>895225993</v>
      </c>
      <c r="W389" s="4" t="s">
        <v>2395</v>
      </c>
      <c r="X389" s="4" t="s">
        <v>915</v>
      </c>
      <c r="Y389" s="4">
        <v>135523</v>
      </c>
      <c r="Z389" s="35"/>
      <c r="AA389" s="1" t="str">
        <f>IFERROR(VLOOKUP(D:D,[1]Габариты!$A:$I,9,0),"")</f>
        <v>Основной ассортимент</v>
      </c>
      <c r="AB389" s="6" t="str">
        <f>IFERROR(VLOOKUP(D:D,[1]Габариты!$A:$D,4,0),"")</f>
        <v>СТОЛЫ</v>
      </c>
      <c r="AC389" s="39">
        <f t="shared" si="75"/>
        <v>135523</v>
      </c>
      <c r="AD389" s="13" t="str">
        <f t="shared" si="74"/>
        <v>FBS</v>
      </c>
    </row>
    <row r="390" spans="1:30" s="6" customFormat="1" ht="20.100000000000001" customHeight="1" outlineLevel="1" x14ac:dyDescent="0.25">
      <c r="A390" s="744" t="s">
        <v>508</v>
      </c>
      <c r="B390" s="28"/>
      <c r="C390" s="13" t="s">
        <v>2581</v>
      </c>
      <c r="D390" s="43">
        <v>135522</v>
      </c>
      <c r="E390" s="4">
        <v>19</v>
      </c>
      <c r="F390" s="101">
        <v>135522</v>
      </c>
      <c r="G390" s="57"/>
      <c r="H390" s="4" t="s">
        <v>6842</v>
      </c>
      <c r="I390" s="4" t="s">
        <v>2515</v>
      </c>
      <c r="J390" s="4" t="s">
        <v>1877</v>
      </c>
      <c r="K390" s="54"/>
      <c r="L390" s="57"/>
      <c r="M390" s="57"/>
      <c r="N390" s="4" t="s">
        <v>922</v>
      </c>
      <c r="O390" s="4">
        <v>421873945</v>
      </c>
      <c r="P390" s="4">
        <v>421873946</v>
      </c>
      <c r="Q390" s="767" t="s">
        <v>2895</v>
      </c>
      <c r="R390" s="767">
        <v>916218660</v>
      </c>
      <c r="S390" s="4">
        <v>916218661</v>
      </c>
      <c r="T390" s="4" t="s">
        <v>3051</v>
      </c>
      <c r="U390" s="4">
        <v>895216363</v>
      </c>
      <c r="V390" s="4">
        <v>895216363</v>
      </c>
      <c r="W390" s="4" t="s">
        <v>2405</v>
      </c>
      <c r="X390" s="4" t="s">
        <v>922</v>
      </c>
      <c r="Y390" s="4">
        <v>135522</v>
      </c>
      <c r="Z390" s="35"/>
      <c r="AA390" s="1" t="str">
        <f>IFERROR(VLOOKUP(D:D,[1]Габариты!$A:$I,9,0),"")</f>
        <v>Основной ассортимент</v>
      </c>
      <c r="AB390" s="6" t="str">
        <f>IFERROR(VLOOKUP(D:D,[1]Габариты!$A:$D,4,0),"")</f>
        <v>СТОЛЫ</v>
      </c>
      <c r="AC390" s="39">
        <f t="shared" si="75"/>
        <v>135522</v>
      </c>
      <c r="AD390" s="13" t="str">
        <f t="shared" si="74"/>
        <v>FBS</v>
      </c>
    </row>
    <row r="391" spans="1:30" s="6" customFormat="1" ht="20.100000000000001" customHeight="1" outlineLevel="1" x14ac:dyDescent="0.25">
      <c r="A391" s="635" t="s">
        <v>520</v>
      </c>
      <c r="B391" s="25"/>
      <c r="C391" s="13" t="s">
        <v>2581</v>
      </c>
      <c r="D391" s="39">
        <v>135524</v>
      </c>
      <c r="E391" s="4">
        <v>19</v>
      </c>
      <c r="F391" s="101">
        <v>135524</v>
      </c>
      <c r="G391" s="57"/>
      <c r="H391" s="4" t="s">
        <v>6843</v>
      </c>
      <c r="I391" s="4" t="s">
        <v>2516</v>
      </c>
      <c r="J391" s="4" t="s">
        <v>1878</v>
      </c>
      <c r="K391" s="54"/>
      <c r="L391" s="57"/>
      <c r="M391" s="57"/>
      <c r="N391" s="4" t="s">
        <v>927</v>
      </c>
      <c r="O391" s="4">
        <v>1353149965</v>
      </c>
      <c r="P391" s="4">
        <v>1353149965</v>
      </c>
      <c r="Q391" s="767" t="s">
        <v>2896</v>
      </c>
      <c r="R391" s="767">
        <v>916195963</v>
      </c>
      <c r="S391" s="4">
        <v>916195962</v>
      </c>
      <c r="T391" s="4" t="s">
        <v>3052</v>
      </c>
      <c r="U391" s="4">
        <v>895256591</v>
      </c>
      <c r="V391" s="4">
        <v>895256591</v>
      </c>
      <c r="W391" s="4" t="s">
        <v>2411</v>
      </c>
      <c r="X391" s="4" t="s">
        <v>927</v>
      </c>
      <c r="Y391" s="4">
        <v>135524</v>
      </c>
      <c r="Z391" s="35"/>
      <c r="AA391" s="1" t="str">
        <f>IFERROR(VLOOKUP(D:D,[1]Габариты!$A:$I,9,0),"")</f>
        <v>Основной ассортимент</v>
      </c>
      <c r="AB391" s="6" t="str">
        <f>IFERROR(VLOOKUP(D:D,[1]Габариты!$A:$D,4,0),"")</f>
        <v>СТОЛЫ</v>
      </c>
      <c r="AC391" s="39">
        <f t="shared" si="75"/>
        <v>135524</v>
      </c>
      <c r="AD391" s="13" t="str">
        <f t="shared" si="74"/>
        <v>FBS</v>
      </c>
    </row>
    <row r="392" spans="1:30" s="6" customFormat="1" ht="20.100000000000001" customHeight="1" outlineLevel="1" x14ac:dyDescent="0.25">
      <c r="A392" s="635" t="s">
        <v>817</v>
      </c>
      <c r="B392" s="25"/>
      <c r="C392" s="13" t="s">
        <v>2581</v>
      </c>
      <c r="D392" s="40">
        <v>135525</v>
      </c>
      <c r="E392" s="4">
        <v>19</v>
      </c>
      <c r="F392" s="101">
        <v>135525</v>
      </c>
      <c r="G392" s="57"/>
      <c r="H392" s="4" t="s">
        <v>6844</v>
      </c>
      <c r="I392" s="4"/>
      <c r="J392" s="4" t="s">
        <v>1881</v>
      </c>
      <c r="K392" s="54"/>
      <c r="L392" s="57"/>
      <c r="M392" s="57"/>
      <c r="N392" s="4" t="s">
        <v>933</v>
      </c>
      <c r="O392" s="34">
        <v>536428380</v>
      </c>
      <c r="P392" s="34">
        <v>536428377</v>
      </c>
      <c r="Q392" s="767" t="s">
        <v>3624</v>
      </c>
      <c r="R392" s="767">
        <v>1091160350</v>
      </c>
      <c r="S392" s="4">
        <v>1091160349</v>
      </c>
      <c r="T392" s="4" t="s">
        <v>3055</v>
      </c>
      <c r="U392" s="4">
        <v>895273822</v>
      </c>
      <c r="V392" s="4">
        <v>895273822</v>
      </c>
      <c r="W392" s="4" t="s">
        <v>2420</v>
      </c>
      <c r="X392" s="4" t="s">
        <v>933</v>
      </c>
      <c r="Y392" s="4">
        <v>135525</v>
      </c>
      <c r="Z392" s="35"/>
      <c r="AA392" s="1" t="str">
        <f>IFERROR(VLOOKUP(D:D,[1]Габариты!$A:$I,9,0),"")</f>
        <v>Основной ассортимент</v>
      </c>
      <c r="AB392" s="6" t="str">
        <f>IFERROR(VLOOKUP(D:D,[1]Габариты!$A:$D,4,0),"")</f>
        <v>СТОЛЫ</v>
      </c>
      <c r="AC392" s="39">
        <f t="shared" si="75"/>
        <v>135525</v>
      </c>
      <c r="AD392" s="13" t="str">
        <f t="shared" si="74"/>
        <v>FBS</v>
      </c>
    </row>
    <row r="393" spans="1:30" s="6" customFormat="1" ht="20.100000000000001" customHeight="1" outlineLevel="1" x14ac:dyDescent="0.25">
      <c r="A393" s="635" t="s">
        <v>1822</v>
      </c>
      <c r="B393" s="25"/>
      <c r="C393" s="13" t="s">
        <v>2581</v>
      </c>
      <c r="D393" s="40">
        <v>135526</v>
      </c>
      <c r="E393" s="4">
        <v>19</v>
      </c>
      <c r="F393" s="101">
        <v>135526</v>
      </c>
      <c r="G393" s="57"/>
      <c r="H393" s="4" t="s">
        <v>6845</v>
      </c>
      <c r="I393" s="4"/>
      <c r="J393" s="4" t="s">
        <v>1963</v>
      </c>
      <c r="K393" s="54"/>
      <c r="L393" s="57"/>
      <c r="M393" s="57"/>
      <c r="N393" s="4" t="s">
        <v>2635</v>
      </c>
      <c r="O393" s="34">
        <v>912219589</v>
      </c>
      <c r="P393" s="34">
        <v>912219590</v>
      </c>
      <c r="Q393" s="767" t="s">
        <v>3735</v>
      </c>
      <c r="R393" s="767">
        <v>1189599232</v>
      </c>
      <c r="S393" s="4">
        <v>1189599233</v>
      </c>
      <c r="T393" s="4" t="s">
        <v>3128</v>
      </c>
      <c r="U393" s="4">
        <v>958727535</v>
      </c>
      <c r="V393" s="4">
        <v>958727535</v>
      </c>
      <c r="W393" s="4"/>
      <c r="X393" s="4" t="s">
        <v>2635</v>
      </c>
      <c r="Y393" s="4">
        <v>135526</v>
      </c>
      <c r="Z393" s="35"/>
      <c r="AA393" s="1" t="str">
        <f>IFERROR(VLOOKUP(D:D,[1]Габариты!$A:$I,9,0),"")</f>
        <v>Основной ассортимент</v>
      </c>
      <c r="AB393" s="6" t="str">
        <f>IFERROR(VLOOKUP(D:D,[1]Габариты!$A:$D,4,0),"")</f>
        <v>СТОЛЫ</v>
      </c>
      <c r="AC393" s="39">
        <f t="shared" si="75"/>
        <v>135526</v>
      </c>
      <c r="AD393" s="13" t="str">
        <f t="shared" si="74"/>
        <v>FBS</v>
      </c>
    </row>
    <row r="394" spans="1:30" s="6" customFormat="1" ht="20.100000000000001" customHeight="1" outlineLevel="1" x14ac:dyDescent="0.25">
      <c r="A394" s="635" t="s">
        <v>566</v>
      </c>
      <c r="B394" s="25"/>
      <c r="C394" s="13" t="s">
        <v>2581</v>
      </c>
      <c r="D394" s="40">
        <v>777</v>
      </c>
      <c r="E394" s="4">
        <v>22</v>
      </c>
      <c r="F394" s="101"/>
      <c r="G394" s="57"/>
      <c r="H394" s="4" t="s">
        <v>6846</v>
      </c>
      <c r="I394" s="4" t="s">
        <v>3301</v>
      </c>
      <c r="J394" s="4" t="s">
        <v>1879</v>
      </c>
      <c r="K394" s="54"/>
      <c r="L394" s="57"/>
      <c r="M394" s="57"/>
      <c r="N394" s="4" t="s">
        <v>1014</v>
      </c>
      <c r="O394" s="4">
        <v>511394003</v>
      </c>
      <c r="P394" s="4">
        <v>511394002</v>
      </c>
      <c r="Q394" s="767"/>
      <c r="R394" s="767"/>
      <c r="S394" s="4"/>
      <c r="T394" s="4" t="s">
        <v>3053</v>
      </c>
      <c r="U394" s="4">
        <v>904450519</v>
      </c>
      <c r="V394" s="4">
        <v>904450519</v>
      </c>
      <c r="W394" s="4" t="s">
        <v>2418</v>
      </c>
      <c r="X394" s="4" t="s">
        <v>1014</v>
      </c>
      <c r="Y394" s="4">
        <v>777</v>
      </c>
      <c r="Z394" s="35"/>
      <c r="AA394" s="1" t="str">
        <f>IFERROR(VLOOKUP(D:D,[1]Габариты!$A:$I,9,0),"")</f>
        <v>Основной ассортимент</v>
      </c>
      <c r="AB394" s="6" t="str">
        <f>IFERROR(VLOOKUP(D:D,[1]Габариты!$A:$D,4,0),"")</f>
        <v>СТОЛЫ</v>
      </c>
      <c r="AC394" s="39">
        <f t="shared" si="75"/>
        <v>777</v>
      </c>
      <c r="AD394" s="13" t="str">
        <f t="shared" ref="AD394:AD454" si="77">C394</f>
        <v>FBS</v>
      </c>
    </row>
    <row r="395" spans="1:30" s="6" customFormat="1" ht="20.100000000000001" customHeight="1" outlineLevel="1" x14ac:dyDescent="0.25">
      <c r="A395" s="635" t="s">
        <v>1053</v>
      </c>
      <c r="B395" s="3"/>
      <c r="C395" s="13" t="s">
        <v>2581</v>
      </c>
      <c r="D395" s="39">
        <v>7771</v>
      </c>
      <c r="E395" s="4">
        <v>22</v>
      </c>
      <c r="F395" s="101"/>
      <c r="G395" s="57"/>
      <c r="H395" s="4" t="s">
        <v>6847</v>
      </c>
      <c r="I395" s="4"/>
      <c r="J395" s="4" t="s">
        <v>2524</v>
      </c>
      <c r="K395" s="54"/>
      <c r="L395" s="57"/>
      <c r="M395" s="57"/>
      <c r="N395" s="4" t="s">
        <v>1074</v>
      </c>
      <c r="O395" s="4">
        <v>631499936</v>
      </c>
      <c r="P395" s="4">
        <v>631499935</v>
      </c>
      <c r="Q395" s="767"/>
      <c r="R395" s="767"/>
      <c r="S395" s="4"/>
      <c r="T395" s="4" t="s">
        <v>3059</v>
      </c>
      <c r="U395" s="4">
        <v>942305907</v>
      </c>
      <c r="V395" s="4">
        <v>942305907</v>
      </c>
      <c r="W395" s="4"/>
      <c r="X395" s="4" t="s">
        <v>1074</v>
      </c>
      <c r="Y395" s="4">
        <v>7771</v>
      </c>
      <c r="Z395" s="35"/>
      <c r="AA395" s="1" t="str">
        <f>IFERROR(VLOOKUP(D:D,[1]Габариты!$A:$I,9,0),"")</f>
        <v>Основной ассортимент</v>
      </c>
      <c r="AB395" s="6" t="str">
        <f>IFERROR(VLOOKUP(D:D,[1]Габариты!$A:$D,4,0),"")</f>
        <v>СТОЛЫ</v>
      </c>
      <c r="AC395" s="39">
        <f t="shared" si="75"/>
        <v>7771</v>
      </c>
      <c r="AD395" s="13" t="str">
        <f t="shared" si="77"/>
        <v>FBS</v>
      </c>
    </row>
    <row r="396" spans="1:30" s="6" customFormat="1" ht="20.100000000000001" customHeight="1" outlineLevel="1" x14ac:dyDescent="0.25">
      <c r="A396" s="635" t="s">
        <v>1592</v>
      </c>
      <c r="B396" s="25"/>
      <c r="C396" s="13" t="s">
        <v>2581</v>
      </c>
      <c r="D396" s="40">
        <v>7772</v>
      </c>
      <c r="E396" s="4">
        <v>22</v>
      </c>
      <c r="F396" s="101"/>
      <c r="G396" s="57"/>
      <c r="H396" s="4" t="s">
        <v>6848</v>
      </c>
      <c r="I396" s="4"/>
      <c r="J396" s="4" t="s">
        <v>2525</v>
      </c>
      <c r="K396" s="54"/>
      <c r="L396" s="57"/>
      <c r="M396" s="57"/>
      <c r="N396" s="4" t="s">
        <v>1636</v>
      </c>
      <c r="O396" s="4">
        <v>803048517</v>
      </c>
      <c r="P396" s="4">
        <v>803048516</v>
      </c>
      <c r="Q396" s="767"/>
      <c r="R396" s="767"/>
      <c r="S396" s="4"/>
      <c r="T396" s="4" t="s">
        <v>3064</v>
      </c>
      <c r="U396" s="4">
        <v>942352616</v>
      </c>
      <c r="V396" s="4">
        <v>942352616</v>
      </c>
      <c r="W396" s="4"/>
      <c r="X396" s="4" t="s">
        <v>1636</v>
      </c>
      <c r="Y396" s="4">
        <v>7772</v>
      </c>
      <c r="Z396" s="35"/>
      <c r="AA396" s="1" t="str">
        <f>IFERROR(VLOOKUP(D:D,[1]Габариты!$A:$I,9,0),"")</f>
        <v>Основной ассортимент</v>
      </c>
      <c r="AB396" s="6" t="str">
        <f>IFERROR(VLOOKUP(D:D,[1]Габариты!$A:$D,4,0),"")</f>
        <v>СТОЛЫ</v>
      </c>
      <c r="AC396" s="39">
        <f t="shared" si="75"/>
        <v>7772</v>
      </c>
      <c r="AD396" s="13" t="str">
        <f t="shared" si="77"/>
        <v>FBS</v>
      </c>
    </row>
    <row r="397" spans="1:30" s="6" customFormat="1" ht="20.100000000000001" customHeight="1" outlineLevel="1" x14ac:dyDescent="0.25">
      <c r="A397" s="635" t="s">
        <v>3470</v>
      </c>
      <c r="B397" s="24"/>
      <c r="C397" s="13" t="s">
        <v>2581</v>
      </c>
      <c r="D397" s="40">
        <v>7773</v>
      </c>
      <c r="E397" s="4">
        <v>22</v>
      </c>
      <c r="F397" s="101"/>
      <c r="G397" s="57"/>
      <c r="H397" s="4" t="s">
        <v>6849</v>
      </c>
      <c r="I397" s="4"/>
      <c r="J397" s="4" t="s">
        <v>3571</v>
      </c>
      <c r="K397" s="54"/>
      <c r="L397" s="57"/>
      <c r="M397" s="57"/>
      <c r="N397" s="37" t="s">
        <v>3655</v>
      </c>
      <c r="O397" s="4">
        <v>1063046482</v>
      </c>
      <c r="P397" s="4">
        <v>1063046481</v>
      </c>
      <c r="Q397" s="767"/>
      <c r="R397" s="767"/>
      <c r="S397" s="4"/>
      <c r="T397" s="4" t="s">
        <v>3552</v>
      </c>
      <c r="U397" s="4">
        <v>1062363156</v>
      </c>
      <c r="V397" s="4">
        <v>1062363156</v>
      </c>
      <c r="W397" s="4"/>
      <c r="X397" s="4" t="s">
        <v>3655</v>
      </c>
      <c r="Y397" s="4" t="s">
        <v>4066</v>
      </c>
      <c r="Z397" s="35"/>
      <c r="AA397" s="1" t="str">
        <f>IFERROR(VLOOKUP(D:D,[1]Габариты!$A:$I,9,0),"")</f>
        <v>Основной ассортимент</v>
      </c>
      <c r="AB397" s="6" t="str">
        <f>IFERROR(VLOOKUP(D:D,[1]Габариты!$A:$D,4,0),"")</f>
        <v>СТОЛЫ</v>
      </c>
      <c r="AC397" s="39">
        <f t="shared" si="75"/>
        <v>7773</v>
      </c>
      <c r="AD397" s="13" t="str">
        <f t="shared" si="77"/>
        <v>FBS</v>
      </c>
    </row>
    <row r="398" spans="1:30" s="6" customFormat="1" ht="20.100000000000001" customHeight="1" outlineLevel="1" x14ac:dyDescent="0.25">
      <c r="A398" s="635" t="s">
        <v>3506</v>
      </c>
      <c r="B398" s="24"/>
      <c r="C398" s="13" t="s">
        <v>2581</v>
      </c>
      <c r="D398" s="40">
        <v>7777</v>
      </c>
      <c r="E398" s="4">
        <v>28</v>
      </c>
      <c r="F398" s="101"/>
      <c r="G398" s="57"/>
      <c r="H398" s="4" t="s">
        <v>6851</v>
      </c>
      <c r="I398" s="4"/>
      <c r="J398" s="4"/>
      <c r="K398" s="54"/>
      <c r="L398" s="57"/>
      <c r="M398" s="57"/>
      <c r="N398" s="37" t="s">
        <v>4214</v>
      </c>
      <c r="O398" s="4">
        <v>1595569873</v>
      </c>
      <c r="P398" s="4">
        <v>1595569873</v>
      </c>
      <c r="Q398" s="767"/>
      <c r="R398" s="767"/>
      <c r="S398" s="4"/>
      <c r="T398" s="4"/>
      <c r="U398" s="4"/>
      <c r="V398" s="4"/>
      <c r="W398" s="4"/>
      <c r="X398" s="4" t="s">
        <v>7504</v>
      </c>
      <c r="Y398" s="4" t="s">
        <v>4066</v>
      </c>
      <c r="Z398" s="35"/>
      <c r="AA398" s="1" t="str">
        <f>IFERROR(VLOOKUP(D:D,[1]Габариты!$A:$I,9,0),"")</f>
        <v>Основной ассортимент</v>
      </c>
      <c r="AB398" s="6" t="str">
        <f>IFERROR(VLOOKUP(D:D,[1]Габариты!$A:$D,4,0),"")</f>
        <v>СТОЛЫ</v>
      </c>
      <c r="AC398" s="39">
        <f t="shared" si="75"/>
        <v>7777</v>
      </c>
      <c r="AD398" s="13" t="str">
        <f t="shared" si="77"/>
        <v>FBS</v>
      </c>
    </row>
    <row r="399" spans="1:30" s="6" customFormat="1" ht="20.100000000000001" customHeight="1" outlineLevel="1" x14ac:dyDescent="0.25">
      <c r="A399" s="635" t="s">
        <v>1747</v>
      </c>
      <c r="B399" s="24"/>
      <c r="C399" s="13" t="s">
        <v>2581</v>
      </c>
      <c r="D399" s="40">
        <v>7778</v>
      </c>
      <c r="E399" s="4">
        <v>28</v>
      </c>
      <c r="F399" s="101"/>
      <c r="G399" s="57"/>
      <c r="H399" s="4" t="s">
        <v>6852</v>
      </c>
      <c r="I399" s="4"/>
      <c r="J399" s="4" t="s">
        <v>3636</v>
      </c>
      <c r="K399" s="54"/>
      <c r="L399" s="57"/>
      <c r="M399" s="57"/>
      <c r="N399" s="4" t="s">
        <v>1762</v>
      </c>
      <c r="O399" s="4">
        <v>846936699</v>
      </c>
      <c r="P399" s="4">
        <v>846936700</v>
      </c>
      <c r="Q399" s="767"/>
      <c r="R399" s="767"/>
      <c r="S399" s="4"/>
      <c r="T399" s="4"/>
      <c r="U399" s="4"/>
      <c r="V399" s="4"/>
      <c r="W399" s="4"/>
      <c r="X399" s="4" t="s">
        <v>1762</v>
      </c>
      <c r="Y399" s="4">
        <v>7778</v>
      </c>
      <c r="Z399" s="35"/>
      <c r="AA399" s="1" t="str">
        <f>IFERROR(VLOOKUP(D:D,[1]Габариты!$A:$I,9,0),"")</f>
        <v>Основной ассортимент</v>
      </c>
      <c r="AB399" s="6" t="str">
        <f>IFERROR(VLOOKUP(D:D,[1]Габариты!$A:$D,4,0),"")</f>
        <v>СТОЛЫ</v>
      </c>
      <c r="AC399" s="39">
        <f t="shared" si="75"/>
        <v>7778</v>
      </c>
      <c r="AD399" s="13" t="str">
        <f t="shared" si="77"/>
        <v>FBS</v>
      </c>
    </row>
    <row r="400" spans="1:30" s="6" customFormat="1" ht="20.100000000000001" customHeight="1" outlineLevel="1" x14ac:dyDescent="0.25">
      <c r="A400" s="635" t="s">
        <v>1748</v>
      </c>
      <c r="B400" s="24"/>
      <c r="C400" s="13" t="s">
        <v>2581</v>
      </c>
      <c r="D400" s="40">
        <v>7779</v>
      </c>
      <c r="E400" s="4">
        <v>28</v>
      </c>
      <c r="F400" s="101"/>
      <c r="G400" s="57"/>
      <c r="H400" s="4" t="s">
        <v>6853</v>
      </c>
      <c r="I400" s="4"/>
      <c r="J400" s="4"/>
      <c r="K400" s="54"/>
      <c r="L400" s="57"/>
      <c r="M400" s="57"/>
      <c r="N400" s="4" t="s">
        <v>1763</v>
      </c>
      <c r="O400" s="4">
        <v>847035246</v>
      </c>
      <c r="P400" s="4">
        <v>847035245</v>
      </c>
      <c r="Q400" s="767"/>
      <c r="R400" s="767"/>
      <c r="S400" s="4"/>
      <c r="T400" s="4"/>
      <c r="U400" s="4"/>
      <c r="V400" s="4"/>
      <c r="W400" s="4"/>
      <c r="X400" s="4" t="s">
        <v>1763</v>
      </c>
      <c r="Y400" s="4">
        <v>7779</v>
      </c>
      <c r="Z400" s="35"/>
      <c r="AA400" s="1" t="str">
        <f>IFERROR(VLOOKUP(D:D,[1]Габариты!$A:$I,9,0),"")</f>
        <v>Основной ассортимент</v>
      </c>
      <c r="AB400" s="6" t="str">
        <f>IFERROR(VLOOKUP(D:D,[1]Габариты!$A:$D,4,0),"")</f>
        <v>СТОЛЫ</v>
      </c>
      <c r="AC400" s="39">
        <f t="shared" si="75"/>
        <v>7779</v>
      </c>
      <c r="AD400" s="13" t="str">
        <f t="shared" si="77"/>
        <v>FBS</v>
      </c>
    </row>
    <row r="401" spans="1:30" s="6" customFormat="1" ht="20.100000000000001" customHeight="1" outlineLevel="1" x14ac:dyDescent="0.25">
      <c r="A401" s="635" t="s">
        <v>1571</v>
      </c>
      <c r="B401" s="25"/>
      <c r="C401" s="13" t="s">
        <v>2581</v>
      </c>
      <c r="D401" s="40">
        <v>14015</v>
      </c>
      <c r="E401" s="4">
        <v>19</v>
      </c>
      <c r="F401" s="101"/>
      <c r="G401" s="57"/>
      <c r="H401" s="4" t="s">
        <v>6854</v>
      </c>
      <c r="I401" s="4" t="s">
        <v>2570</v>
      </c>
      <c r="J401" s="4" t="s">
        <v>1972</v>
      </c>
      <c r="K401" s="54"/>
      <c r="L401" s="57"/>
      <c r="M401" s="57"/>
      <c r="N401" s="4" t="s">
        <v>1633</v>
      </c>
      <c r="O401" s="4">
        <v>774203134</v>
      </c>
      <c r="P401" s="4">
        <v>774203136</v>
      </c>
      <c r="Q401" s="767"/>
      <c r="R401" s="767"/>
      <c r="S401" s="4"/>
      <c r="T401" s="4"/>
      <c r="U401" s="4"/>
      <c r="V401" s="4"/>
      <c r="W401" s="4"/>
      <c r="X401" s="4" t="s">
        <v>1633</v>
      </c>
      <c r="Y401" s="4">
        <v>14015</v>
      </c>
      <c r="Z401" s="35"/>
      <c r="AA401" s="1" t="str">
        <f>IFERROR(VLOOKUP(D:D,[1]Габариты!$A:$I,9,0),"")</f>
        <v>Основной ассортимент</v>
      </c>
      <c r="AB401" s="6" t="str">
        <f>IFERROR(VLOOKUP(D:D,[1]Габариты!$A:$D,4,0),"")</f>
        <v>СТОЛЫ</v>
      </c>
      <c r="AC401" s="39">
        <f t="shared" si="75"/>
        <v>14015</v>
      </c>
      <c r="AD401" s="13" t="str">
        <f t="shared" si="77"/>
        <v>FBS</v>
      </c>
    </row>
    <row r="402" spans="1:30" s="6" customFormat="1" ht="20.100000000000001" customHeight="1" outlineLevel="1" x14ac:dyDescent="0.25">
      <c r="A402" s="635" t="s">
        <v>1723</v>
      </c>
      <c r="B402" s="25"/>
      <c r="C402" s="13" t="s">
        <v>2581</v>
      </c>
      <c r="D402" s="40">
        <v>14011</v>
      </c>
      <c r="E402" s="4">
        <v>19</v>
      </c>
      <c r="F402" s="101"/>
      <c r="G402" s="57"/>
      <c r="H402" s="4" t="s">
        <v>6855</v>
      </c>
      <c r="I402" s="4" t="s">
        <v>2571</v>
      </c>
      <c r="J402" s="4" t="s">
        <v>1973</v>
      </c>
      <c r="K402" s="54"/>
      <c r="L402" s="57"/>
      <c r="M402" s="57"/>
      <c r="N402" s="4" t="s">
        <v>1739</v>
      </c>
      <c r="O402" s="4">
        <v>881820396</v>
      </c>
      <c r="P402" s="4">
        <v>881820397</v>
      </c>
      <c r="Q402" s="767"/>
      <c r="R402" s="767"/>
      <c r="S402" s="4"/>
      <c r="T402" s="4"/>
      <c r="U402" s="4"/>
      <c r="V402" s="4"/>
      <c r="W402" s="4"/>
      <c r="X402" s="4" t="s">
        <v>1739</v>
      </c>
      <c r="Y402" s="4">
        <v>14011</v>
      </c>
      <c r="Z402" s="35"/>
      <c r="AA402" s="1" t="str">
        <f>IFERROR(VLOOKUP(D:D,[1]Габариты!$A:$I,9,0),"")</f>
        <v>Основной ассортимент</v>
      </c>
      <c r="AB402" s="6" t="str">
        <f>IFERROR(VLOOKUP(D:D,[1]Габариты!$A:$D,4,0),"")</f>
        <v>СТОЛЫ</v>
      </c>
      <c r="AC402" s="39">
        <f t="shared" si="75"/>
        <v>14011</v>
      </c>
      <c r="AD402" s="13" t="str">
        <f t="shared" si="77"/>
        <v>FBS</v>
      </c>
    </row>
    <row r="403" spans="1:30" s="6" customFormat="1" ht="20.100000000000001" customHeight="1" outlineLevel="1" x14ac:dyDescent="0.25">
      <c r="A403" s="635" t="s">
        <v>1676</v>
      </c>
      <c r="B403" s="25"/>
      <c r="C403" s="13" t="s">
        <v>2582</v>
      </c>
      <c r="D403" s="40">
        <v>135450</v>
      </c>
      <c r="E403" s="4">
        <v>20</v>
      </c>
      <c r="F403" s="101">
        <v>135450</v>
      </c>
      <c r="G403" s="57"/>
      <c r="H403" s="4" t="s">
        <v>6856</v>
      </c>
      <c r="I403" s="4"/>
      <c r="J403" s="4" t="s">
        <v>3150</v>
      </c>
      <c r="K403" s="54"/>
      <c r="L403" s="57"/>
      <c r="M403" s="57"/>
      <c r="N403" s="4" t="s">
        <v>1700</v>
      </c>
      <c r="O403" s="4">
        <v>823013097</v>
      </c>
      <c r="P403" s="4">
        <v>823013094</v>
      </c>
      <c r="Q403" s="767"/>
      <c r="R403" s="767"/>
      <c r="S403" s="4"/>
      <c r="T403" s="4" t="s">
        <v>3065</v>
      </c>
      <c r="U403" s="4">
        <v>946660927</v>
      </c>
      <c r="V403" s="4">
        <v>946660927</v>
      </c>
      <c r="W403" s="4"/>
      <c r="X403" s="4" t="s">
        <v>1700</v>
      </c>
      <c r="Y403" s="4">
        <v>135450</v>
      </c>
      <c r="Z403" s="35"/>
      <c r="AA403" s="1" t="str">
        <f>IFERROR(VLOOKUP(D:D,[1]Габариты!$A:$I,9,0),"")</f>
        <v>Основной ассортимент</v>
      </c>
      <c r="AB403" s="6" t="str">
        <f>IFERROR(VLOOKUP(D:D,[1]Габариты!$A:$D,4,0),"")</f>
        <v>СТОЛЫ</v>
      </c>
      <c r="AC403" s="39">
        <f t="shared" si="75"/>
        <v>135450</v>
      </c>
      <c r="AD403" s="13" t="str">
        <f t="shared" si="77"/>
        <v>FBO</v>
      </c>
    </row>
    <row r="404" spans="1:30" s="6" customFormat="1" ht="20.100000000000001" customHeight="1" outlineLevel="1" x14ac:dyDescent="0.25">
      <c r="A404" s="635" t="s">
        <v>1677</v>
      </c>
      <c r="B404" s="25"/>
      <c r="C404" s="13" t="s">
        <v>2582</v>
      </c>
      <c r="D404" s="40">
        <v>135451</v>
      </c>
      <c r="E404" s="4">
        <v>20</v>
      </c>
      <c r="F404" s="101">
        <v>135451</v>
      </c>
      <c r="G404" s="57"/>
      <c r="H404" s="4" t="s">
        <v>6857</v>
      </c>
      <c r="I404" s="4"/>
      <c r="J404" s="4" t="s">
        <v>3151</v>
      </c>
      <c r="K404" s="54"/>
      <c r="L404" s="57"/>
      <c r="M404" s="57"/>
      <c r="N404" s="4" t="s">
        <v>1701</v>
      </c>
      <c r="O404" s="4">
        <v>823018223</v>
      </c>
      <c r="P404" s="4">
        <v>823018222</v>
      </c>
      <c r="Q404" s="767"/>
      <c r="R404" s="767"/>
      <c r="S404" s="4"/>
      <c r="T404" s="4" t="s">
        <v>3066</v>
      </c>
      <c r="U404" s="4">
        <v>951162979</v>
      </c>
      <c r="V404" s="4">
        <v>951162979</v>
      </c>
      <c r="W404" s="4"/>
      <c r="X404" s="4" t="s">
        <v>1701</v>
      </c>
      <c r="Y404" s="4">
        <v>135451</v>
      </c>
      <c r="Z404" s="35"/>
      <c r="AA404" s="1" t="str">
        <f>IFERROR(VLOOKUP(D:D,[1]Габариты!$A:$I,9,0),"")</f>
        <v>Основной ассортимент</v>
      </c>
      <c r="AB404" s="6" t="str">
        <f>IFERROR(VLOOKUP(D:D,[1]Габариты!$A:$D,4,0),"")</f>
        <v>СТОЛЫ</v>
      </c>
      <c r="AC404" s="39">
        <f t="shared" si="75"/>
        <v>135451</v>
      </c>
      <c r="AD404" s="13" t="str">
        <f t="shared" si="77"/>
        <v>FBO</v>
      </c>
    </row>
    <row r="405" spans="1:30" s="6" customFormat="1" ht="20.100000000000001" customHeight="1" outlineLevel="1" x14ac:dyDescent="0.25">
      <c r="A405" s="635" t="s">
        <v>1678</v>
      </c>
      <c r="B405" s="25"/>
      <c r="C405" s="13" t="s">
        <v>2582</v>
      </c>
      <c r="D405" s="40">
        <v>135452</v>
      </c>
      <c r="E405" s="4">
        <v>20</v>
      </c>
      <c r="F405" s="101">
        <v>135452</v>
      </c>
      <c r="G405" s="57"/>
      <c r="H405" s="4" t="s">
        <v>6858</v>
      </c>
      <c r="I405" s="4"/>
      <c r="J405" s="4" t="s">
        <v>3152</v>
      </c>
      <c r="K405" s="54"/>
      <c r="L405" s="57"/>
      <c r="M405" s="57"/>
      <c r="N405" s="4" t="s">
        <v>1702</v>
      </c>
      <c r="O405" s="4">
        <v>823020188</v>
      </c>
      <c r="P405" s="4">
        <v>823020189</v>
      </c>
      <c r="Q405" s="767"/>
      <c r="R405" s="767"/>
      <c r="S405" s="4"/>
      <c r="T405" s="4" t="s">
        <v>3067</v>
      </c>
      <c r="U405" s="4">
        <v>951187785</v>
      </c>
      <c r="V405" s="4">
        <v>951187785</v>
      </c>
      <c r="W405" s="4"/>
      <c r="X405" s="4" t="s">
        <v>1702</v>
      </c>
      <c r="Y405" s="4">
        <v>135452</v>
      </c>
      <c r="Z405" s="35"/>
      <c r="AA405" s="1" t="str">
        <f>IFERROR(VLOOKUP(D:D,[1]Габариты!$A:$I,9,0),"")</f>
        <v>Основной ассортимент</v>
      </c>
      <c r="AB405" s="6" t="str">
        <f>IFERROR(VLOOKUP(D:D,[1]Габариты!$A:$D,4,0),"")</f>
        <v>СТОЛЫ</v>
      </c>
      <c r="AC405" s="39">
        <f t="shared" si="75"/>
        <v>135452</v>
      </c>
      <c r="AD405" s="13" t="str">
        <f t="shared" si="77"/>
        <v>FBO</v>
      </c>
    </row>
    <row r="406" spans="1:30" s="6" customFormat="1" ht="20.100000000000001" customHeight="1" outlineLevel="1" x14ac:dyDescent="0.25">
      <c r="A406" s="635" t="s">
        <v>1708</v>
      </c>
      <c r="B406" s="24"/>
      <c r="C406" s="13" t="s">
        <v>2581</v>
      </c>
      <c r="D406" s="40">
        <v>135575</v>
      </c>
      <c r="E406" s="4">
        <v>20</v>
      </c>
      <c r="F406" s="101"/>
      <c r="G406" s="57"/>
      <c r="H406" s="4" t="s">
        <v>6859</v>
      </c>
      <c r="I406" s="4"/>
      <c r="J406" s="4" t="s">
        <v>1886</v>
      </c>
      <c r="K406" s="54"/>
      <c r="L406" s="57"/>
      <c r="M406" s="57"/>
      <c r="N406" s="4" t="s">
        <v>1740</v>
      </c>
      <c r="O406" s="4">
        <v>834503976</v>
      </c>
      <c r="P406" s="4">
        <v>834503975</v>
      </c>
      <c r="Q406" s="767"/>
      <c r="R406" s="767"/>
      <c r="S406" s="4"/>
      <c r="T406" s="4" t="s">
        <v>3068</v>
      </c>
      <c r="U406" s="4">
        <v>891897945</v>
      </c>
      <c r="V406" s="4">
        <v>891897945</v>
      </c>
      <c r="W406" s="4"/>
      <c r="X406" s="4" t="s">
        <v>1740</v>
      </c>
      <c r="Y406" s="4">
        <v>135575</v>
      </c>
      <c r="Z406" s="35"/>
      <c r="AA406" s="1" t="str">
        <f>IFERROR(VLOOKUP(D:D,[1]Габариты!$A:$I,9,0),"")</f>
        <v>Основной ассортимент</v>
      </c>
      <c r="AB406" s="6" t="str">
        <f>IFERROR(VLOOKUP(D:D,[1]Габариты!$A:$D,4,0),"")</f>
        <v>СТОЛЫ</v>
      </c>
      <c r="AC406" s="39">
        <f t="shared" si="75"/>
        <v>135575</v>
      </c>
      <c r="AD406" s="13" t="str">
        <f t="shared" si="77"/>
        <v>FBS</v>
      </c>
    </row>
    <row r="407" spans="1:30" s="6" customFormat="1" ht="20.100000000000001" customHeight="1" outlineLevel="1" x14ac:dyDescent="0.25">
      <c r="A407" s="635" t="s">
        <v>1709</v>
      </c>
      <c r="B407" s="24"/>
      <c r="C407" s="13" t="s">
        <v>2581</v>
      </c>
      <c r="D407" s="40">
        <v>135576</v>
      </c>
      <c r="E407" s="4">
        <v>20</v>
      </c>
      <c r="F407" s="101"/>
      <c r="G407" s="57"/>
      <c r="H407" s="4" t="s">
        <v>6860</v>
      </c>
      <c r="I407" s="4"/>
      <c r="J407" s="4" t="s">
        <v>1887</v>
      </c>
      <c r="K407" s="54"/>
      <c r="L407" s="57"/>
      <c r="M407" s="57"/>
      <c r="N407" s="4" t="s">
        <v>1741</v>
      </c>
      <c r="O407" s="4">
        <v>834507306</v>
      </c>
      <c r="P407" s="4">
        <v>834507309</v>
      </c>
      <c r="Q407" s="767"/>
      <c r="R407" s="767"/>
      <c r="S407" s="4"/>
      <c r="T407" s="4" t="s">
        <v>3069</v>
      </c>
      <c r="U407" s="4">
        <v>889519179</v>
      </c>
      <c r="V407" s="4">
        <v>889519179</v>
      </c>
      <c r="W407" s="4"/>
      <c r="X407" s="4" t="s">
        <v>1741</v>
      </c>
      <c r="Y407" s="4" t="s">
        <v>4066</v>
      </c>
      <c r="Z407" s="35"/>
      <c r="AA407" s="1" t="str">
        <f>IFERROR(VLOOKUP(D:D,[1]Габариты!$A:$I,9,0),"")</f>
        <v>Основной ассортимент</v>
      </c>
      <c r="AB407" s="6" t="str">
        <f>IFERROR(VLOOKUP(D:D,[1]Габариты!$A:$D,4,0),"")</f>
        <v>СТОЛЫ</v>
      </c>
      <c r="AC407" s="39">
        <f t="shared" si="75"/>
        <v>135576</v>
      </c>
      <c r="AD407" s="13" t="str">
        <f t="shared" si="77"/>
        <v>FBS</v>
      </c>
    </row>
    <row r="408" spans="1:30" s="6" customFormat="1" ht="20.100000000000001" customHeight="1" outlineLevel="1" x14ac:dyDescent="0.25">
      <c r="A408" s="635" t="s">
        <v>1750</v>
      </c>
      <c r="B408" s="24"/>
      <c r="C408" s="13" t="s">
        <v>2581</v>
      </c>
      <c r="D408" s="40">
        <v>1355760</v>
      </c>
      <c r="E408" s="4">
        <v>20</v>
      </c>
      <c r="F408" s="101"/>
      <c r="G408" s="57"/>
      <c r="H408" s="4" t="s">
        <v>6861</v>
      </c>
      <c r="I408" s="4"/>
      <c r="J408" s="4" t="s">
        <v>1888</v>
      </c>
      <c r="K408" s="54"/>
      <c r="L408" s="57"/>
      <c r="M408" s="57"/>
      <c r="N408" s="4" t="s">
        <v>1764</v>
      </c>
      <c r="O408" s="4">
        <v>851964799</v>
      </c>
      <c r="P408" s="4">
        <v>851964802</v>
      </c>
      <c r="Q408" s="767"/>
      <c r="R408" s="767"/>
      <c r="S408" s="4"/>
      <c r="T408" s="4" t="s">
        <v>3070</v>
      </c>
      <c r="U408" s="4">
        <v>889533633</v>
      </c>
      <c r="V408" s="4">
        <v>889533633</v>
      </c>
      <c r="W408" s="4"/>
      <c r="X408" s="4" t="s">
        <v>1764</v>
      </c>
      <c r="Y408" s="4">
        <v>1355760</v>
      </c>
      <c r="Z408" s="35"/>
      <c r="AA408" s="1" t="str">
        <f>IFERROR(VLOOKUP(D:D,[1]Габариты!$A:$I,9,0),"")</f>
        <v>Основной ассортимент</v>
      </c>
      <c r="AB408" s="6" t="str">
        <f>IFERROR(VLOOKUP(D:D,[1]Габариты!$A:$D,4,0),"")</f>
        <v>СТОЛЫ</v>
      </c>
      <c r="AC408" s="39">
        <f t="shared" si="75"/>
        <v>1355760</v>
      </c>
      <c r="AD408" s="13" t="str">
        <f t="shared" si="77"/>
        <v>FBS</v>
      </c>
    </row>
    <row r="409" spans="1:30" s="6" customFormat="1" ht="20.100000000000001" customHeight="1" outlineLevel="1" x14ac:dyDescent="0.25">
      <c r="A409" s="635" t="s">
        <v>1821</v>
      </c>
      <c r="B409" s="24"/>
      <c r="C409" s="13" t="s">
        <v>2581</v>
      </c>
      <c r="D409" s="40">
        <v>14008</v>
      </c>
      <c r="E409" s="4">
        <v>19</v>
      </c>
      <c r="F409" s="101"/>
      <c r="G409" s="57"/>
      <c r="H409" s="4" t="s">
        <v>6862</v>
      </c>
      <c r="I409" s="4" t="s">
        <v>2572</v>
      </c>
      <c r="J409" s="4" t="s">
        <v>1976</v>
      </c>
      <c r="K409" s="54"/>
      <c r="L409" s="57"/>
      <c r="M409" s="57"/>
      <c r="N409" s="4" t="s">
        <v>2535</v>
      </c>
      <c r="O409" s="4">
        <v>907833260</v>
      </c>
      <c r="P409" s="4">
        <v>907833261</v>
      </c>
      <c r="Q409" s="767"/>
      <c r="R409" s="767"/>
      <c r="S409" s="4"/>
      <c r="T409" s="4"/>
      <c r="U409" s="4"/>
      <c r="V409" s="4"/>
      <c r="W409" s="4"/>
      <c r="X409" s="4" t="s">
        <v>2535</v>
      </c>
      <c r="Y409" s="4">
        <v>14008</v>
      </c>
      <c r="Z409" s="35"/>
      <c r="AA409" s="1" t="str">
        <f>IFERROR(VLOOKUP(D:D,[1]Габариты!$A:$I,9,0),"")</f>
        <v>Основной ассортимент</v>
      </c>
      <c r="AB409" s="6" t="str">
        <f>IFERROR(VLOOKUP(D:D,[1]Габариты!$A:$D,4,0),"")</f>
        <v>СТОЛЫ</v>
      </c>
      <c r="AC409" s="39">
        <f t="shared" si="75"/>
        <v>14008</v>
      </c>
      <c r="AD409" s="13" t="str">
        <f t="shared" si="77"/>
        <v>FBS</v>
      </c>
    </row>
    <row r="410" spans="1:30" s="6" customFormat="1" ht="20.100000000000001" customHeight="1" outlineLevel="1" x14ac:dyDescent="0.25">
      <c r="A410" s="635" t="s">
        <v>2011</v>
      </c>
      <c r="B410" s="24"/>
      <c r="C410" s="13" t="s">
        <v>2581</v>
      </c>
      <c r="D410" s="40">
        <v>14010</v>
      </c>
      <c r="E410" s="4">
        <v>19</v>
      </c>
      <c r="F410" s="101"/>
      <c r="G410" s="57"/>
      <c r="H410" s="4" t="s">
        <v>6863</v>
      </c>
      <c r="I410" s="4" t="s">
        <v>2574</v>
      </c>
      <c r="J410" s="4" t="s">
        <v>3799</v>
      </c>
      <c r="K410" s="54"/>
      <c r="L410" s="57"/>
      <c r="M410" s="57"/>
      <c r="N410" s="4" t="s">
        <v>2536</v>
      </c>
      <c r="O410" s="4">
        <v>942583528</v>
      </c>
      <c r="P410" s="4">
        <v>942583529</v>
      </c>
      <c r="Q410" s="767"/>
      <c r="R410" s="767"/>
      <c r="S410" s="4"/>
      <c r="T410" s="4"/>
      <c r="U410" s="4"/>
      <c r="V410" s="4"/>
      <c r="W410" s="4"/>
      <c r="X410" s="4" t="s">
        <v>2536</v>
      </c>
      <c r="Y410" s="4">
        <v>14010</v>
      </c>
      <c r="Z410" s="35"/>
      <c r="AA410" s="1" t="str">
        <f>IFERROR(VLOOKUP(D:D,[1]Габариты!$A:$I,9,0),"")</f>
        <v>Основной ассортимент</v>
      </c>
      <c r="AB410" s="6" t="str">
        <f>IFERROR(VLOOKUP(D:D,[1]Габариты!$A:$D,4,0),"")</f>
        <v>СТОЛЫ</v>
      </c>
      <c r="AC410" s="39">
        <f t="shared" si="75"/>
        <v>14010</v>
      </c>
      <c r="AD410" s="13" t="str">
        <f t="shared" si="77"/>
        <v>FBS</v>
      </c>
    </row>
    <row r="411" spans="1:30" s="6" customFormat="1" ht="20.100000000000001" customHeight="1" outlineLevel="1" x14ac:dyDescent="0.25">
      <c r="A411" s="635" t="s">
        <v>3691</v>
      </c>
      <c r="B411" s="24"/>
      <c r="C411" s="13" t="s">
        <v>2581</v>
      </c>
      <c r="D411" s="40">
        <v>14001</v>
      </c>
      <c r="E411" s="4">
        <v>19</v>
      </c>
      <c r="F411" s="101"/>
      <c r="G411" s="57"/>
      <c r="H411" s="4" t="s">
        <v>6864</v>
      </c>
      <c r="I411" s="4"/>
      <c r="J411" s="4" t="s">
        <v>3724</v>
      </c>
      <c r="K411" s="54"/>
      <c r="L411" s="57"/>
      <c r="M411" s="57"/>
      <c r="N411" s="37" t="s">
        <v>3709</v>
      </c>
      <c r="O411" s="4">
        <v>1185624883</v>
      </c>
      <c r="P411" s="4">
        <v>1185624887</v>
      </c>
      <c r="Q411" s="767"/>
      <c r="R411" s="767"/>
      <c r="S411" s="4"/>
      <c r="T411" s="4" t="s">
        <v>3723</v>
      </c>
      <c r="U411" s="4">
        <v>1185605299</v>
      </c>
      <c r="V411" s="4">
        <v>1185605299</v>
      </c>
      <c r="W411" s="4"/>
      <c r="X411" s="4" t="s">
        <v>3709</v>
      </c>
      <c r="Y411" s="4" t="s">
        <v>4066</v>
      </c>
      <c r="Z411" s="35"/>
      <c r="AA411" s="1" t="str">
        <f>IFERROR(VLOOKUP(D:D,[1]Габариты!$A:$I,9,0),"")</f>
        <v>Основной ассортимент</v>
      </c>
      <c r="AB411" s="6" t="str">
        <f>IFERROR(VLOOKUP(D:D,[1]Габариты!$A:$D,4,0),"")</f>
        <v>СТОЛЫ</v>
      </c>
      <c r="AC411" s="39">
        <f t="shared" si="75"/>
        <v>14001</v>
      </c>
      <c r="AD411" s="13" t="str">
        <f t="shared" si="77"/>
        <v>FBS</v>
      </c>
    </row>
    <row r="412" spans="1:30" s="6" customFormat="1" ht="20.100000000000001" customHeight="1" outlineLevel="1" x14ac:dyDescent="0.25">
      <c r="A412" s="635" t="s">
        <v>2012</v>
      </c>
      <c r="B412" s="24"/>
      <c r="C412" s="13" t="s">
        <v>2582</v>
      </c>
      <c r="D412" s="40">
        <v>3566</v>
      </c>
      <c r="E412" s="4">
        <v>18</v>
      </c>
      <c r="F412" s="101">
        <v>3566</v>
      </c>
      <c r="G412" s="57" t="s">
        <v>5087</v>
      </c>
      <c r="H412" s="4" t="s">
        <v>6865</v>
      </c>
      <c r="I412" s="4" t="s">
        <v>2575</v>
      </c>
      <c r="J412" s="4"/>
      <c r="K412" s="54">
        <v>3566</v>
      </c>
      <c r="L412" s="57">
        <v>912352896</v>
      </c>
      <c r="M412" s="57">
        <v>912352896</v>
      </c>
      <c r="N412" s="4" t="s">
        <v>2643</v>
      </c>
      <c r="O412" s="4">
        <v>947664123</v>
      </c>
      <c r="P412" s="4">
        <v>947664124</v>
      </c>
      <c r="Q412" s="767"/>
      <c r="R412" s="767"/>
      <c r="S412" s="4"/>
      <c r="T412" s="4"/>
      <c r="U412" s="4"/>
      <c r="V412" s="4"/>
      <c r="W412" s="4"/>
      <c r="X412" s="4" t="s">
        <v>2643</v>
      </c>
      <c r="Y412" s="4" t="s">
        <v>4066</v>
      </c>
      <c r="Z412" s="35"/>
      <c r="AA412" s="1" t="str">
        <f>IFERROR(VLOOKUP(D:D,[1]Габариты!$A:$I,9,0),"")</f>
        <v>Основной ассортимент</v>
      </c>
      <c r="AB412" s="6" t="str">
        <f>IFERROR(VLOOKUP(D:D,[1]Габариты!$A:$D,4,0),"")</f>
        <v>СТОЛЫ</v>
      </c>
      <c r="AC412" s="39">
        <f t="shared" si="75"/>
        <v>3566</v>
      </c>
      <c r="AD412" s="13" t="str">
        <f t="shared" si="77"/>
        <v>FBO</v>
      </c>
    </row>
    <row r="413" spans="1:30" s="6" customFormat="1" ht="20.100000000000001" customHeight="1" outlineLevel="1" x14ac:dyDescent="0.25">
      <c r="A413" s="635" t="s">
        <v>3308</v>
      </c>
      <c r="B413" s="24"/>
      <c r="C413" s="13" t="s">
        <v>2581</v>
      </c>
      <c r="D413" s="40">
        <v>135520</v>
      </c>
      <c r="E413" s="4">
        <v>19</v>
      </c>
      <c r="F413" s="101">
        <v>135520</v>
      </c>
      <c r="G413" s="57"/>
      <c r="H413" s="4" t="s">
        <v>6866</v>
      </c>
      <c r="I413" s="4" t="s">
        <v>3353</v>
      </c>
      <c r="J413" s="4" t="s">
        <v>3350</v>
      </c>
      <c r="K413" s="74"/>
      <c r="L413" s="57"/>
      <c r="M413" s="57"/>
      <c r="N413" s="37" t="s">
        <v>3343</v>
      </c>
      <c r="O413" s="4">
        <v>1018920411</v>
      </c>
      <c r="P413" s="4">
        <v>1018920408</v>
      </c>
      <c r="Q413" s="767" t="s">
        <v>3435</v>
      </c>
      <c r="R413" s="767">
        <v>1018984915</v>
      </c>
      <c r="S413" s="4">
        <v>1018984918</v>
      </c>
      <c r="T413" s="4" t="s">
        <v>3372</v>
      </c>
      <c r="U413" s="4">
        <v>1019004486</v>
      </c>
      <c r="V413" s="4">
        <v>1019004486</v>
      </c>
      <c r="W413" s="4"/>
      <c r="X413" s="4" t="s">
        <v>3343</v>
      </c>
      <c r="Y413" s="4">
        <v>135520</v>
      </c>
      <c r="Z413" s="35"/>
      <c r="AA413" s="1" t="str">
        <f>IFERROR(VLOOKUP(D:D,[1]Габариты!$A:$I,9,0),"")</f>
        <v>Основной ассортимент</v>
      </c>
      <c r="AB413" s="6" t="str">
        <f>IFERROR(VLOOKUP(D:D,[1]Габариты!$A:$D,4,0),"")</f>
        <v>СТОЛЫ</v>
      </c>
      <c r="AC413" s="39">
        <f t="shared" si="75"/>
        <v>135520</v>
      </c>
      <c r="AD413" s="13" t="str">
        <f t="shared" si="77"/>
        <v>FBS</v>
      </c>
    </row>
    <row r="414" spans="1:30" s="6" customFormat="1" ht="20.100000000000001" customHeight="1" outlineLevel="1" x14ac:dyDescent="0.25">
      <c r="A414" s="635" t="s">
        <v>3508</v>
      </c>
      <c r="B414" s="24"/>
      <c r="C414" s="13" t="s">
        <v>2581</v>
      </c>
      <c r="D414" s="40">
        <v>1355201</v>
      </c>
      <c r="E414" s="4">
        <v>19</v>
      </c>
      <c r="F414" s="101">
        <v>1355201</v>
      </c>
      <c r="G414" s="57"/>
      <c r="H414" s="4" t="s">
        <v>6867</v>
      </c>
      <c r="I414" s="4"/>
      <c r="J414" s="4" t="s">
        <v>3603</v>
      </c>
      <c r="K414" s="74"/>
      <c r="L414" s="57"/>
      <c r="M414" s="57"/>
      <c r="N414" s="37" t="s">
        <v>3642</v>
      </c>
      <c r="O414" s="4">
        <v>1101598181</v>
      </c>
      <c r="P414" s="4">
        <v>1101598183</v>
      </c>
      <c r="Q414" s="767" t="s">
        <v>3802</v>
      </c>
      <c r="R414" s="767">
        <v>1307623792</v>
      </c>
      <c r="S414" s="4">
        <v>1307623792</v>
      </c>
      <c r="T414" s="4" t="s">
        <v>4075</v>
      </c>
      <c r="U414" s="4">
        <v>1422823998</v>
      </c>
      <c r="V414" s="4">
        <v>1422823998</v>
      </c>
      <c r="W414" s="4"/>
      <c r="X414" s="4" t="s">
        <v>3642</v>
      </c>
      <c r="Y414" s="4" t="s">
        <v>4066</v>
      </c>
      <c r="Z414" s="35"/>
      <c r="AA414" s="1" t="str">
        <f>IFERROR(VLOOKUP(D:D,[1]Габариты!$A:$I,9,0),"")</f>
        <v>Основной ассортимент</v>
      </c>
      <c r="AB414" s="6" t="str">
        <f>IFERROR(VLOOKUP(D:D,[1]Габариты!$A:$D,4,0),"")</f>
        <v>СТОЛЫ</v>
      </c>
      <c r="AC414" s="39">
        <f t="shared" si="75"/>
        <v>1355201</v>
      </c>
      <c r="AD414" s="13" t="str">
        <f t="shared" si="77"/>
        <v>FBS</v>
      </c>
    </row>
    <row r="415" spans="1:30" s="6" customFormat="1" ht="20.100000000000001" customHeight="1" outlineLevel="1" x14ac:dyDescent="0.25">
      <c r="A415" s="635" t="s">
        <v>3509</v>
      </c>
      <c r="B415" s="24"/>
      <c r="C415" s="13" t="s">
        <v>2581</v>
      </c>
      <c r="D415" s="40">
        <v>1355202</v>
      </c>
      <c r="E415" s="4">
        <v>19</v>
      </c>
      <c r="F415" s="101">
        <v>1355202</v>
      </c>
      <c r="G415" s="57"/>
      <c r="H415" s="4" t="s">
        <v>6868</v>
      </c>
      <c r="I415" s="4" t="s">
        <v>3561</v>
      </c>
      <c r="J415" s="4" t="s">
        <v>3576</v>
      </c>
      <c r="K415" s="74"/>
      <c r="L415" s="57"/>
      <c r="M415" s="57"/>
      <c r="N415" s="37" t="s">
        <v>3586</v>
      </c>
      <c r="O415" s="4">
        <v>1077333159</v>
      </c>
      <c r="P415" s="4">
        <v>1077333161</v>
      </c>
      <c r="Q415" s="767" t="s">
        <v>3588</v>
      </c>
      <c r="R415" s="767">
        <v>1077372244</v>
      </c>
      <c r="S415" s="4">
        <v>1077372236</v>
      </c>
      <c r="T415" s="4" t="s">
        <v>3591</v>
      </c>
      <c r="U415" s="4">
        <v>1075410858</v>
      </c>
      <c r="V415" s="4">
        <v>1075410858</v>
      </c>
      <c r="W415" s="4"/>
      <c r="X415" s="4" t="s">
        <v>3586</v>
      </c>
      <c r="Y415" s="4" t="s">
        <v>4066</v>
      </c>
      <c r="Z415" s="35"/>
      <c r="AA415" s="1" t="str">
        <f>IFERROR(VLOOKUP(D:D,[1]Габариты!$A:$I,9,0),"")</f>
        <v>Основной ассортимент</v>
      </c>
      <c r="AB415" s="6" t="str">
        <f>IFERROR(VLOOKUP(D:D,[1]Габариты!$A:$D,4,0),"")</f>
        <v>СТОЛЫ</v>
      </c>
      <c r="AC415" s="39">
        <f t="shared" si="75"/>
        <v>1355202</v>
      </c>
      <c r="AD415" s="13" t="str">
        <f t="shared" si="77"/>
        <v>FBS</v>
      </c>
    </row>
    <row r="416" spans="1:30" s="6" customFormat="1" ht="20.100000000000001" customHeight="1" outlineLevel="1" x14ac:dyDescent="0.25">
      <c r="A416" s="670" t="s">
        <v>7658</v>
      </c>
      <c r="B416" s="189"/>
      <c r="C416" s="13" t="s">
        <v>2581</v>
      </c>
      <c r="D416" s="188" t="s">
        <v>7657</v>
      </c>
      <c r="E416" s="4">
        <v>19</v>
      </c>
      <c r="F416" s="185" t="s">
        <v>7657</v>
      </c>
      <c r="G416" s="186"/>
      <c r="H416" s="184"/>
      <c r="I416" s="184"/>
      <c r="J416" s="184"/>
      <c r="K416" s="185"/>
      <c r="L416" s="186"/>
      <c r="M416" s="186"/>
      <c r="N416" s="190"/>
      <c r="O416" s="184"/>
      <c r="P416" s="184"/>
      <c r="Q416" s="810"/>
      <c r="R416" s="810"/>
      <c r="S416" s="184"/>
      <c r="T416" s="184"/>
      <c r="U416" s="184"/>
      <c r="V416" s="184"/>
      <c r="W416" s="184"/>
      <c r="X416" s="184"/>
      <c r="Y416" s="184"/>
      <c r="Z416" s="35"/>
      <c r="AA416" s="1" t="str">
        <f>IFERROR(VLOOKUP(D:D,[1]Габариты!$A:$I,9,0),"")</f>
        <v>Основной ассортимент</v>
      </c>
      <c r="AB416" s="6" t="str">
        <f>IFERROR(VLOOKUP(D:D,[1]Габариты!$A:$D,4,0),"")</f>
        <v>СТОЛЫ</v>
      </c>
      <c r="AC416" s="39" t="str">
        <f t="shared" si="75"/>
        <v>135520.12/01</v>
      </c>
      <c r="AD416" s="13" t="str">
        <f t="shared" si="77"/>
        <v>FBS</v>
      </c>
    </row>
    <row r="417" spans="1:30" s="6" customFormat="1" ht="20.100000000000001" customHeight="1" outlineLevel="1" x14ac:dyDescent="0.25">
      <c r="A417" s="635" t="s">
        <v>3678</v>
      </c>
      <c r="B417" s="24"/>
      <c r="C417" s="13" t="s">
        <v>2582</v>
      </c>
      <c r="D417" s="40">
        <v>1355211</v>
      </c>
      <c r="E417" s="4">
        <v>19</v>
      </c>
      <c r="F417" s="101">
        <v>1355211</v>
      </c>
      <c r="G417" s="57"/>
      <c r="H417" s="4" t="s">
        <v>6869</v>
      </c>
      <c r="I417" s="4"/>
      <c r="J417" s="4"/>
      <c r="K417" s="54"/>
      <c r="L417" s="57"/>
      <c r="M417" s="57"/>
      <c r="N417" s="37" t="s">
        <v>4013</v>
      </c>
      <c r="O417" s="4">
        <v>1473407064</v>
      </c>
      <c r="P417" s="4">
        <v>1473407064</v>
      </c>
      <c r="Q417" s="767" t="s">
        <v>3686</v>
      </c>
      <c r="R417" s="767">
        <v>367883438</v>
      </c>
      <c r="S417" s="4">
        <v>367883439</v>
      </c>
      <c r="T417" s="4"/>
      <c r="U417" s="4"/>
      <c r="V417" s="4"/>
      <c r="W417" s="4"/>
      <c r="X417" s="4" t="s">
        <v>4013</v>
      </c>
      <c r="Y417" s="4" t="s">
        <v>4066</v>
      </c>
      <c r="Z417" s="35"/>
      <c r="AA417" s="1" t="str">
        <f>IFERROR(VLOOKUP(D:D,[1]Габариты!$A:$I,9,0),"")</f>
        <v>Основной ассортимент</v>
      </c>
      <c r="AB417" s="6" t="str">
        <f>IFERROR(VLOOKUP(D:D,[1]Габариты!$A:$D,4,0),"")</f>
        <v>СТОЛЫ</v>
      </c>
      <c r="AC417" s="39">
        <f t="shared" si="75"/>
        <v>1355211</v>
      </c>
      <c r="AD417" s="13" t="str">
        <f t="shared" si="77"/>
        <v>FBO</v>
      </c>
    </row>
    <row r="418" spans="1:30" s="6" customFormat="1" ht="20.100000000000001" customHeight="1" outlineLevel="1" x14ac:dyDescent="0.25">
      <c r="A418" s="635" t="s">
        <v>3678</v>
      </c>
      <c r="B418" s="24"/>
      <c r="C418" s="13" t="s">
        <v>2582</v>
      </c>
      <c r="D418" s="40">
        <v>13552110</v>
      </c>
      <c r="E418" s="4">
        <v>19</v>
      </c>
      <c r="F418" s="101" t="s">
        <v>8249</v>
      </c>
      <c r="G418" s="57"/>
      <c r="H418" s="4" t="s">
        <v>6870</v>
      </c>
      <c r="I418" s="4"/>
      <c r="J418" s="4"/>
      <c r="K418" s="74"/>
      <c r="L418" s="57"/>
      <c r="M418" s="57"/>
      <c r="N418" s="4" t="s">
        <v>4248</v>
      </c>
      <c r="O418" s="4">
        <v>1597663410</v>
      </c>
      <c r="P418" s="4">
        <v>1597663410</v>
      </c>
      <c r="Q418" s="767"/>
      <c r="R418" s="767"/>
      <c r="S418" s="4"/>
      <c r="T418" s="4"/>
      <c r="U418" s="4"/>
      <c r="V418" s="4"/>
      <c r="W418" s="4"/>
      <c r="X418" s="4" t="s">
        <v>4248</v>
      </c>
      <c r="Y418" s="4"/>
      <c r="Z418" s="35"/>
      <c r="AA418" s="1" t="str">
        <f>IFERROR(VLOOKUP(D:D,[1]Габариты!$A:$I,9,0),"")</f>
        <v>Основной ассортимент</v>
      </c>
      <c r="AB418" s="6" t="str">
        <f>IFERROR(VLOOKUP(D:D,[1]Габариты!$A:$D,4,0),"")</f>
        <v>СТОЛЫ</v>
      </c>
      <c r="AC418" s="39">
        <f t="shared" si="75"/>
        <v>13552110</v>
      </c>
      <c r="AD418" s="13" t="str">
        <f t="shared" si="77"/>
        <v>FBO</v>
      </c>
    </row>
    <row r="419" spans="1:30" s="6" customFormat="1" ht="20.100000000000001" customHeight="1" outlineLevel="1" x14ac:dyDescent="0.25">
      <c r="A419" s="635" t="s">
        <v>3729</v>
      </c>
      <c r="B419" s="24"/>
      <c r="C419" s="13" t="s">
        <v>2581</v>
      </c>
      <c r="D419" s="40">
        <v>1355250</v>
      </c>
      <c r="E419" s="4">
        <v>19</v>
      </c>
      <c r="F419" s="101">
        <v>1355250</v>
      </c>
      <c r="G419" s="57"/>
      <c r="H419" s="4" t="s">
        <v>6871</v>
      </c>
      <c r="I419" s="4"/>
      <c r="J419" s="4" t="s">
        <v>3800</v>
      </c>
      <c r="K419" s="74"/>
      <c r="L419" s="57"/>
      <c r="M419" s="57"/>
      <c r="N419" s="37" t="s">
        <v>3793</v>
      </c>
      <c r="O419" s="4">
        <v>1295590965</v>
      </c>
      <c r="P419" s="4">
        <v>1295590965</v>
      </c>
      <c r="Q419" s="767"/>
      <c r="R419" s="767"/>
      <c r="S419" s="4"/>
      <c r="T419" s="4"/>
      <c r="U419" s="4"/>
      <c r="V419" s="4"/>
      <c r="W419" s="4"/>
      <c r="X419" s="4" t="s">
        <v>3793</v>
      </c>
      <c r="Y419" s="4" t="s">
        <v>3793</v>
      </c>
      <c r="Z419" s="35"/>
      <c r="AA419" s="1" t="str">
        <f>IFERROR(VLOOKUP(D:D,[1]Габариты!$A:$I,9,0),"")</f>
        <v>Основной ассортимент</v>
      </c>
      <c r="AB419" s="6" t="str">
        <f>IFERROR(VLOOKUP(D:D,[1]Габариты!$A:$D,4,0),"")</f>
        <v>СТОЛЫ</v>
      </c>
      <c r="AC419" s="39">
        <f t="shared" si="75"/>
        <v>1355250</v>
      </c>
      <c r="AD419" s="13" t="str">
        <f t="shared" si="77"/>
        <v>FBS</v>
      </c>
    </row>
    <row r="420" spans="1:30" s="6" customFormat="1" ht="20.100000000000001" customHeight="1" outlineLevel="1" x14ac:dyDescent="0.25">
      <c r="A420" s="635" t="s">
        <v>3887</v>
      </c>
      <c r="B420" s="3"/>
      <c r="C420" s="13" t="s">
        <v>2581</v>
      </c>
      <c r="D420" s="40">
        <v>1355277</v>
      </c>
      <c r="E420" s="4">
        <v>19</v>
      </c>
      <c r="F420" s="101" t="s">
        <v>7657</v>
      </c>
      <c r="G420" s="57"/>
      <c r="H420" s="4" t="s">
        <v>6872</v>
      </c>
      <c r="I420" s="4"/>
      <c r="J420" s="4"/>
      <c r="K420" s="54"/>
      <c r="L420" s="57"/>
      <c r="M420" s="57"/>
      <c r="N420" s="4" t="s">
        <v>3897</v>
      </c>
      <c r="O420" s="4">
        <v>1422192485</v>
      </c>
      <c r="P420" s="4">
        <v>1422192485</v>
      </c>
      <c r="Q420" s="4"/>
      <c r="R420" s="4"/>
      <c r="S420" s="4"/>
      <c r="T420" s="4"/>
      <c r="U420" s="4"/>
      <c r="V420" s="4"/>
      <c r="W420" s="4"/>
      <c r="X420" s="4" t="s">
        <v>3897</v>
      </c>
      <c r="Y420" s="4" t="s">
        <v>4066</v>
      </c>
      <c r="AA420" s="1" t="str">
        <f>IFERROR(VLOOKUP(D:D,[1]Габариты!$A:$I,9,0),"")</f>
        <v>Основной ассортимент</v>
      </c>
      <c r="AB420" s="6" t="str">
        <f>IFERROR(VLOOKUP(D:D,[1]Габариты!$A:$D,4,0),"")</f>
        <v>СТОЛЫ</v>
      </c>
      <c r="AC420" s="39">
        <f t="shared" ref="AC420:AC478" si="78">D420</f>
        <v>1355277</v>
      </c>
      <c r="AD420" s="13" t="str">
        <f t="shared" si="77"/>
        <v>FBS</v>
      </c>
    </row>
    <row r="421" spans="1:30" s="6" customFormat="1" ht="20.100000000000001" customHeight="1" outlineLevel="1" x14ac:dyDescent="0.25">
      <c r="A421" s="665" t="s">
        <v>4046</v>
      </c>
      <c r="B421" s="3"/>
      <c r="C421" s="13" t="s">
        <v>2582</v>
      </c>
      <c r="D421" s="40">
        <v>30351</v>
      </c>
      <c r="E421" s="4">
        <v>27</v>
      </c>
      <c r="F421" s="101"/>
      <c r="G421" s="57"/>
      <c r="H421" s="4" t="s">
        <v>6873</v>
      </c>
      <c r="I421" s="4"/>
      <c r="J421" s="4" t="s">
        <v>4051</v>
      </c>
      <c r="K421" s="54"/>
      <c r="L421" s="57"/>
      <c r="M421" s="57"/>
      <c r="N421" s="4" t="s">
        <v>4063</v>
      </c>
      <c r="O421" s="4">
        <v>1522876755</v>
      </c>
      <c r="P421" s="4">
        <v>1522876755</v>
      </c>
      <c r="Q421" s="4"/>
      <c r="R421" s="4"/>
      <c r="S421" s="4"/>
      <c r="T421" s="4"/>
      <c r="U421" s="4"/>
      <c r="V421" s="4"/>
      <c r="W421" s="4"/>
      <c r="X421" s="4" t="s">
        <v>4063</v>
      </c>
      <c r="Y421" s="4" t="s">
        <v>4066</v>
      </c>
      <c r="AA421" s="1" t="str">
        <f>IFERROR(VLOOKUP(D:D,[1]Габариты!$A:$I,9,0),"")</f>
        <v>Основной ассортимент</v>
      </c>
      <c r="AB421" s="6" t="str">
        <f>IFERROR(VLOOKUP(D:D,[1]Габариты!$A:$D,4,0),"")</f>
        <v>СТОЛЫ</v>
      </c>
      <c r="AC421" s="39">
        <f t="shared" si="78"/>
        <v>30351</v>
      </c>
      <c r="AD421" s="13" t="str">
        <f t="shared" si="77"/>
        <v>FBO</v>
      </c>
    </row>
    <row r="422" spans="1:30" s="6" customFormat="1" ht="20.100000000000001" customHeight="1" outlineLevel="1" x14ac:dyDescent="0.25">
      <c r="A422" s="679" t="s">
        <v>8071</v>
      </c>
      <c r="B422" s="289"/>
      <c r="C422" s="13" t="s">
        <v>2581</v>
      </c>
      <c r="D422" s="290">
        <v>9496</v>
      </c>
      <c r="E422" s="4">
        <v>27</v>
      </c>
      <c r="F422" s="292"/>
      <c r="G422" s="293"/>
      <c r="H422" s="291" t="s">
        <v>8202</v>
      </c>
      <c r="I422" s="291"/>
      <c r="J422" s="291"/>
      <c r="K422" s="292"/>
      <c r="L422" s="293"/>
      <c r="M422" s="293"/>
      <c r="N422" s="291" t="s">
        <v>8218</v>
      </c>
      <c r="O422" s="291">
        <v>1836960197</v>
      </c>
      <c r="P422" s="291">
        <v>1836960197</v>
      </c>
      <c r="Q422" s="821"/>
      <c r="R422" s="821"/>
      <c r="S422" s="291"/>
      <c r="T422" s="291"/>
      <c r="U422" s="291"/>
      <c r="V422" s="291"/>
      <c r="W422" s="291"/>
      <c r="X422" s="291"/>
      <c r="Y422" s="291"/>
      <c r="Z422" s="35"/>
      <c r="AA422" s="1" t="str">
        <f>IFERROR(VLOOKUP(D:D,[1]Габариты!$A:$I,9,0),"")</f>
        <v>Основной ассортимент</v>
      </c>
      <c r="AB422" s="6" t="str">
        <f>IFERROR(VLOOKUP(D:D,[1]Габариты!$A:$D,4,0),"")</f>
        <v>СТОЛЫ</v>
      </c>
      <c r="AC422" s="39">
        <f t="shared" si="78"/>
        <v>9496</v>
      </c>
      <c r="AD422" s="13" t="str">
        <f>C422</f>
        <v>FBS</v>
      </c>
    </row>
    <row r="423" spans="1:30" s="6" customFormat="1" ht="20.100000000000001" customHeight="1" outlineLevel="1" x14ac:dyDescent="0.25">
      <c r="A423" s="680" t="s">
        <v>8077</v>
      </c>
      <c r="B423" s="300"/>
      <c r="C423" s="13" t="s">
        <v>2581</v>
      </c>
      <c r="D423" s="302">
        <v>7775</v>
      </c>
      <c r="E423" s="303">
        <v>22</v>
      </c>
      <c r="F423" s="304"/>
      <c r="G423" s="305"/>
      <c r="H423" s="303" t="s">
        <v>8076</v>
      </c>
      <c r="I423" s="303"/>
      <c r="J423" s="303"/>
      <c r="K423" s="304"/>
      <c r="L423" s="305"/>
      <c r="M423" s="305"/>
      <c r="N423" s="303" t="s">
        <v>8382</v>
      </c>
      <c r="O423" s="303">
        <v>1902094366</v>
      </c>
      <c r="P423" s="303">
        <v>1902094366</v>
      </c>
      <c r="Q423" s="822"/>
      <c r="R423" s="822"/>
      <c r="S423" s="303"/>
      <c r="T423" s="303"/>
      <c r="U423" s="303"/>
      <c r="V423" s="303"/>
      <c r="W423" s="303"/>
      <c r="X423" s="303" t="s">
        <v>8382</v>
      </c>
      <c r="Y423" s="303"/>
      <c r="Z423" s="35"/>
      <c r="AA423" s="1" t="str">
        <f>IFERROR(VLOOKUP(D:D,[1]Габариты!$A:$I,9,0),"")</f>
        <v>Основной ассортимент</v>
      </c>
      <c r="AB423" s="6" t="str">
        <f>IFERROR(VLOOKUP(D:D,[1]Габариты!$A:$D,4,0),"")</f>
        <v>СТОЛЫ</v>
      </c>
      <c r="AC423" s="39">
        <f t="shared" si="78"/>
        <v>7775</v>
      </c>
      <c r="AD423" s="13" t="str">
        <f>C423</f>
        <v>FBS</v>
      </c>
    </row>
    <row r="424" spans="1:30" s="6" customFormat="1" ht="20.100000000000001" customHeight="1" outlineLevel="1" x14ac:dyDescent="0.25">
      <c r="A424" s="635" t="s">
        <v>1098</v>
      </c>
      <c r="B424" s="3"/>
      <c r="C424" s="13" t="s">
        <v>2581</v>
      </c>
      <c r="D424" s="39" t="s">
        <v>1164</v>
      </c>
      <c r="E424" s="4">
        <v>23</v>
      </c>
      <c r="F424" s="101" t="s">
        <v>4733</v>
      </c>
      <c r="G424" s="57" t="s">
        <v>5195</v>
      </c>
      <c r="H424" s="4" t="s">
        <v>6799</v>
      </c>
      <c r="I424" s="4"/>
      <c r="J424" s="4" t="s">
        <v>3148</v>
      </c>
      <c r="K424" s="54" t="s">
        <v>4733</v>
      </c>
      <c r="L424" s="57">
        <v>884461774</v>
      </c>
      <c r="M424" s="57">
        <v>884461774</v>
      </c>
      <c r="N424" s="4" t="s">
        <v>1428</v>
      </c>
      <c r="O424" s="4">
        <v>660886728</v>
      </c>
      <c r="P424" s="4">
        <v>660886727</v>
      </c>
      <c r="Q424" s="767"/>
      <c r="R424" s="767"/>
      <c r="S424" s="4"/>
      <c r="T424" s="4" t="s">
        <v>3061</v>
      </c>
      <c r="U424" s="4">
        <v>951317042</v>
      </c>
      <c r="V424" s="4">
        <v>951317042</v>
      </c>
      <c r="W424" s="4"/>
      <c r="X424" s="4" t="s">
        <v>1428</v>
      </c>
      <c r="Y424" s="4" t="s">
        <v>1164</v>
      </c>
      <c r="Z424" s="35"/>
      <c r="AA424" s="1" t="str">
        <f>IFERROR(VLOOKUP(D:D,[1]Габариты!$A:$I,9,0),"")</f>
        <v>Основной ассортимент</v>
      </c>
      <c r="AB424" s="6" t="str">
        <f>IFERROR(VLOOKUP(D:D,[1]Габариты!$A:$D,4,0),"")</f>
        <v>СТОЛЫ</v>
      </c>
      <c r="AC424" s="39" t="str">
        <f t="shared" si="78"/>
        <v>MK1120101</v>
      </c>
      <c r="AD424" s="13" t="str">
        <f t="shared" si="77"/>
        <v>FBS</v>
      </c>
    </row>
    <row r="425" spans="1:30" s="6" customFormat="1" ht="20.100000000000001" customHeight="1" outlineLevel="1" x14ac:dyDescent="0.25">
      <c r="A425" s="635" t="s">
        <v>1456</v>
      </c>
      <c r="B425" s="25"/>
      <c r="C425" s="13" t="s">
        <v>2581</v>
      </c>
      <c r="D425" s="40" t="s">
        <v>1506</v>
      </c>
      <c r="E425" s="4">
        <v>23</v>
      </c>
      <c r="F425" s="101" t="s">
        <v>4714</v>
      </c>
      <c r="G425" s="57" t="s">
        <v>5196</v>
      </c>
      <c r="H425" s="4" t="s">
        <v>6800</v>
      </c>
      <c r="I425" s="4"/>
      <c r="J425" s="4" t="s">
        <v>3149</v>
      </c>
      <c r="K425" s="54" t="s">
        <v>4714</v>
      </c>
      <c r="L425" s="57">
        <v>933977322</v>
      </c>
      <c r="M425" s="57">
        <v>933977322</v>
      </c>
      <c r="N425" s="4" t="s">
        <v>1620</v>
      </c>
      <c r="O425" s="4">
        <v>749542720</v>
      </c>
      <c r="P425" s="4">
        <v>749542719</v>
      </c>
      <c r="Q425" s="767"/>
      <c r="R425" s="767"/>
      <c r="S425" s="4"/>
      <c r="T425" s="4" t="s">
        <v>3063</v>
      </c>
      <c r="U425" s="4">
        <v>952777199</v>
      </c>
      <c r="V425" s="4">
        <v>952777199</v>
      </c>
      <c r="W425" s="4"/>
      <c r="X425" s="4" t="s">
        <v>1620</v>
      </c>
      <c r="Y425" s="4" t="s">
        <v>1506</v>
      </c>
      <c r="Z425" s="35"/>
      <c r="AA425" s="1" t="str">
        <f>IFERROR(VLOOKUP(D:D,[1]Габариты!$A:$I,9,0),"")</f>
        <v>Основной ассортимент</v>
      </c>
      <c r="AB425" s="6" t="str">
        <f>IFERROR(VLOOKUP(D:D,[1]Габариты!$A:$D,4,0),"")</f>
        <v>СТОЛЫ</v>
      </c>
      <c r="AC425" s="39" t="str">
        <f t="shared" si="78"/>
        <v>MK1120601</v>
      </c>
      <c r="AD425" s="13" t="str">
        <f t="shared" si="77"/>
        <v>FBS</v>
      </c>
    </row>
    <row r="426" spans="1:30" s="6" customFormat="1" ht="20.100000000000001" customHeight="1" outlineLevel="1" x14ac:dyDescent="0.25">
      <c r="A426" s="635" t="s">
        <v>4444</v>
      </c>
      <c r="B426" s="25"/>
      <c r="C426" s="13" t="s">
        <v>2581</v>
      </c>
      <c r="D426" s="40" t="s">
        <v>4442</v>
      </c>
      <c r="E426" s="4">
        <v>23</v>
      </c>
      <c r="F426" s="101" t="s">
        <v>6251</v>
      </c>
      <c r="G426" s="57" t="s">
        <v>5340</v>
      </c>
      <c r="H426" s="4" t="s">
        <v>6801</v>
      </c>
      <c r="I426" s="4"/>
      <c r="J426" s="4" t="s">
        <v>7598</v>
      </c>
      <c r="K426" s="54" t="s">
        <v>6251</v>
      </c>
      <c r="L426" s="57">
        <v>1648799978</v>
      </c>
      <c r="M426" s="57">
        <v>1648799978</v>
      </c>
      <c r="N426" s="4" t="s">
        <v>4462</v>
      </c>
      <c r="O426" s="4">
        <v>1655941522</v>
      </c>
      <c r="P426" s="4">
        <v>1655941522</v>
      </c>
      <c r="Q426" s="767"/>
      <c r="R426" s="767"/>
      <c r="S426" s="4"/>
      <c r="T426" s="4"/>
      <c r="U426" s="4"/>
      <c r="V426" s="4"/>
      <c r="W426" s="4"/>
      <c r="X426" s="4" t="s">
        <v>4462</v>
      </c>
      <c r="Y426" s="4"/>
      <c r="Z426" s="35"/>
      <c r="AA426" s="1" t="str">
        <f>IFERROR(VLOOKUP(D:D,[1]Габариты!$A:$I,9,0),"")</f>
        <v>Основной ассортимент</v>
      </c>
      <c r="AB426" s="6" t="str">
        <f>IFERROR(VLOOKUP(D:D,[1]Габариты!$A:$D,4,0),"")</f>
        <v>СТОЛЫ</v>
      </c>
      <c r="AC426" s="39" t="str">
        <f t="shared" si="78"/>
        <v>MK1120602</v>
      </c>
      <c r="AD426" s="13" t="str">
        <f t="shared" si="77"/>
        <v>FBS</v>
      </c>
    </row>
    <row r="427" spans="1:30" s="6" customFormat="1" ht="20.100000000000001" customHeight="1" outlineLevel="1" x14ac:dyDescent="0.25">
      <c r="A427" s="681" t="s">
        <v>8742</v>
      </c>
      <c r="B427" s="597"/>
      <c r="C427" s="13" t="s">
        <v>2581</v>
      </c>
      <c r="D427" s="606" t="s">
        <v>8741</v>
      </c>
      <c r="E427" s="4">
        <v>23</v>
      </c>
      <c r="F427" s="602"/>
      <c r="G427" s="603"/>
      <c r="H427" s="601" t="s">
        <v>8746</v>
      </c>
      <c r="I427" s="601"/>
      <c r="J427" s="601"/>
      <c r="K427" s="602"/>
      <c r="L427" s="603"/>
      <c r="M427" s="603"/>
      <c r="N427" s="601" t="s">
        <v>8844</v>
      </c>
      <c r="O427" s="601"/>
      <c r="P427" s="601"/>
      <c r="Q427" s="817"/>
      <c r="R427" s="817"/>
      <c r="S427" s="601"/>
      <c r="T427" s="601"/>
      <c r="U427" s="601"/>
      <c r="V427" s="601"/>
      <c r="W427" s="601"/>
      <c r="X427" s="601"/>
      <c r="Y427" s="601"/>
      <c r="Z427" s="35"/>
      <c r="AA427" s="1" t="str">
        <f>IFERROR(VLOOKUP(D:D,[1]Габариты!$A:$I,9,0),"")</f>
        <v>Основной ассортимент</v>
      </c>
      <c r="AB427" s="6" t="str">
        <f>IFERROR(VLOOKUP(D:D,[1]Габариты!$A:$D,4,0),"")</f>
        <v>СТОЛЫ</v>
      </c>
      <c r="AC427" s="39" t="str">
        <f t="shared" ref="AC427" si="79">D427</f>
        <v>MK1120202</v>
      </c>
      <c r="AD427" s="13" t="str">
        <f t="shared" ref="AD427" si="80">C427</f>
        <v>FBS</v>
      </c>
    </row>
    <row r="428" spans="1:30" s="6" customFormat="1" ht="20.100000000000001" customHeight="1" outlineLevel="1" x14ac:dyDescent="0.25">
      <c r="A428" s="635" t="s">
        <v>4445</v>
      </c>
      <c r="B428" s="25"/>
      <c r="C428" s="13" t="s">
        <v>2581</v>
      </c>
      <c r="D428" s="40" t="s">
        <v>4443</v>
      </c>
      <c r="E428" s="4">
        <v>23</v>
      </c>
      <c r="F428" s="101" t="s">
        <v>5341</v>
      </c>
      <c r="G428" s="57" t="s">
        <v>7463</v>
      </c>
      <c r="H428" s="4" t="s">
        <v>6802</v>
      </c>
      <c r="I428" s="4"/>
      <c r="J428" s="4" t="s">
        <v>7599</v>
      </c>
      <c r="K428" s="54" t="s">
        <v>5341</v>
      </c>
      <c r="L428" s="57">
        <v>1650043501</v>
      </c>
      <c r="M428" s="57">
        <v>1650043501</v>
      </c>
      <c r="N428" s="4" t="s">
        <v>4461</v>
      </c>
      <c r="O428" s="4">
        <v>1651743581</v>
      </c>
      <c r="P428" s="4">
        <v>1651743581</v>
      </c>
      <c r="Q428" s="767"/>
      <c r="R428" s="767"/>
      <c r="S428" s="4"/>
      <c r="T428" s="4"/>
      <c r="U428" s="4"/>
      <c r="V428" s="4"/>
      <c r="W428" s="4"/>
      <c r="X428" s="4" t="s">
        <v>4461</v>
      </c>
      <c r="Y428" s="4"/>
      <c r="Z428" s="35"/>
      <c r="AA428" s="1" t="str">
        <f>IFERROR(VLOOKUP(D:D,[1]Габариты!$A:$I,9,0),"")</f>
        <v>Основной ассортимент</v>
      </c>
      <c r="AB428" s="6" t="str">
        <f>IFERROR(VLOOKUP(D:D,[1]Габариты!$A:$D,4,0),"")</f>
        <v>СТОЛЫ</v>
      </c>
      <c r="AC428" s="39" t="str">
        <f t="shared" si="78"/>
        <v>MK1121705</v>
      </c>
      <c r="AD428" s="13" t="str">
        <f t="shared" si="77"/>
        <v>FBS</v>
      </c>
    </row>
    <row r="429" spans="1:30" s="6" customFormat="1" ht="20.100000000000001" customHeight="1" outlineLevel="1" x14ac:dyDescent="0.25">
      <c r="A429" s="682" t="s">
        <v>7995</v>
      </c>
      <c r="B429" s="249"/>
      <c r="C429" s="13" t="s">
        <v>2581</v>
      </c>
      <c r="D429" s="255" t="s">
        <v>5803</v>
      </c>
      <c r="E429" s="4">
        <v>23</v>
      </c>
      <c r="F429" s="253" t="s">
        <v>6288</v>
      </c>
      <c r="G429" s="254" t="s">
        <v>5850</v>
      </c>
      <c r="H429" s="252" t="s">
        <v>8027</v>
      </c>
      <c r="I429" s="252"/>
      <c r="J429" s="252"/>
      <c r="K429" s="253" t="s">
        <v>6288</v>
      </c>
      <c r="L429" s="254">
        <v>1146205466</v>
      </c>
      <c r="M429" s="254">
        <v>1146205465</v>
      </c>
      <c r="N429" s="252" t="s">
        <v>8211</v>
      </c>
      <c r="O429" s="252">
        <v>1831511001</v>
      </c>
      <c r="P429" s="252">
        <v>1831511001</v>
      </c>
      <c r="Q429" s="782"/>
      <c r="R429" s="782"/>
      <c r="S429" s="252"/>
      <c r="T429" s="252"/>
      <c r="U429" s="252"/>
      <c r="V429" s="252"/>
      <c r="W429" s="252"/>
      <c r="X429" s="252" t="s">
        <v>8211</v>
      </c>
      <c r="Y429" s="252"/>
      <c r="Z429" s="35"/>
      <c r="AA429" s="1" t="str">
        <f>IFERROR(VLOOKUP(D:D,[1]Габариты!$A:$I,9,0),"")</f>
        <v>Основной ассортимент</v>
      </c>
      <c r="AB429" s="6" t="str">
        <f>IFERROR(VLOOKUP(D:D,[1]Габариты!$A:$D,4,0),"")</f>
        <v>СТОЛЫ</v>
      </c>
      <c r="AC429" s="39" t="str">
        <f t="shared" si="78"/>
        <v>MK1120201</v>
      </c>
      <c r="AD429" s="13" t="str">
        <f t="shared" si="77"/>
        <v>FBS</v>
      </c>
    </row>
    <row r="430" spans="1:30" s="6" customFormat="1" ht="20.100000000000001" customHeight="1" outlineLevel="1" x14ac:dyDescent="0.25">
      <c r="A430" s="635" t="s">
        <v>1666</v>
      </c>
      <c r="B430" s="25"/>
      <c r="C430" s="13" t="s">
        <v>2581</v>
      </c>
      <c r="D430" s="40" t="s">
        <v>1667</v>
      </c>
      <c r="E430" s="4">
        <v>15</v>
      </c>
      <c r="F430" s="101" t="s">
        <v>4699</v>
      </c>
      <c r="G430" s="57" t="s">
        <v>5219</v>
      </c>
      <c r="H430" s="4" t="s">
        <v>6804</v>
      </c>
      <c r="I430" s="4"/>
      <c r="J430" s="4"/>
      <c r="K430" s="54" t="s">
        <v>4699</v>
      </c>
      <c r="L430" s="57">
        <v>1052816373</v>
      </c>
      <c r="M430" s="57">
        <v>1052816373</v>
      </c>
      <c r="N430" s="4" t="s">
        <v>2640</v>
      </c>
      <c r="O430" s="4">
        <v>819805370</v>
      </c>
      <c r="P430" s="4">
        <v>819805371</v>
      </c>
      <c r="Q430" s="767"/>
      <c r="R430" s="767"/>
      <c r="S430" s="4"/>
      <c r="T430" s="4"/>
      <c r="U430" s="4"/>
      <c r="V430" s="4"/>
      <c r="W430" s="4"/>
      <c r="X430" s="4" t="s">
        <v>2640</v>
      </c>
      <c r="Y430" s="4" t="s">
        <v>4066</v>
      </c>
      <c r="Z430" s="35"/>
      <c r="AA430" s="1" t="str">
        <f>IFERROR(VLOOKUP(D:D,[1]Габариты!$A:$I,9,0),"")</f>
        <v>Основной ассортимент</v>
      </c>
      <c r="AB430" s="6" t="str">
        <f>IFERROR(VLOOKUP(D:D,[1]Габариты!$A:$D,4,0),"")</f>
        <v>СТОЛЫ</v>
      </c>
      <c r="AC430" s="39" t="str">
        <f t="shared" si="78"/>
        <v>MK1590101</v>
      </c>
      <c r="AD430" s="13" t="str">
        <f t="shared" si="77"/>
        <v>FBS</v>
      </c>
    </row>
    <row r="431" spans="1:30" s="6" customFormat="1" ht="20.100000000000001" customHeight="1" x14ac:dyDescent="0.25">
      <c r="A431" s="631" t="s">
        <v>5886</v>
      </c>
      <c r="B431" s="76"/>
      <c r="C431" s="13" t="s">
        <v>2581</v>
      </c>
      <c r="D431" s="40" t="s">
        <v>5801</v>
      </c>
      <c r="E431" s="4">
        <v>15</v>
      </c>
      <c r="F431" s="101" t="s">
        <v>5772</v>
      </c>
      <c r="G431" s="75" t="s">
        <v>6112</v>
      </c>
      <c r="H431" s="4" t="s">
        <v>6112</v>
      </c>
      <c r="I431" s="73"/>
      <c r="J431" s="73"/>
      <c r="K431" s="54" t="s">
        <v>5772</v>
      </c>
      <c r="L431" s="57">
        <v>1052823793</v>
      </c>
      <c r="M431" s="57">
        <v>1052823793</v>
      </c>
      <c r="N431" s="771" t="s">
        <v>8429</v>
      </c>
      <c r="O431" s="73">
        <v>1911589622</v>
      </c>
      <c r="P431" s="73">
        <v>1911589622</v>
      </c>
      <c r="Q431" s="73"/>
      <c r="R431" s="73"/>
      <c r="S431" s="73"/>
      <c r="T431" s="73"/>
      <c r="U431" s="73"/>
      <c r="V431" s="73"/>
      <c r="W431" s="73"/>
      <c r="X431" s="73"/>
      <c r="Y431" s="73"/>
      <c r="Z431" s="67"/>
      <c r="AA431" s="1" t="str">
        <f>IFERROR(VLOOKUP(D:D,[1]Габариты!$A:$I,9,0),"")</f>
        <v>Основной ассортимент</v>
      </c>
      <c r="AB431" s="6" t="str">
        <f>IFERROR(VLOOKUP(D:D,[1]Габариты!$A:$D,4,0),"")</f>
        <v>СТОЛЫ</v>
      </c>
      <c r="AC431" s="39" t="str">
        <f t="shared" si="78"/>
        <v>MK1590201</v>
      </c>
      <c r="AD431" s="13" t="str">
        <f t="shared" ref="AD431" si="81">C431</f>
        <v>FBS</v>
      </c>
    </row>
    <row r="432" spans="1:30" s="6" customFormat="1" ht="20.100000000000001" customHeight="1" outlineLevel="1" x14ac:dyDescent="0.25">
      <c r="A432" s="641" t="s">
        <v>5528</v>
      </c>
      <c r="B432" s="68"/>
      <c r="C432" s="13" t="s">
        <v>4050</v>
      </c>
      <c r="D432" s="70" t="s">
        <v>5358</v>
      </c>
      <c r="E432" s="65">
        <v>16</v>
      </c>
      <c r="F432" s="101" t="s">
        <v>6315</v>
      </c>
      <c r="G432" s="66" t="s">
        <v>5359</v>
      </c>
      <c r="H432" s="65" t="s">
        <v>6754</v>
      </c>
      <c r="I432" s="65"/>
      <c r="J432" s="65"/>
      <c r="K432" s="54" t="s">
        <v>6315</v>
      </c>
      <c r="L432" s="66">
        <v>1327141290</v>
      </c>
      <c r="M432" s="66">
        <v>1327141290</v>
      </c>
      <c r="N432" s="65" t="s">
        <v>6176</v>
      </c>
      <c r="O432" s="65">
        <v>1695332259</v>
      </c>
      <c r="P432" s="65">
        <v>1695332259</v>
      </c>
      <c r="Q432" s="779"/>
      <c r="R432" s="779"/>
      <c r="S432" s="65"/>
      <c r="T432" s="65"/>
      <c r="U432" s="65"/>
      <c r="V432" s="65"/>
      <c r="W432" s="65"/>
      <c r="X432" s="65" t="s">
        <v>6176</v>
      </c>
      <c r="Y432" s="65"/>
      <c r="Z432" s="35"/>
      <c r="AA432" s="1" t="str">
        <f>IFERROR(VLOOKUP(D:D,[1]Габариты!$A:$I,9,0),"")</f>
        <v>Основной ассортимент</v>
      </c>
      <c r="AB432" s="6" t="str">
        <f>IFERROR(VLOOKUP(D:D,[1]Габариты!$A:$D,4,0),"")</f>
        <v>СТОЛЫ</v>
      </c>
      <c r="AC432" s="39" t="str">
        <f t="shared" si="78"/>
        <v>MK2330101</v>
      </c>
      <c r="AD432" s="13" t="str">
        <f t="shared" si="77"/>
        <v>СКГТ (ОЗОН)</v>
      </c>
    </row>
    <row r="433" spans="1:30" s="6" customFormat="1" ht="20.100000000000001" customHeight="1" outlineLevel="1" x14ac:dyDescent="0.25">
      <c r="A433" s="641" t="s">
        <v>5529</v>
      </c>
      <c r="B433" s="68"/>
      <c r="C433" s="13" t="s">
        <v>2582</v>
      </c>
      <c r="D433" s="70" t="s">
        <v>5527</v>
      </c>
      <c r="E433" s="65">
        <v>22</v>
      </c>
      <c r="F433" s="101" t="s">
        <v>6316</v>
      </c>
      <c r="G433" s="57" t="s">
        <v>5678</v>
      </c>
      <c r="H433" s="65" t="s">
        <v>6755</v>
      </c>
      <c r="I433" s="65"/>
      <c r="J433" s="65"/>
      <c r="K433" s="54" t="s">
        <v>6316</v>
      </c>
      <c r="L433" s="57">
        <v>1781379248</v>
      </c>
      <c r="M433" s="57">
        <v>1781379248</v>
      </c>
      <c r="N433" s="65" t="s">
        <v>6175</v>
      </c>
      <c r="O433" s="65">
        <v>1695332823</v>
      </c>
      <c r="P433" s="65">
        <v>1695332823</v>
      </c>
      <c r="Q433" s="779"/>
      <c r="R433" s="779"/>
      <c r="S433" s="65"/>
      <c r="T433" s="65"/>
      <c r="U433" s="65"/>
      <c r="V433" s="65"/>
      <c r="W433" s="65"/>
      <c r="X433" s="65" t="s">
        <v>6175</v>
      </c>
      <c r="Y433" s="65"/>
      <c r="Z433" s="35"/>
      <c r="AA433" s="1" t="str">
        <f>IFERROR(VLOOKUP(D:D,[1]Габариты!$A:$I,9,0),"")</f>
        <v>Основной ассортимент</v>
      </c>
      <c r="AB433" s="6" t="str">
        <f>IFERROR(VLOOKUP(D:D,[1]Габариты!$A:$D,4,0),"")</f>
        <v>СТОЛЫ</v>
      </c>
      <c r="AC433" s="39" t="str">
        <f t="shared" si="78"/>
        <v>MK2342501</v>
      </c>
      <c r="AD433" s="13" t="str">
        <f t="shared" si="77"/>
        <v>FBO</v>
      </c>
    </row>
    <row r="434" spans="1:30" s="6" customFormat="1" ht="20.100000000000001" customHeight="1" outlineLevel="1" x14ac:dyDescent="0.25">
      <c r="A434" s="639" t="s">
        <v>5705</v>
      </c>
      <c r="B434" s="81"/>
      <c r="C434" s="13" t="s">
        <v>2582</v>
      </c>
      <c r="D434" s="72" t="s">
        <v>5393</v>
      </c>
      <c r="E434" s="73">
        <v>22</v>
      </c>
      <c r="F434" s="101" t="s">
        <v>6317</v>
      </c>
      <c r="G434" s="75" t="s">
        <v>5384</v>
      </c>
      <c r="H434" s="73" t="s">
        <v>6756</v>
      </c>
      <c r="I434" s="73"/>
      <c r="J434" s="73"/>
      <c r="K434" s="54" t="s">
        <v>6317</v>
      </c>
      <c r="L434" s="75">
        <v>1431414879</v>
      </c>
      <c r="M434" s="75">
        <v>1431414879</v>
      </c>
      <c r="N434" s="73" t="s">
        <v>6129</v>
      </c>
      <c r="O434" s="73">
        <v>1695332250</v>
      </c>
      <c r="P434" s="73">
        <v>1695332250</v>
      </c>
      <c r="Q434" s="775"/>
      <c r="R434" s="775"/>
      <c r="S434" s="73"/>
      <c r="T434" s="73"/>
      <c r="U434" s="73"/>
      <c r="V434" s="73"/>
      <c r="W434" s="73"/>
      <c r="X434" s="73" t="s">
        <v>6129</v>
      </c>
      <c r="Y434" s="73"/>
      <c r="Z434" s="35"/>
      <c r="AA434" s="1" t="str">
        <f>IFERROR(VLOOKUP(D:D,[1]Габариты!$A:$I,9,0),"")</f>
        <v>Основной ассортимент</v>
      </c>
      <c r="AB434" s="6" t="str">
        <f>IFERROR(VLOOKUP(D:D,[1]Габариты!$A:$D,4,0),"")</f>
        <v>СТОЛЫ</v>
      </c>
      <c r="AC434" s="39" t="str">
        <f t="shared" si="78"/>
        <v>MK2340101</v>
      </c>
      <c r="AD434" s="13" t="str">
        <f t="shared" si="77"/>
        <v>FBO</v>
      </c>
    </row>
    <row r="435" spans="1:30" s="6" customFormat="1" ht="20.100000000000001" customHeight="1" x14ac:dyDescent="0.25">
      <c r="A435" s="639" t="s">
        <v>5883</v>
      </c>
      <c r="B435" s="76"/>
      <c r="C435" s="13" t="s">
        <v>2582</v>
      </c>
      <c r="D435" s="302" t="s">
        <v>5806</v>
      </c>
      <c r="E435" s="4">
        <v>22</v>
      </c>
      <c r="F435" s="101" t="s">
        <v>7753</v>
      </c>
      <c r="G435" s="75" t="s">
        <v>5853</v>
      </c>
      <c r="H435" s="4" t="s">
        <v>8098</v>
      </c>
      <c r="I435" s="73"/>
      <c r="J435" s="73"/>
      <c r="K435" s="54" t="s">
        <v>7753</v>
      </c>
      <c r="L435" s="57">
        <v>1192512736</v>
      </c>
      <c r="M435" s="57">
        <v>1192512735</v>
      </c>
      <c r="N435" s="769" t="s">
        <v>8207</v>
      </c>
      <c r="O435" s="73">
        <v>1831496165</v>
      </c>
      <c r="P435" s="73">
        <v>1831496165</v>
      </c>
      <c r="Q435" s="73"/>
      <c r="R435" s="73"/>
      <c r="S435" s="73"/>
      <c r="T435" s="73"/>
      <c r="U435" s="73"/>
      <c r="V435" s="73"/>
      <c r="W435" s="73"/>
      <c r="X435" s="73" t="s">
        <v>8207</v>
      </c>
      <c r="Y435" s="73"/>
      <c r="Z435" s="67"/>
      <c r="AA435" s="1" t="str">
        <f>IFERROR(VLOOKUP(D:D,[1]Габариты!$A:$I,9,0),"")</f>
        <v>Основной ассортимент</v>
      </c>
      <c r="AB435" s="6" t="str">
        <f>IFERROR(VLOOKUP(D:D,[1]Габариты!$A:$D,4,0),"")</f>
        <v>СТОЛЫ</v>
      </c>
      <c r="AC435" s="39" t="str">
        <f t="shared" si="78"/>
        <v>MK1070101</v>
      </c>
      <c r="AD435" s="13" t="str">
        <f t="shared" si="77"/>
        <v>FBO</v>
      </c>
    </row>
    <row r="436" spans="1:30" s="6" customFormat="1" ht="20.100000000000001" customHeight="1" x14ac:dyDescent="0.25">
      <c r="A436" s="631" t="s">
        <v>5559</v>
      </c>
      <c r="B436" s="3"/>
      <c r="C436" s="13" t="s">
        <v>4050</v>
      </c>
      <c r="D436" s="302" t="s">
        <v>7424</v>
      </c>
      <c r="E436" s="4">
        <v>10</v>
      </c>
      <c r="F436" s="101" t="s">
        <v>4628</v>
      </c>
      <c r="G436" s="57" t="s">
        <v>5228</v>
      </c>
      <c r="H436" s="4" t="s">
        <v>5228</v>
      </c>
      <c r="I436" s="4"/>
      <c r="J436" s="4"/>
      <c r="K436" s="54" t="s">
        <v>4628</v>
      </c>
      <c r="L436" s="57">
        <v>1471921996</v>
      </c>
      <c r="M436" s="57">
        <v>1471921996</v>
      </c>
      <c r="N436" s="806" t="s">
        <v>8421</v>
      </c>
      <c r="O436" s="4">
        <v>1904816223</v>
      </c>
      <c r="P436" s="4">
        <v>1904816223</v>
      </c>
      <c r="Q436" s="4"/>
      <c r="R436" s="4"/>
      <c r="S436" s="4"/>
      <c r="T436" s="4"/>
      <c r="U436" s="4"/>
      <c r="V436" s="4"/>
      <c r="W436" s="4"/>
      <c r="X436" s="4" t="s">
        <v>8421</v>
      </c>
      <c r="Y436" s="4"/>
      <c r="Z436" s="62"/>
      <c r="AA436" s="1" t="str">
        <f>IFERROR(VLOOKUP(D:D,[1]Габариты!$A:$I,9,0),"")</f>
        <v>Основной ассортимент</v>
      </c>
      <c r="AB436" s="6" t="str">
        <f>IFERROR(VLOOKUP(D:D,[1]Габариты!$A:$D,4,0),"")</f>
        <v>СТОЛЫ</v>
      </c>
      <c r="AC436" s="39" t="str">
        <f t="shared" si="78"/>
        <v>MK2250101</v>
      </c>
      <c r="AD436" s="13" t="str">
        <f t="shared" ref="AD436:AD438" si="82">C436</f>
        <v>СКГТ (ОЗОН)</v>
      </c>
    </row>
    <row r="437" spans="1:30" s="6" customFormat="1" ht="20.100000000000001" customHeight="1" x14ac:dyDescent="0.25">
      <c r="A437" s="631" t="s">
        <v>5546</v>
      </c>
      <c r="B437" s="3"/>
      <c r="C437" s="13" t="s">
        <v>2582</v>
      </c>
      <c r="D437" s="302" t="s">
        <v>5428</v>
      </c>
      <c r="E437" s="4">
        <v>32</v>
      </c>
      <c r="F437" s="101" t="s">
        <v>7962</v>
      </c>
      <c r="G437" s="57" t="s">
        <v>5225</v>
      </c>
      <c r="H437" s="4" t="s">
        <v>8607</v>
      </c>
      <c r="I437" s="4"/>
      <c r="J437" s="4"/>
      <c r="K437" s="54" t="s">
        <v>7962</v>
      </c>
      <c r="L437" s="57">
        <v>1350442389</v>
      </c>
      <c r="M437" s="57">
        <v>1350442389</v>
      </c>
      <c r="N437" s="806" t="s">
        <v>8606</v>
      </c>
      <c r="O437" s="4">
        <v>1911509110</v>
      </c>
      <c r="P437" s="4">
        <v>1911509110</v>
      </c>
      <c r="Q437" s="4"/>
      <c r="R437" s="4"/>
      <c r="S437" s="4"/>
      <c r="T437" s="4"/>
      <c r="U437" s="4"/>
      <c r="V437" s="4"/>
      <c r="W437" s="4"/>
      <c r="X437" s="4" t="s">
        <v>8606</v>
      </c>
      <c r="Y437" s="4"/>
      <c r="Z437" s="62"/>
      <c r="AA437" s="1" t="str">
        <f>IFERROR(VLOOKUP(D:D,[1]Габариты!$A:$I,9,0),"")</f>
        <v>Основной ассортимент</v>
      </c>
      <c r="AB437" s="6" t="str">
        <f>IFERROR(VLOOKUP(D:D,[1]Габариты!$A:$D,4,0),"")</f>
        <v>СТОЛЫ</v>
      </c>
      <c r="AC437" s="39" t="str">
        <f t="shared" si="78"/>
        <v>MK1680101</v>
      </c>
      <c r="AD437" s="13" t="str">
        <f t="shared" si="82"/>
        <v>FBO</v>
      </c>
    </row>
    <row r="438" spans="1:30" s="6" customFormat="1" ht="20.100000000000001" customHeight="1" x14ac:dyDescent="0.25">
      <c r="A438" s="631" t="s">
        <v>5639</v>
      </c>
      <c r="B438" s="3"/>
      <c r="C438" s="13" t="s">
        <v>2582</v>
      </c>
      <c r="D438" s="290">
        <v>3875</v>
      </c>
      <c r="E438" s="4">
        <v>20</v>
      </c>
      <c r="F438" s="101">
        <v>3875</v>
      </c>
      <c r="G438" s="57" t="s">
        <v>5129</v>
      </c>
      <c r="H438" s="4" t="s">
        <v>5129</v>
      </c>
      <c r="I438" s="4"/>
      <c r="J438" s="4"/>
      <c r="K438" s="54" t="s">
        <v>7825</v>
      </c>
      <c r="L438" s="57">
        <v>1341011827</v>
      </c>
      <c r="M438" s="57">
        <v>1341011827</v>
      </c>
      <c r="N438" s="806" t="s">
        <v>8522</v>
      </c>
      <c r="O438" s="4">
        <v>1927661329</v>
      </c>
      <c r="P438" s="4">
        <v>1927661329</v>
      </c>
      <c r="Q438" s="4"/>
      <c r="R438" s="4"/>
      <c r="S438" s="4"/>
      <c r="T438" s="4"/>
      <c r="U438" s="4"/>
      <c r="V438" s="4"/>
      <c r="W438" s="4"/>
      <c r="X438" s="4"/>
      <c r="Y438" s="4"/>
      <c r="Z438" s="62"/>
      <c r="AA438" s="1" t="str">
        <f>IFERROR(VLOOKUP(D:D,[1]Габариты!$A:$I,9,0),"")</f>
        <v>Основной ассортимент</v>
      </c>
      <c r="AB438" s="6" t="str">
        <f>IFERROR(VLOOKUP(D:D,[1]Габариты!$A:$D,4,0),"")</f>
        <v>СТОЛЫ</v>
      </c>
      <c r="AC438" s="39">
        <f t="shared" si="78"/>
        <v>3875</v>
      </c>
      <c r="AD438" s="13" t="str">
        <f t="shared" si="82"/>
        <v>FBO</v>
      </c>
    </row>
    <row r="439" spans="1:30" s="6" customFormat="1" ht="20.100000000000001" customHeight="1" x14ac:dyDescent="0.25">
      <c r="A439" s="631" t="s">
        <v>8589</v>
      </c>
      <c r="B439" s="516"/>
      <c r="C439" s="13" t="s">
        <v>2581</v>
      </c>
      <c r="D439" s="512" t="s">
        <v>8588</v>
      </c>
      <c r="E439" s="4">
        <v>20</v>
      </c>
      <c r="F439" s="514"/>
      <c r="G439" s="515"/>
      <c r="H439" s="513" t="s">
        <v>8604</v>
      </c>
      <c r="I439" s="513"/>
      <c r="J439" s="513"/>
      <c r="K439" s="514"/>
      <c r="L439" s="515"/>
      <c r="M439" s="515"/>
      <c r="N439" s="823" t="s">
        <v>8605</v>
      </c>
      <c r="O439" s="513">
        <v>1976840514</v>
      </c>
      <c r="P439" s="513">
        <v>1976840514</v>
      </c>
      <c r="Q439" s="513"/>
      <c r="R439" s="513"/>
      <c r="S439" s="513"/>
      <c r="T439" s="513"/>
      <c r="U439" s="513"/>
      <c r="V439" s="513"/>
      <c r="W439" s="513"/>
      <c r="X439" s="513" t="s">
        <v>8605</v>
      </c>
      <c r="Y439" s="513"/>
      <c r="Z439" s="419"/>
      <c r="AA439" s="1" t="str">
        <f>IFERROR(VLOOKUP(D:D,[1]Габариты!$A:$I,9,0),"")</f>
        <v>Основной ассортимент</v>
      </c>
      <c r="AB439" s="6" t="str">
        <f>IFERROR(VLOOKUP(D:D,[1]Габариты!$A:$D,4,0),"")</f>
        <v>СТОЛЫ</v>
      </c>
      <c r="AC439" s="39" t="str">
        <f t="shared" si="78"/>
        <v>2496.20/01</v>
      </c>
      <c r="AD439" s="13" t="str">
        <f t="shared" ref="AD439" si="83">C439</f>
        <v>FBS</v>
      </c>
    </row>
    <row r="440" spans="1:30" s="6" customFormat="1" ht="20.100000000000001" customHeight="1" x14ac:dyDescent="0.25">
      <c r="A440" s="631" t="s">
        <v>8820</v>
      </c>
      <c r="B440" s="624"/>
      <c r="C440" s="13" t="s">
        <v>2582</v>
      </c>
      <c r="D440" s="629">
        <v>5480</v>
      </c>
      <c r="E440" s="4">
        <v>23</v>
      </c>
      <c r="F440" s="627"/>
      <c r="G440" s="628"/>
      <c r="H440" s="626" t="s">
        <v>8819</v>
      </c>
      <c r="I440" s="626"/>
      <c r="J440" s="626"/>
      <c r="K440" s="627"/>
      <c r="L440" s="628"/>
      <c r="M440" s="628"/>
      <c r="N440" s="809"/>
      <c r="O440" s="626"/>
      <c r="P440" s="626"/>
      <c r="Q440" s="626"/>
      <c r="R440" s="626"/>
      <c r="S440" s="626"/>
      <c r="T440" s="626"/>
      <c r="U440" s="626"/>
      <c r="V440" s="626"/>
      <c r="W440" s="626"/>
      <c r="X440" s="626"/>
      <c r="Y440" s="626"/>
      <c r="Z440" s="419"/>
      <c r="AA440" s="1" t="str">
        <f>IFERROR(VLOOKUP(D:D,[1]Габариты!$A:$I,9,0),"")</f>
        <v>Основной ассортимент</v>
      </c>
      <c r="AB440" s="6" t="str">
        <f>IFERROR(VLOOKUP(D:D,[1]Габариты!$A:$D,4,0),"")</f>
        <v>СТОЛЫ</v>
      </c>
      <c r="AC440" s="39">
        <f t="shared" ref="AC440" si="84">D440</f>
        <v>5480</v>
      </c>
      <c r="AD440" s="13" t="str">
        <f t="shared" ref="AD440" si="85">C440</f>
        <v>FBO</v>
      </c>
    </row>
    <row r="441" spans="1:30" s="6" customFormat="1" ht="20.100000000000001" customHeight="1" outlineLevel="1" x14ac:dyDescent="0.2">
      <c r="A441" s="754" t="s">
        <v>3654</v>
      </c>
      <c r="B441" s="757" t="s">
        <v>3539</v>
      </c>
      <c r="C441" s="13"/>
      <c r="D441" s="40"/>
      <c r="E441" s="4"/>
      <c r="F441" s="101"/>
      <c r="G441" s="57"/>
      <c r="H441" s="4"/>
      <c r="I441" s="4"/>
      <c r="J441" s="4"/>
      <c r="K441" s="54"/>
      <c r="L441" s="57"/>
      <c r="M441" s="57"/>
      <c r="N441" s="766"/>
      <c r="O441" s="4"/>
      <c r="P441" s="4"/>
      <c r="Q441" s="767"/>
      <c r="R441" s="767"/>
      <c r="S441" s="4"/>
      <c r="T441" s="4"/>
      <c r="U441" s="4"/>
      <c r="V441" s="4"/>
      <c r="W441" s="4"/>
      <c r="X441" s="4"/>
      <c r="Y441" s="4" t="s">
        <v>4066</v>
      </c>
      <c r="Z441" s="35"/>
      <c r="AA441" s="1" t="str">
        <f>IFERROR(VLOOKUP(D:D,[1]Габариты!$A:$I,9,0),"")</f>
        <v/>
      </c>
      <c r="AB441" s="6" t="str">
        <f>IFERROR(VLOOKUP(D:D,[1]Габариты!$A:$D,4,0),"")</f>
        <v/>
      </c>
      <c r="AC441" s="39"/>
      <c r="AD441" s="13"/>
    </row>
    <row r="442" spans="1:30" s="6" customFormat="1" ht="20.100000000000001" customHeight="1" outlineLevel="1" x14ac:dyDescent="0.25">
      <c r="A442" s="635" t="s">
        <v>1658</v>
      </c>
      <c r="B442" s="25"/>
      <c r="C442" s="13" t="s">
        <v>2581</v>
      </c>
      <c r="D442" s="40">
        <v>3409</v>
      </c>
      <c r="E442" s="4">
        <v>16</v>
      </c>
      <c r="F442" s="101">
        <v>3409</v>
      </c>
      <c r="G442" s="57" t="s">
        <v>5073</v>
      </c>
      <c r="H442" s="4" t="s">
        <v>6876</v>
      </c>
      <c r="I442" s="4"/>
      <c r="J442" s="4"/>
      <c r="K442" s="54" t="s">
        <v>7916</v>
      </c>
      <c r="L442" s="57">
        <v>1057741783</v>
      </c>
      <c r="M442" s="57">
        <v>1057741783</v>
      </c>
      <c r="N442" s="4" t="s">
        <v>2639</v>
      </c>
      <c r="O442" s="4">
        <v>814436451</v>
      </c>
      <c r="P442" s="4">
        <v>814436450</v>
      </c>
      <c r="Q442" s="767"/>
      <c r="R442" s="767"/>
      <c r="S442" s="4"/>
      <c r="T442" s="4"/>
      <c r="U442" s="4"/>
      <c r="V442" s="4"/>
      <c r="W442" s="4"/>
      <c r="X442" s="4" t="s">
        <v>2639</v>
      </c>
      <c r="Y442" s="4" t="s">
        <v>4066</v>
      </c>
      <c r="Z442" s="35"/>
      <c r="AA442" s="1" t="str">
        <f>IFERROR(VLOOKUP(D:D,[1]Габариты!$A:$I,9,0),"")</f>
        <v>Основной ассортимент</v>
      </c>
      <c r="AB442" s="6" t="str">
        <f>IFERROR(VLOOKUP(D:D,[1]Габариты!$A:$D,4,0),"")</f>
        <v>СТОЛЫ МАНИКЮРНЫЕ</v>
      </c>
      <c r="AC442" s="39">
        <f t="shared" si="78"/>
        <v>3409</v>
      </c>
      <c r="AD442" s="13" t="str">
        <f t="shared" si="77"/>
        <v>FBS</v>
      </c>
    </row>
    <row r="443" spans="1:30" s="6" customFormat="1" ht="20.100000000000001" customHeight="1" outlineLevel="1" x14ac:dyDescent="0.25">
      <c r="A443" s="635" t="s">
        <v>953</v>
      </c>
      <c r="B443" s="25"/>
      <c r="C443" s="13" t="s">
        <v>2582</v>
      </c>
      <c r="D443" s="40">
        <v>3212</v>
      </c>
      <c r="E443" s="4">
        <v>51</v>
      </c>
      <c r="F443" s="101">
        <v>3212</v>
      </c>
      <c r="G443" s="57" t="s">
        <v>5048</v>
      </c>
      <c r="H443" s="4" t="s">
        <v>6878</v>
      </c>
      <c r="I443" s="4" t="s">
        <v>3423</v>
      </c>
      <c r="J443" s="4" t="s">
        <v>1969</v>
      </c>
      <c r="K443" s="54" t="s">
        <v>2427</v>
      </c>
      <c r="L443" s="57">
        <v>1328777391</v>
      </c>
      <c r="M443" s="57">
        <v>1328777391</v>
      </c>
      <c r="N443" s="4" t="s">
        <v>879</v>
      </c>
      <c r="O443" s="4">
        <v>498470605</v>
      </c>
      <c r="P443" s="4">
        <v>498470604</v>
      </c>
      <c r="Q443" s="767"/>
      <c r="R443" s="767"/>
      <c r="S443" s="4"/>
      <c r="T443" s="4" t="s">
        <v>3611</v>
      </c>
      <c r="U443" s="4">
        <v>1079051807</v>
      </c>
      <c r="V443" s="4">
        <v>1079051807</v>
      </c>
      <c r="W443" s="4" t="s">
        <v>2427</v>
      </c>
      <c r="X443" s="4" t="s">
        <v>879</v>
      </c>
      <c r="Y443" s="4">
        <v>3212</v>
      </c>
      <c r="Z443" s="35"/>
      <c r="AA443" s="1" t="str">
        <f>IFERROR(VLOOKUP(D:D,[1]Габариты!$A:$I,9,0),"")</f>
        <v>Основной ассортимент</v>
      </c>
      <c r="AB443" s="6" t="str">
        <f>IFERROR(VLOOKUP(D:D,[1]Габариты!$A:$D,4,0),"")</f>
        <v>СТОЛЫ МАНИКЮРНЫЕ</v>
      </c>
      <c r="AC443" s="39">
        <f t="shared" si="78"/>
        <v>3212</v>
      </c>
      <c r="AD443" s="13" t="str">
        <f t="shared" si="77"/>
        <v>FBO</v>
      </c>
    </row>
    <row r="444" spans="1:30" s="6" customFormat="1" ht="20.100000000000001" customHeight="1" outlineLevel="1" x14ac:dyDescent="0.25">
      <c r="A444" s="635" t="s">
        <v>1590</v>
      </c>
      <c r="B444" s="25"/>
      <c r="C444" s="13" t="s">
        <v>2582</v>
      </c>
      <c r="D444" s="40">
        <v>3579</v>
      </c>
      <c r="E444" s="4">
        <v>51</v>
      </c>
      <c r="F444" s="101">
        <v>3579</v>
      </c>
      <c r="G444" s="57" t="s">
        <v>5091</v>
      </c>
      <c r="H444" s="4" t="s">
        <v>6879</v>
      </c>
      <c r="I444" s="4" t="s">
        <v>3424</v>
      </c>
      <c r="J444" s="4" t="s">
        <v>1974</v>
      </c>
      <c r="K444" s="54" t="s">
        <v>7918</v>
      </c>
      <c r="L444" s="57">
        <v>1411131551</v>
      </c>
      <c r="M444" s="57">
        <v>1411131551</v>
      </c>
      <c r="N444" s="4" t="s">
        <v>1634</v>
      </c>
      <c r="O444" s="4">
        <v>807099668</v>
      </c>
      <c r="P444" s="4">
        <v>807099669</v>
      </c>
      <c r="Q444" s="767"/>
      <c r="R444" s="767"/>
      <c r="S444" s="4"/>
      <c r="T444" s="4" t="s">
        <v>3857</v>
      </c>
      <c r="U444" s="4">
        <v>1386345365</v>
      </c>
      <c r="V444" s="4">
        <v>1386345365</v>
      </c>
      <c r="W444" s="4"/>
      <c r="X444" s="4" t="s">
        <v>1634</v>
      </c>
      <c r="Y444" s="4">
        <v>3579</v>
      </c>
      <c r="Z444" s="35"/>
      <c r="AA444" s="1" t="str">
        <f>IFERROR(VLOOKUP(D:D,[1]Габариты!$A:$I,9,0),"")</f>
        <v>Вакансия</v>
      </c>
      <c r="AB444" s="6" t="str">
        <f>IFERROR(VLOOKUP(D:D,[1]Габариты!$A:$D,4,0),"")</f>
        <v>СТОЛЫ МАНИКЮРНЫЕ</v>
      </c>
      <c r="AC444" s="39">
        <f t="shared" si="78"/>
        <v>3579</v>
      </c>
      <c r="AD444" s="13" t="str">
        <f t="shared" si="77"/>
        <v>FBO</v>
      </c>
    </row>
    <row r="445" spans="1:30" s="6" customFormat="1" ht="20.100000000000001" customHeight="1" outlineLevel="1" x14ac:dyDescent="0.25">
      <c r="A445" s="635" t="s">
        <v>3614</v>
      </c>
      <c r="B445" s="24"/>
      <c r="C445" s="13" t="s">
        <v>2582</v>
      </c>
      <c r="D445" s="40">
        <v>3687</v>
      </c>
      <c r="E445" s="4">
        <v>51</v>
      </c>
      <c r="F445" s="101">
        <v>3687</v>
      </c>
      <c r="G445" s="57"/>
      <c r="H445" s="4" t="s">
        <v>6880</v>
      </c>
      <c r="I445" s="4"/>
      <c r="J445" s="4" t="s">
        <v>3872</v>
      </c>
      <c r="K445" s="54" t="s">
        <v>7919</v>
      </c>
      <c r="L445" s="57">
        <v>1843526010</v>
      </c>
      <c r="M445" s="57">
        <v>1843526010</v>
      </c>
      <c r="N445" s="37" t="s">
        <v>3643</v>
      </c>
      <c r="O445" s="4">
        <v>1101607752</v>
      </c>
      <c r="P445" s="4">
        <v>1101607750</v>
      </c>
      <c r="Q445" s="767"/>
      <c r="R445" s="767"/>
      <c r="S445" s="4"/>
      <c r="T445" s="4" t="s">
        <v>3856</v>
      </c>
      <c r="U445" s="4">
        <v>1382899620</v>
      </c>
      <c r="V445" s="4">
        <v>1382899620</v>
      </c>
      <c r="W445" s="4"/>
      <c r="X445" s="4" t="s">
        <v>3643</v>
      </c>
      <c r="Y445" s="4">
        <v>3687</v>
      </c>
      <c r="Z445" s="35"/>
      <c r="AA445" s="1" t="str">
        <f>IFERROR(VLOOKUP(D:D,[1]Габариты!$A:$I,9,0),"")</f>
        <v>Вакансия</v>
      </c>
      <c r="AB445" s="6" t="str">
        <f>IFERROR(VLOOKUP(D:D,[1]Габариты!$A:$D,4,0),"")</f>
        <v>СТОЛЫ МАНИКЮРНЫЕ</v>
      </c>
      <c r="AC445" s="39">
        <f t="shared" si="78"/>
        <v>3687</v>
      </c>
      <c r="AD445" s="13" t="str">
        <f t="shared" si="77"/>
        <v>FBO</v>
      </c>
    </row>
    <row r="446" spans="1:30" s="6" customFormat="1" ht="20.100000000000001" customHeight="1" outlineLevel="1" x14ac:dyDescent="0.25">
      <c r="A446" s="635" t="s">
        <v>3627</v>
      </c>
      <c r="B446" s="24"/>
      <c r="C446" s="13" t="s">
        <v>2582</v>
      </c>
      <c r="D446" s="40">
        <v>3688</v>
      </c>
      <c r="E446" s="4">
        <v>51</v>
      </c>
      <c r="F446" s="101">
        <v>3688</v>
      </c>
      <c r="G446" s="57"/>
      <c r="H446" s="4" t="s">
        <v>6881</v>
      </c>
      <c r="I446" s="4" t="s">
        <v>3680</v>
      </c>
      <c r="J446" s="4" t="s">
        <v>3682</v>
      </c>
      <c r="K446" s="54" t="s">
        <v>7920</v>
      </c>
      <c r="L446" s="57"/>
      <c r="M446" s="57"/>
      <c r="N446" s="37" t="s">
        <v>3663</v>
      </c>
      <c r="O446" s="4">
        <v>1128892732</v>
      </c>
      <c r="P446" s="4">
        <v>1128892732</v>
      </c>
      <c r="Q446" s="767"/>
      <c r="R446" s="767"/>
      <c r="S446" s="4"/>
      <c r="T446" s="4" t="s">
        <v>3711</v>
      </c>
      <c r="U446" s="4">
        <v>1130515434</v>
      </c>
      <c r="V446" s="4">
        <v>1130515434</v>
      </c>
      <c r="W446" s="4"/>
      <c r="X446" s="4" t="s">
        <v>3663</v>
      </c>
      <c r="Y446" s="4">
        <v>3688</v>
      </c>
      <c r="Z446" s="35"/>
      <c r="AA446" s="1" t="str">
        <f>IFERROR(VLOOKUP(D:D,[1]Габариты!$A:$I,9,0),"")</f>
        <v>Основной ассортимент</v>
      </c>
      <c r="AB446" s="6" t="str">
        <f>IFERROR(VLOOKUP(D:D,[1]Габариты!$A:$D,4,0),"")</f>
        <v>СТОЛЫ МАНИКЮРНЫЕ</v>
      </c>
      <c r="AC446" s="39">
        <f t="shared" si="78"/>
        <v>3688</v>
      </c>
      <c r="AD446" s="13" t="str">
        <f t="shared" si="77"/>
        <v>FBO</v>
      </c>
    </row>
    <row r="447" spans="1:30" s="6" customFormat="1" ht="20.100000000000001" customHeight="1" outlineLevel="1" x14ac:dyDescent="0.25">
      <c r="A447" s="635" t="s">
        <v>954</v>
      </c>
      <c r="B447" s="25"/>
      <c r="C447" s="13" t="s">
        <v>2581</v>
      </c>
      <c r="D447" s="40">
        <v>3213</v>
      </c>
      <c r="E447" s="4">
        <v>39</v>
      </c>
      <c r="F447" s="101">
        <v>3213</v>
      </c>
      <c r="G447" s="57" t="s">
        <v>5049</v>
      </c>
      <c r="H447" s="4" t="s">
        <v>6883</v>
      </c>
      <c r="I447" s="4"/>
      <c r="J447" s="4" t="s">
        <v>1970</v>
      </c>
      <c r="K447" s="54" t="s">
        <v>2428</v>
      </c>
      <c r="L447" s="57">
        <v>901146448</v>
      </c>
      <c r="M447" s="57">
        <v>901146448</v>
      </c>
      <c r="N447" s="4" t="s">
        <v>880</v>
      </c>
      <c r="O447" s="4">
        <v>498528294</v>
      </c>
      <c r="P447" s="4">
        <v>498528295</v>
      </c>
      <c r="Q447" s="767"/>
      <c r="R447" s="767"/>
      <c r="S447" s="4"/>
      <c r="T447" s="4" t="s">
        <v>3851</v>
      </c>
      <c r="U447" s="4">
        <v>1386382725</v>
      </c>
      <c r="V447" s="4">
        <v>1386382725</v>
      </c>
      <c r="W447" s="4" t="s">
        <v>2428</v>
      </c>
      <c r="X447" s="4" t="s">
        <v>880</v>
      </c>
      <c r="Y447" s="4">
        <v>3213</v>
      </c>
      <c r="Z447" s="35"/>
      <c r="AA447" s="1" t="str">
        <f>IFERROR(VLOOKUP(D:D,[1]Габариты!$A:$I,9,0),"")</f>
        <v>Основной ассортимент</v>
      </c>
      <c r="AB447" s="6" t="str">
        <f>IFERROR(VLOOKUP(D:D,[1]Габариты!$A:$D,4,0),"")</f>
        <v>СТОЛЫ МАНИКЮРНЫЕ</v>
      </c>
      <c r="AC447" s="39">
        <f t="shared" si="78"/>
        <v>3213</v>
      </c>
      <c r="AD447" s="13" t="str">
        <f t="shared" si="77"/>
        <v>FBS</v>
      </c>
    </row>
    <row r="448" spans="1:30" s="6" customFormat="1" ht="20.100000000000001" customHeight="1" outlineLevel="1" x14ac:dyDescent="0.2">
      <c r="A448" s="754" t="s">
        <v>3654</v>
      </c>
      <c r="B448" s="757" t="s">
        <v>8114</v>
      </c>
      <c r="C448" s="13"/>
      <c r="D448" s="40"/>
      <c r="E448" s="4"/>
      <c r="F448" s="101"/>
      <c r="G448" s="57"/>
      <c r="H448" s="4"/>
      <c r="I448" s="4"/>
      <c r="J448" s="4"/>
      <c r="K448" s="54"/>
      <c r="L448" s="57"/>
      <c r="M448" s="57"/>
      <c r="N448" s="766"/>
      <c r="O448" s="4"/>
      <c r="P448" s="4"/>
      <c r="Q448" s="767"/>
      <c r="R448" s="767"/>
      <c r="S448" s="4"/>
      <c r="T448" s="4"/>
      <c r="U448" s="4"/>
      <c r="V448" s="4"/>
      <c r="W448" s="4"/>
      <c r="X448" s="4"/>
      <c r="Y448" s="4" t="s">
        <v>4066</v>
      </c>
      <c r="Z448" s="35"/>
      <c r="AA448" s="1" t="str">
        <f>IFERROR(VLOOKUP(D:D,[1]Габариты!$A:$I,9,0),"")</f>
        <v/>
      </c>
      <c r="AB448" s="6" t="str">
        <f>IFERROR(VLOOKUP(D:D,[1]Габариты!$A:$D,4,0),"")</f>
        <v/>
      </c>
      <c r="AC448" s="39"/>
      <c r="AD448" s="13"/>
    </row>
    <row r="449" spans="1:30" s="6" customFormat="1" ht="20.100000000000001" customHeight="1" x14ac:dyDescent="0.25">
      <c r="A449" s="665" t="s">
        <v>5400</v>
      </c>
      <c r="B449" s="3"/>
      <c r="C449" s="13" t="s">
        <v>2582</v>
      </c>
      <c r="D449" s="40" t="s">
        <v>5390</v>
      </c>
      <c r="E449" s="4">
        <v>22</v>
      </c>
      <c r="F449" s="101" t="s">
        <v>6295</v>
      </c>
      <c r="G449" s="57" t="s">
        <v>5381</v>
      </c>
      <c r="H449" s="4" t="s">
        <v>5381</v>
      </c>
      <c r="I449" s="4"/>
      <c r="J449" s="4"/>
      <c r="K449" s="54" t="s">
        <v>6295</v>
      </c>
      <c r="L449" s="57">
        <v>1623615139</v>
      </c>
      <c r="M449" s="57">
        <v>1623615139</v>
      </c>
      <c r="N449" s="4" t="s">
        <v>8428</v>
      </c>
      <c r="O449" s="4">
        <v>1911539770</v>
      </c>
      <c r="P449" s="4">
        <v>1911539770</v>
      </c>
      <c r="Q449" s="4"/>
      <c r="R449" s="4"/>
      <c r="S449" s="4"/>
      <c r="T449" s="4"/>
      <c r="U449" s="4"/>
      <c r="V449" s="4"/>
      <c r="W449" s="4"/>
      <c r="X449" s="4"/>
      <c r="Y449" s="4"/>
      <c r="Z449" s="3"/>
      <c r="AA449" s="1" t="str">
        <f>IFERROR(VLOOKUP(D:D,[1]Габариты!$A:$I,9,0),"")</f>
        <v>Основной ассортимент</v>
      </c>
      <c r="AB449" s="6" t="str">
        <f>IFERROR(VLOOKUP(D:D,[1]Габариты!$A:$D,4,0),"")</f>
        <v>СТОЛЫ МАНИКЮРНЫЕ</v>
      </c>
      <c r="AC449" s="39" t="str">
        <f t="shared" si="78"/>
        <v>MK2010101</v>
      </c>
      <c r="AD449" s="13" t="str">
        <f t="shared" ref="AD449:AD450" si="86">C449</f>
        <v>FBO</v>
      </c>
    </row>
    <row r="450" spans="1:30" s="6" customFormat="1" ht="20.100000000000001" customHeight="1" x14ac:dyDescent="0.25">
      <c r="A450" s="635" t="s">
        <v>5403</v>
      </c>
      <c r="B450" s="3"/>
      <c r="C450" s="13" t="s">
        <v>2582</v>
      </c>
      <c r="D450" s="40" t="s">
        <v>5391</v>
      </c>
      <c r="E450" s="4">
        <v>22</v>
      </c>
      <c r="F450" s="101" t="s">
        <v>6296</v>
      </c>
      <c r="G450" s="57" t="s">
        <v>5382</v>
      </c>
      <c r="H450" s="4" t="s">
        <v>5382</v>
      </c>
      <c r="I450" s="4"/>
      <c r="J450" s="4"/>
      <c r="K450" s="54" t="s">
        <v>6296</v>
      </c>
      <c r="L450" s="57">
        <v>1618571569</v>
      </c>
      <c r="M450" s="57">
        <v>1618571569</v>
      </c>
      <c r="N450" s="4" t="s">
        <v>8430</v>
      </c>
      <c r="O450" s="4">
        <v>1911623437</v>
      </c>
      <c r="P450" s="4">
        <v>1911623437</v>
      </c>
      <c r="Q450" s="4"/>
      <c r="R450" s="4"/>
      <c r="S450" s="4"/>
      <c r="T450" s="4"/>
      <c r="U450" s="4"/>
      <c r="V450" s="4"/>
      <c r="W450" s="4"/>
      <c r="X450" s="4"/>
      <c r="Y450" s="4"/>
      <c r="Z450" s="3"/>
      <c r="AA450" s="1" t="str">
        <f>IFERROR(VLOOKUP(D:D,[1]Габариты!$A:$I,9,0),"")</f>
        <v>Основной ассортимент</v>
      </c>
      <c r="AB450" s="6" t="str">
        <f>IFERROR(VLOOKUP(D:D,[1]Габариты!$A:$D,4,0),"")</f>
        <v>СТОЛЫ МАНИКЮРНЫЕ</v>
      </c>
      <c r="AC450" s="39" t="str">
        <f t="shared" si="78"/>
        <v>MK2012001</v>
      </c>
      <c r="AD450" s="13" t="str">
        <f t="shared" si="86"/>
        <v>FBO</v>
      </c>
    </row>
    <row r="451" spans="1:30" s="6" customFormat="1" ht="20.100000000000001" customHeight="1" outlineLevel="1" x14ac:dyDescent="0.2">
      <c r="A451" s="754" t="s">
        <v>1757</v>
      </c>
      <c r="B451" s="756" t="s">
        <v>8114</v>
      </c>
      <c r="C451" s="13"/>
      <c r="D451" s="39"/>
      <c r="E451" s="4"/>
      <c r="F451" s="101"/>
      <c r="G451" s="57"/>
      <c r="H451" s="4"/>
      <c r="I451" s="4"/>
      <c r="J451" s="4"/>
      <c r="K451" s="54"/>
      <c r="L451" s="57"/>
      <c r="M451" s="57"/>
      <c r="N451" s="766"/>
      <c r="O451" s="4"/>
      <c r="P451" s="4"/>
      <c r="Q451" s="767"/>
      <c r="R451" s="767"/>
      <c r="S451" s="4"/>
      <c r="T451" s="4"/>
      <c r="U451" s="4"/>
      <c r="V451" s="4"/>
      <c r="W451" s="4"/>
      <c r="X451" s="4"/>
      <c r="Y451" s="4" t="s">
        <v>4066</v>
      </c>
      <c r="Z451" s="35"/>
      <c r="AA451" s="1" t="str">
        <f>IFERROR(VLOOKUP(D:D,[1]Габариты!$A:$I,9,0),"")</f>
        <v/>
      </c>
      <c r="AB451" s="6" t="str">
        <f>IFERROR(VLOOKUP(D:D,[1]Габариты!$A:$D,4,0),"")</f>
        <v/>
      </c>
      <c r="AC451" s="39"/>
      <c r="AD451" s="3"/>
    </row>
    <row r="452" spans="1:30" s="6" customFormat="1" ht="20.100000000000001" customHeight="1" outlineLevel="1" x14ac:dyDescent="0.25">
      <c r="A452" s="635" t="s">
        <v>118</v>
      </c>
      <c r="B452" s="3"/>
      <c r="C452" s="13" t="s">
        <v>2582</v>
      </c>
      <c r="D452" s="39">
        <v>2644</v>
      </c>
      <c r="E452" s="4">
        <v>36</v>
      </c>
      <c r="F452" s="101">
        <v>2644</v>
      </c>
      <c r="G452" s="57" t="s">
        <v>4853</v>
      </c>
      <c r="H452" s="4" t="s">
        <v>6884</v>
      </c>
      <c r="I452" s="4" t="s">
        <v>1279</v>
      </c>
      <c r="J452" s="4" t="s">
        <v>2529</v>
      </c>
      <c r="K452" s="54" t="s">
        <v>2432</v>
      </c>
      <c r="L452" s="57">
        <v>239610469</v>
      </c>
      <c r="M452" s="57">
        <v>239610469</v>
      </c>
      <c r="N452" s="4" t="s">
        <v>633</v>
      </c>
      <c r="O452" s="4">
        <v>265851263</v>
      </c>
      <c r="P452" s="4">
        <v>265851265</v>
      </c>
      <c r="Q452" s="767"/>
      <c r="R452" s="767"/>
      <c r="S452" s="4"/>
      <c r="T452" s="4" t="s">
        <v>3072</v>
      </c>
      <c r="U452" s="4">
        <v>943103454</v>
      </c>
      <c r="V452" s="4">
        <v>943103454</v>
      </c>
      <c r="W452" s="4" t="s">
        <v>2432</v>
      </c>
      <c r="X452" s="4" t="s">
        <v>633</v>
      </c>
      <c r="Y452" s="4">
        <v>2644</v>
      </c>
      <c r="Z452" s="35"/>
      <c r="AA452" s="1" t="str">
        <f>IFERROR(VLOOKUP(D:D,[1]Габариты!$A:$I,9,0),"")</f>
        <v>Вакансия</v>
      </c>
      <c r="AB452" s="6" t="str">
        <f>IFERROR(VLOOKUP(D:D,[1]Габариты!$A:$D,4,0),"")</f>
        <v>СТОЛЫ ОБЕДЕННЫЕ</v>
      </c>
      <c r="AC452" s="39">
        <f t="shared" si="78"/>
        <v>2644</v>
      </c>
      <c r="AD452" s="13" t="str">
        <f t="shared" si="77"/>
        <v>FBO</v>
      </c>
    </row>
    <row r="453" spans="1:30" s="6" customFormat="1" ht="20.100000000000001" customHeight="1" outlineLevel="1" x14ac:dyDescent="0.25">
      <c r="A453" s="635" t="s">
        <v>119</v>
      </c>
      <c r="B453" s="3"/>
      <c r="C453" s="13" t="s">
        <v>2582</v>
      </c>
      <c r="D453" s="39">
        <v>2664</v>
      </c>
      <c r="E453" s="4">
        <v>36</v>
      </c>
      <c r="F453" s="101">
        <v>2664</v>
      </c>
      <c r="G453" s="57" t="s">
        <v>4859</v>
      </c>
      <c r="H453" s="4" t="s">
        <v>6885</v>
      </c>
      <c r="I453" s="4" t="s">
        <v>1280</v>
      </c>
      <c r="J453" s="4" t="s">
        <v>2531</v>
      </c>
      <c r="K453" s="54"/>
      <c r="L453" s="57"/>
      <c r="M453" s="57"/>
      <c r="N453" s="4" t="s">
        <v>639</v>
      </c>
      <c r="O453" s="4">
        <v>262943457</v>
      </c>
      <c r="P453" s="4">
        <v>262943463</v>
      </c>
      <c r="Q453" s="767" t="s">
        <v>2902</v>
      </c>
      <c r="R453" s="767">
        <v>389457771</v>
      </c>
      <c r="S453" s="4">
        <v>389457770</v>
      </c>
      <c r="T453" s="4" t="s">
        <v>3120</v>
      </c>
      <c r="U453" s="4">
        <v>946143136</v>
      </c>
      <c r="V453" s="4">
        <v>946143136</v>
      </c>
      <c r="W453" s="4" t="s">
        <v>2433</v>
      </c>
      <c r="X453" s="4" t="s">
        <v>639</v>
      </c>
      <c r="Y453" s="4">
        <v>2664</v>
      </c>
      <c r="Z453" s="35"/>
      <c r="AA453" s="1" t="str">
        <f>IFERROR(VLOOKUP(D:D,[1]Габариты!$A:$I,9,0),"")</f>
        <v>Вакансия</v>
      </c>
      <c r="AB453" s="6" t="str">
        <f>IFERROR(VLOOKUP(D:D,[1]Габариты!$A:$D,4,0),"")</f>
        <v>СТОЛЫ ОБЕДЕННЫЕ</v>
      </c>
      <c r="AC453" s="39">
        <f t="shared" si="78"/>
        <v>2664</v>
      </c>
      <c r="AD453" s="13" t="str">
        <f t="shared" si="77"/>
        <v>FBO</v>
      </c>
    </row>
    <row r="454" spans="1:30" s="6" customFormat="1" ht="20.100000000000001" customHeight="1" outlineLevel="1" x14ac:dyDescent="0.25">
      <c r="A454" s="635" t="s">
        <v>3430</v>
      </c>
      <c r="B454" s="3"/>
      <c r="C454" s="13" t="s">
        <v>2582</v>
      </c>
      <c r="D454" s="39">
        <v>2645</v>
      </c>
      <c r="E454" s="4">
        <v>33</v>
      </c>
      <c r="F454" s="101">
        <v>2645</v>
      </c>
      <c r="G454" s="57" t="s">
        <v>4854</v>
      </c>
      <c r="H454" s="4" t="s">
        <v>6886</v>
      </c>
      <c r="I454" s="4" t="s">
        <v>1281</v>
      </c>
      <c r="J454" s="4" t="s">
        <v>2530</v>
      </c>
      <c r="K454" s="54" t="s">
        <v>2434</v>
      </c>
      <c r="L454" s="57">
        <v>257548957</v>
      </c>
      <c r="M454" s="57">
        <v>257548957</v>
      </c>
      <c r="N454" s="4" t="s">
        <v>634</v>
      </c>
      <c r="O454" s="4">
        <v>265852094</v>
      </c>
      <c r="P454" s="4">
        <v>265852097</v>
      </c>
      <c r="Q454" s="767"/>
      <c r="R454" s="767"/>
      <c r="S454" s="4"/>
      <c r="T454" s="4" t="s">
        <v>3073</v>
      </c>
      <c r="U454" s="4">
        <v>943212294</v>
      </c>
      <c r="V454" s="4">
        <v>943212294</v>
      </c>
      <c r="W454" s="4" t="s">
        <v>2434</v>
      </c>
      <c r="X454" s="4" t="s">
        <v>634</v>
      </c>
      <c r="Y454" s="4">
        <v>2645</v>
      </c>
      <c r="Z454" s="35"/>
      <c r="AA454" s="1" t="str">
        <f>IFERROR(VLOOKUP(D:D,[1]Габариты!$A:$I,9,0),"")</f>
        <v>Вакансия</v>
      </c>
      <c r="AB454" s="6" t="str">
        <f>IFERROR(VLOOKUP(D:D,[1]Габариты!$A:$D,4,0),"")</f>
        <v>СТОЛЫ ОБЕДЕННЫЕ</v>
      </c>
      <c r="AC454" s="39">
        <f t="shared" si="78"/>
        <v>2645</v>
      </c>
      <c r="AD454" s="13" t="str">
        <f t="shared" si="77"/>
        <v>FBO</v>
      </c>
    </row>
    <row r="455" spans="1:30" s="6" customFormat="1" ht="20.100000000000001" customHeight="1" outlineLevel="1" x14ac:dyDescent="0.25">
      <c r="A455" s="635" t="s">
        <v>1682</v>
      </c>
      <c r="B455" s="24"/>
      <c r="C455" s="13" t="s">
        <v>2582</v>
      </c>
      <c r="D455" s="40">
        <v>135577</v>
      </c>
      <c r="E455" s="4">
        <v>36</v>
      </c>
      <c r="F455" s="101"/>
      <c r="G455" s="57"/>
      <c r="H455" s="4" t="s">
        <v>6897</v>
      </c>
      <c r="I455" s="4"/>
      <c r="J455" s="4"/>
      <c r="K455" s="54"/>
      <c r="L455" s="57"/>
      <c r="M455" s="57"/>
      <c r="N455" s="4" t="s">
        <v>2647</v>
      </c>
      <c r="O455" s="4">
        <v>881715804</v>
      </c>
      <c r="P455" s="4">
        <v>881715805</v>
      </c>
      <c r="Q455" s="767"/>
      <c r="R455" s="767"/>
      <c r="S455" s="4"/>
      <c r="T455" s="4"/>
      <c r="U455" s="4"/>
      <c r="V455" s="4"/>
      <c r="W455" s="4"/>
      <c r="X455" s="4" t="s">
        <v>2647</v>
      </c>
      <c r="Y455" s="4">
        <v>135577</v>
      </c>
      <c r="Z455" s="35"/>
      <c r="AA455" s="1" t="str">
        <f>IFERROR(VLOOKUP(D:D,[1]Габариты!$A:$I,9,0),"")</f>
        <v>Вакансия</v>
      </c>
      <c r="AB455" s="6" t="str">
        <f>IFERROR(VLOOKUP(D:D,[1]Габариты!$A:$D,4,0),"")</f>
        <v>СТОЛЫ ОБЕДЕННЫЕ</v>
      </c>
      <c r="AC455" s="39">
        <f t="shared" si="78"/>
        <v>135577</v>
      </c>
      <c r="AD455" s="13" t="str">
        <f t="shared" ref="AD455:AD520" si="87">C455</f>
        <v>FBO</v>
      </c>
    </row>
    <row r="456" spans="1:30" s="6" customFormat="1" ht="20.100000000000001" customHeight="1" outlineLevel="1" x14ac:dyDescent="0.25">
      <c r="A456" s="635" t="s">
        <v>1683</v>
      </c>
      <c r="B456" s="24"/>
      <c r="C456" s="13" t="s">
        <v>2582</v>
      </c>
      <c r="D456" s="40">
        <v>135578</v>
      </c>
      <c r="E456" s="4">
        <v>36</v>
      </c>
      <c r="F456" s="101"/>
      <c r="G456" s="57"/>
      <c r="H456" s="4" t="s">
        <v>6898</v>
      </c>
      <c r="I456" s="4"/>
      <c r="J456" s="4" t="s">
        <v>3476</v>
      </c>
      <c r="K456" s="54"/>
      <c r="L456" s="57"/>
      <c r="M456" s="57"/>
      <c r="N456" s="4" t="s">
        <v>2648</v>
      </c>
      <c r="O456" s="4">
        <v>828642243</v>
      </c>
      <c r="P456" s="4">
        <v>828642244</v>
      </c>
      <c r="Q456" s="767"/>
      <c r="R456" s="767"/>
      <c r="S456" s="4"/>
      <c r="T456" s="4"/>
      <c r="U456" s="4"/>
      <c r="V456" s="4"/>
      <c r="W456" s="4"/>
      <c r="X456" s="4" t="s">
        <v>2648</v>
      </c>
      <c r="Y456" s="4">
        <v>135578</v>
      </c>
      <c r="Z456" s="35"/>
      <c r="AA456" s="1" t="str">
        <f>IFERROR(VLOOKUP(D:D,[1]Габариты!$A:$I,9,0),"")</f>
        <v>Вакансия</v>
      </c>
      <c r="AB456" s="6" t="str">
        <f>IFERROR(VLOOKUP(D:D,[1]Габариты!$A:$D,4,0),"")</f>
        <v>СТОЛЫ ОБЕДЕННЫЕ</v>
      </c>
      <c r="AC456" s="39">
        <f t="shared" si="78"/>
        <v>135578</v>
      </c>
      <c r="AD456" s="13" t="str">
        <f t="shared" si="87"/>
        <v>FBO</v>
      </c>
    </row>
    <row r="457" spans="1:30" s="6" customFormat="1" ht="20.100000000000001" customHeight="1" x14ac:dyDescent="0.25">
      <c r="A457" s="631" t="s">
        <v>6022</v>
      </c>
      <c r="B457" s="76"/>
      <c r="C457" s="13" t="s">
        <v>2582</v>
      </c>
      <c r="D457" s="40">
        <v>3608</v>
      </c>
      <c r="E457" s="4">
        <v>28</v>
      </c>
      <c r="F457" s="101">
        <v>3608</v>
      </c>
      <c r="G457" s="75" t="s">
        <v>5985</v>
      </c>
      <c r="H457" s="4" t="s">
        <v>5985</v>
      </c>
      <c r="I457" s="73"/>
      <c r="J457" s="73"/>
      <c r="K457" s="54" t="s">
        <v>7805</v>
      </c>
      <c r="L457" s="57">
        <v>1617434472</v>
      </c>
      <c r="M457" s="57">
        <v>1617434472</v>
      </c>
      <c r="N457" s="771" t="s">
        <v>8052</v>
      </c>
      <c r="O457" s="73">
        <v>1782146147</v>
      </c>
      <c r="P457" s="73">
        <v>1782146147</v>
      </c>
      <c r="Q457" s="73"/>
      <c r="R457" s="73"/>
      <c r="S457" s="73"/>
      <c r="T457" s="73"/>
      <c r="U457" s="73"/>
      <c r="V457" s="73"/>
      <c r="W457" s="73"/>
      <c r="X457" s="73" t="s">
        <v>8052</v>
      </c>
      <c r="Y457" s="73"/>
      <c r="Z457" s="67"/>
      <c r="AA457" s="1" t="str">
        <f>IFERROR(VLOOKUP(D:D,[1]Габариты!$A:$I,9,0),"")</f>
        <v>Основной ассортимент</v>
      </c>
      <c r="AB457" s="6" t="str">
        <f>IFERROR(VLOOKUP(D:D,[1]Габариты!$A:$D,4,0),"")</f>
        <v>СТОЛЫ ОБЕДЕННЫЕ</v>
      </c>
      <c r="AC457" s="39">
        <f t="shared" si="78"/>
        <v>3608</v>
      </c>
      <c r="AD457" s="13" t="str">
        <f t="shared" si="87"/>
        <v>FBO</v>
      </c>
    </row>
    <row r="458" spans="1:30" s="6" customFormat="1" ht="20.100000000000001" customHeight="1" outlineLevel="1" x14ac:dyDescent="0.25">
      <c r="A458" s="687" t="s">
        <v>7945</v>
      </c>
      <c r="B458" s="226"/>
      <c r="C458" s="13" t="s">
        <v>2582</v>
      </c>
      <c r="D458" s="222" t="s">
        <v>7944</v>
      </c>
      <c r="E458" s="217">
        <v>28</v>
      </c>
      <c r="F458" s="218" t="s">
        <v>8250</v>
      </c>
      <c r="G458" s="219"/>
      <c r="H458" s="217" t="s">
        <v>7974</v>
      </c>
      <c r="I458" s="217"/>
      <c r="J458" s="217"/>
      <c r="K458" s="218"/>
      <c r="L458" s="219"/>
      <c r="M458" s="219"/>
      <c r="N458" s="217" t="s">
        <v>8053</v>
      </c>
      <c r="O458" s="217">
        <v>1782160095</v>
      </c>
      <c r="P458" s="217">
        <v>1782160095</v>
      </c>
      <c r="Q458" s="824"/>
      <c r="R458" s="824"/>
      <c r="S458" s="217"/>
      <c r="T458" s="217"/>
      <c r="U458" s="217"/>
      <c r="V458" s="217"/>
      <c r="W458" s="217"/>
      <c r="X458" s="217" t="s">
        <v>8053</v>
      </c>
      <c r="Y458" s="217"/>
      <c r="Z458" s="35"/>
      <c r="AA458" s="1" t="str">
        <f>IFERROR(VLOOKUP(D:D,[1]Габариты!$A:$I,9,0),"")</f>
        <v>Основной ассортимент</v>
      </c>
      <c r="AB458" s="6" t="str">
        <f>IFERROR(VLOOKUP(D:D,[1]Габариты!$A:$D,4,0),"")</f>
        <v>СТОЛЫ ОБЕДЕННЫЕ</v>
      </c>
      <c r="AC458" s="39" t="str">
        <f t="shared" si="78"/>
        <v>3608.05/01</v>
      </c>
      <c r="AD458" s="13" t="str">
        <f t="shared" si="87"/>
        <v>FBO</v>
      </c>
    </row>
    <row r="459" spans="1:30" s="6" customFormat="1" ht="20.100000000000001" customHeight="1" outlineLevel="1" x14ac:dyDescent="0.25">
      <c r="A459" s="732" t="s">
        <v>7981</v>
      </c>
      <c r="B459" s="247"/>
      <c r="C459" s="13" t="s">
        <v>2582</v>
      </c>
      <c r="D459" s="248" t="s">
        <v>7978</v>
      </c>
      <c r="E459" s="217">
        <v>28</v>
      </c>
      <c r="F459" s="243" t="s">
        <v>8251</v>
      </c>
      <c r="G459" s="244"/>
      <c r="H459" s="242" t="s">
        <v>7979</v>
      </c>
      <c r="I459" s="242"/>
      <c r="J459" s="242"/>
      <c r="K459" s="243"/>
      <c r="L459" s="244"/>
      <c r="M459" s="244"/>
      <c r="N459" s="242" t="s">
        <v>8130</v>
      </c>
      <c r="O459" s="242">
        <v>1832660841</v>
      </c>
      <c r="P459" s="242">
        <v>1832660841</v>
      </c>
      <c r="Q459" s="825"/>
      <c r="R459" s="825"/>
      <c r="S459" s="242"/>
      <c r="T459" s="242"/>
      <c r="U459" s="242"/>
      <c r="V459" s="242"/>
      <c r="W459" s="242"/>
      <c r="X459" s="242" t="s">
        <v>8130</v>
      </c>
      <c r="Y459" s="242"/>
      <c r="Z459" s="35"/>
      <c r="AA459" s="1" t="str">
        <f>IFERROR(VLOOKUP(D:D,[1]Габариты!$A:$I,9,0),"")</f>
        <v>Основной ассортимент</v>
      </c>
      <c r="AB459" s="6" t="str">
        <f>IFERROR(VLOOKUP(D:D,[1]Габариты!$A:$D,4,0),"")</f>
        <v>СТОЛЫ ОБЕДЕННЫЕ</v>
      </c>
      <c r="AC459" s="39" t="str">
        <f t="shared" si="78"/>
        <v>3608.06/01</v>
      </c>
      <c r="AD459" s="13" t="str">
        <f t="shared" si="87"/>
        <v>FBO</v>
      </c>
    </row>
    <row r="460" spans="1:30" s="6" customFormat="1" ht="20.100000000000001" customHeight="1" outlineLevel="1" x14ac:dyDescent="0.25">
      <c r="A460" s="732" t="s">
        <v>7982</v>
      </c>
      <c r="B460" s="247"/>
      <c r="C460" s="13" t="s">
        <v>2582</v>
      </c>
      <c r="D460" s="246" t="s">
        <v>7977</v>
      </c>
      <c r="E460" s="217">
        <v>28</v>
      </c>
      <c r="F460" s="243" t="s">
        <v>8252</v>
      </c>
      <c r="G460" s="244"/>
      <c r="H460" s="242" t="s">
        <v>7980</v>
      </c>
      <c r="I460" s="242"/>
      <c r="J460" s="242"/>
      <c r="K460" s="243"/>
      <c r="L460" s="244"/>
      <c r="M460" s="244"/>
      <c r="N460" s="242" t="s">
        <v>8131</v>
      </c>
      <c r="O460" s="242">
        <v>1832662268</v>
      </c>
      <c r="P460" s="242">
        <v>1832662268</v>
      </c>
      <c r="Q460" s="825"/>
      <c r="R460" s="825"/>
      <c r="S460" s="242"/>
      <c r="T460" s="242"/>
      <c r="U460" s="242"/>
      <c r="V460" s="242"/>
      <c r="W460" s="242"/>
      <c r="X460" s="242" t="s">
        <v>8131</v>
      </c>
      <c r="Y460" s="242"/>
      <c r="Z460" s="35"/>
      <c r="AA460" s="1" t="str">
        <f>IFERROR(VLOOKUP(D:D,[1]Габариты!$A:$I,9,0),"")</f>
        <v>Основной ассортимент</v>
      </c>
      <c r="AB460" s="6" t="str">
        <f>IFERROR(VLOOKUP(D:D,[1]Габариты!$A:$D,4,0),"")</f>
        <v>СТОЛЫ ОБЕДЕННЫЕ</v>
      </c>
      <c r="AC460" s="39" t="str">
        <f t="shared" si="78"/>
        <v>3608.17/01</v>
      </c>
      <c r="AD460" s="13" t="str">
        <f t="shared" si="87"/>
        <v>FBO</v>
      </c>
    </row>
    <row r="461" spans="1:30" s="6" customFormat="1" ht="20.100000000000001" customHeight="1" outlineLevel="1" x14ac:dyDescent="0.25">
      <c r="A461" s="683" t="s">
        <v>7946</v>
      </c>
      <c r="B461" s="227"/>
      <c r="C461" s="13" t="s">
        <v>2582</v>
      </c>
      <c r="D461" s="228" t="s">
        <v>7948</v>
      </c>
      <c r="E461" s="217">
        <v>28</v>
      </c>
      <c r="F461" s="230" t="s">
        <v>8253</v>
      </c>
      <c r="G461" s="231"/>
      <c r="H461" s="229" t="s">
        <v>7975</v>
      </c>
      <c r="I461" s="229"/>
      <c r="J461" s="229"/>
      <c r="K461" s="230"/>
      <c r="L461" s="231"/>
      <c r="M461" s="231"/>
      <c r="N461" s="229" t="s">
        <v>8054</v>
      </c>
      <c r="O461" s="229">
        <v>1782157332</v>
      </c>
      <c r="P461" s="229">
        <v>1782157332</v>
      </c>
      <c r="Q461" s="826"/>
      <c r="R461" s="826"/>
      <c r="S461" s="229"/>
      <c r="T461" s="229"/>
      <c r="U461" s="229"/>
      <c r="V461" s="229"/>
      <c r="W461" s="229"/>
      <c r="X461" s="229" t="s">
        <v>8054</v>
      </c>
      <c r="Y461" s="229"/>
      <c r="Z461" s="35"/>
      <c r="AA461" s="1" t="str">
        <f>IFERROR(VLOOKUP(D:D,[1]Габариты!$A:$I,9,0),"")</f>
        <v>Основной ассортимент</v>
      </c>
      <c r="AB461" s="6" t="str">
        <f>IFERROR(VLOOKUP(D:D,[1]Габариты!$A:$D,4,0),"")</f>
        <v>СТОЛЫ ОБЕДЕННЫЕ</v>
      </c>
      <c r="AC461" s="39" t="str">
        <f t="shared" si="78"/>
        <v>3608.12/01</v>
      </c>
      <c r="AD461" s="13" t="str">
        <f t="shared" si="87"/>
        <v>FBO</v>
      </c>
    </row>
    <row r="462" spans="1:30" s="6" customFormat="1" ht="20.100000000000001" customHeight="1" outlineLevel="1" x14ac:dyDescent="0.25">
      <c r="A462" s="683" t="s">
        <v>7947</v>
      </c>
      <c r="B462" s="227"/>
      <c r="C462" s="13" t="s">
        <v>2582</v>
      </c>
      <c r="D462" s="228" t="s">
        <v>7949</v>
      </c>
      <c r="E462" s="217">
        <v>28</v>
      </c>
      <c r="F462" s="230" t="s">
        <v>8254</v>
      </c>
      <c r="G462" s="231"/>
      <c r="H462" s="229" t="s">
        <v>7976</v>
      </c>
      <c r="I462" s="229"/>
      <c r="J462" s="229"/>
      <c r="K462" s="230"/>
      <c r="L462" s="231"/>
      <c r="M462" s="231"/>
      <c r="N462" s="229" t="s">
        <v>8055</v>
      </c>
      <c r="O462" s="229">
        <v>1782260303</v>
      </c>
      <c r="P462" s="229">
        <v>1782260303</v>
      </c>
      <c r="Q462" s="826"/>
      <c r="R462" s="826"/>
      <c r="S462" s="229"/>
      <c r="T462" s="229"/>
      <c r="U462" s="229"/>
      <c r="V462" s="229"/>
      <c r="W462" s="229"/>
      <c r="X462" s="229" t="s">
        <v>8055</v>
      </c>
      <c r="Y462" s="229"/>
      <c r="Z462" s="35"/>
      <c r="AA462" s="1" t="str">
        <f>IFERROR(VLOOKUP(D:D,[1]Габариты!$A:$I,9,0),"")</f>
        <v>Основной ассортимент</v>
      </c>
      <c r="AB462" s="6" t="str">
        <f>IFERROR(VLOOKUP(D:D,[1]Габариты!$A:$D,4,0),"")</f>
        <v>СТОЛЫ ОБЕДЕННЫЕ</v>
      </c>
      <c r="AC462" s="39" t="str">
        <f t="shared" si="78"/>
        <v>3608.05.12/01</v>
      </c>
      <c r="AD462" s="13" t="str">
        <f t="shared" si="87"/>
        <v>FBO</v>
      </c>
    </row>
    <row r="463" spans="1:30" s="6" customFormat="1" ht="20.100000000000001" customHeight="1" outlineLevel="1" x14ac:dyDescent="0.25">
      <c r="A463" s="684" t="s">
        <v>8639</v>
      </c>
      <c r="B463" s="539"/>
      <c r="C463" s="259" t="s">
        <v>2582</v>
      </c>
      <c r="D463" s="543" t="s">
        <v>8638</v>
      </c>
      <c r="E463" s="415">
        <v>29</v>
      </c>
      <c r="F463" s="541" t="s">
        <v>8654</v>
      </c>
      <c r="G463" s="542"/>
      <c r="H463" s="540" t="s">
        <v>8637</v>
      </c>
      <c r="I463" s="540"/>
      <c r="J463" s="540"/>
      <c r="K463" s="541"/>
      <c r="L463" s="542"/>
      <c r="M463" s="542"/>
      <c r="N463" s="827" t="s">
        <v>8643</v>
      </c>
      <c r="O463" s="540">
        <v>2063175323</v>
      </c>
      <c r="P463" s="540">
        <v>2063175323</v>
      </c>
      <c r="Q463" s="828"/>
      <c r="R463" s="828"/>
      <c r="S463" s="540"/>
      <c r="T463" s="540"/>
      <c r="U463" s="540"/>
      <c r="V463" s="540"/>
      <c r="W463" s="540"/>
      <c r="X463" s="540" t="s">
        <v>8643</v>
      </c>
      <c r="Y463" s="540"/>
      <c r="Z463" s="35"/>
      <c r="AA463" s="1" t="str">
        <f>IFERROR(VLOOKUP(D:D,[1]Габариты!$A:$I,9,0),"")</f>
        <v>Основной ассортимент</v>
      </c>
      <c r="AB463" s="6" t="str">
        <f>IFERROR(VLOOKUP(D:D,[1]Габариты!$A:$D,4,0),"")</f>
        <v>СТОЛЫ ОБЕДЕННЫЕ</v>
      </c>
      <c r="AC463" s="39" t="str">
        <f t="shared" ref="AC463" si="88">D463</f>
        <v>3926.09/01</v>
      </c>
      <c r="AD463" s="13" t="str">
        <f t="shared" ref="AD463" si="89">C463</f>
        <v>FBO</v>
      </c>
    </row>
    <row r="464" spans="1:30" s="6" customFormat="1" ht="20.100000000000001" customHeight="1" outlineLevel="1" x14ac:dyDescent="0.25">
      <c r="A464" s="666" t="s">
        <v>8375</v>
      </c>
      <c r="B464" s="413"/>
      <c r="C464" s="259" t="s">
        <v>2582</v>
      </c>
      <c r="D464" s="414" t="s">
        <v>8374</v>
      </c>
      <c r="E464" s="415">
        <v>29</v>
      </c>
      <c r="F464" s="416" t="s">
        <v>8397</v>
      </c>
      <c r="G464" s="417"/>
      <c r="H464" s="415" t="s">
        <v>8376</v>
      </c>
      <c r="I464" s="415"/>
      <c r="J464" s="415"/>
      <c r="K464" s="416"/>
      <c r="L464" s="417"/>
      <c r="M464" s="417"/>
      <c r="N464" s="829" t="s">
        <v>8377</v>
      </c>
      <c r="O464" s="415">
        <v>1880528783</v>
      </c>
      <c r="P464" s="415">
        <v>1880528783</v>
      </c>
      <c r="Q464" s="804"/>
      <c r="R464" s="804"/>
      <c r="S464" s="415"/>
      <c r="T464" s="415"/>
      <c r="U464" s="415"/>
      <c r="V464" s="415"/>
      <c r="W464" s="415"/>
      <c r="X464" s="415" t="s">
        <v>8377</v>
      </c>
      <c r="Y464" s="415"/>
      <c r="Z464" s="35"/>
      <c r="AA464" s="1" t="str">
        <f>IFERROR(VLOOKUP(D:D,[1]Габариты!$A:$I,9,0),"")</f>
        <v>Основной ассортимент</v>
      </c>
      <c r="AB464" s="6" t="str">
        <f>IFERROR(VLOOKUP(D:D,[1]Габариты!$A:$D,4,0),"")</f>
        <v>СТОЛЫ ОБЕДЕННЫЕ</v>
      </c>
      <c r="AC464" s="39" t="str">
        <f>D464</f>
        <v>3926.17/01</v>
      </c>
      <c r="AD464" s="13" t="str">
        <f t="shared" ref="AD464" si="90">C464</f>
        <v>FBO</v>
      </c>
    </row>
    <row r="465" spans="1:30" s="6" customFormat="1" ht="20.100000000000001" customHeight="1" outlineLevel="1" x14ac:dyDescent="0.25">
      <c r="A465" s="685" t="s">
        <v>8630</v>
      </c>
      <c r="B465" s="534"/>
      <c r="C465" s="259" t="s">
        <v>2582</v>
      </c>
      <c r="D465" s="535" t="s">
        <v>8629</v>
      </c>
      <c r="E465" s="415">
        <v>29</v>
      </c>
      <c r="F465" s="537" t="s">
        <v>8653</v>
      </c>
      <c r="G465" s="538"/>
      <c r="H465" s="536" t="s">
        <v>8631</v>
      </c>
      <c r="I465" s="536"/>
      <c r="J465" s="536"/>
      <c r="K465" s="537"/>
      <c r="L465" s="538"/>
      <c r="M465" s="538"/>
      <c r="N465" s="830" t="s">
        <v>8647</v>
      </c>
      <c r="O465" s="536">
        <v>2063184475</v>
      </c>
      <c r="P465" s="536">
        <v>2063184475</v>
      </c>
      <c r="Q465" s="831"/>
      <c r="R465" s="831"/>
      <c r="S465" s="536"/>
      <c r="T465" s="536"/>
      <c r="U465" s="536"/>
      <c r="V465" s="536"/>
      <c r="W465" s="536"/>
      <c r="X465" s="536" t="s">
        <v>8647</v>
      </c>
      <c r="Y465" s="536"/>
      <c r="Z465" s="35"/>
      <c r="AA465" s="1" t="str">
        <f>IFERROR(VLOOKUP(D:D,[1]Габариты!$A:$I,9,0),"")</f>
        <v>Основной ассортимент</v>
      </c>
      <c r="AB465" s="6" t="str">
        <f>IFERROR(VLOOKUP(D:D,[1]Габариты!$A:$D,4,0),"")</f>
        <v>СТОЛЫ ОБЕДЕННЫЕ</v>
      </c>
      <c r="AC465" s="39" t="str">
        <f t="shared" ref="AC465" si="91">D465</f>
        <v>3926.32/01</v>
      </c>
      <c r="AD465" s="13" t="str">
        <f t="shared" ref="AD465" si="92">C465</f>
        <v>FBO</v>
      </c>
    </row>
    <row r="466" spans="1:30" s="6" customFormat="1" ht="20.100000000000001" customHeight="1" outlineLevel="1" x14ac:dyDescent="0.2">
      <c r="A466" s="754" t="s">
        <v>1757</v>
      </c>
      <c r="B466" s="757" t="s">
        <v>7774</v>
      </c>
      <c r="C466" s="13"/>
      <c r="D466" s="39"/>
      <c r="E466" s="4"/>
      <c r="F466" s="101"/>
      <c r="G466" s="57"/>
      <c r="H466" s="4"/>
      <c r="I466" s="4"/>
      <c r="J466" s="4"/>
      <c r="K466" s="54"/>
      <c r="L466" s="57"/>
      <c r="M466" s="57"/>
      <c r="N466" s="766"/>
      <c r="O466" s="4"/>
      <c r="P466" s="4"/>
      <c r="Q466" s="767"/>
      <c r="R466" s="767"/>
      <c r="S466" s="4"/>
      <c r="T466" s="4"/>
      <c r="U466" s="4"/>
      <c r="V466" s="4"/>
      <c r="W466" s="4"/>
      <c r="X466" s="4"/>
      <c r="Y466" s="4" t="s">
        <v>4066</v>
      </c>
      <c r="Z466" s="35"/>
      <c r="AA466" s="1" t="str">
        <f>IFERROR(VLOOKUP(D:D,[1]Габариты!$A:$I,9,0),"")</f>
        <v/>
      </c>
      <c r="AB466" s="6" t="str">
        <f>IFERROR(VLOOKUP(D:D,[1]Габариты!$A:$D,4,0),"")</f>
        <v/>
      </c>
      <c r="AC466" s="39"/>
      <c r="AD466" s="3"/>
    </row>
    <row r="467" spans="1:30" s="6" customFormat="1" ht="20.100000000000001" customHeight="1" outlineLevel="1" x14ac:dyDescent="0.25">
      <c r="A467" s="686" t="s">
        <v>8079</v>
      </c>
      <c r="B467" s="308"/>
      <c r="C467" s="216" t="s">
        <v>2582</v>
      </c>
      <c r="D467" s="309" t="s">
        <v>8078</v>
      </c>
      <c r="E467" s="217">
        <v>21</v>
      </c>
      <c r="F467" s="218" t="s">
        <v>8196</v>
      </c>
      <c r="G467" s="305"/>
      <c r="H467" s="303" t="s">
        <v>8087</v>
      </c>
      <c r="I467" s="303"/>
      <c r="J467" s="303"/>
      <c r="K467" s="304"/>
      <c r="L467" s="305"/>
      <c r="M467" s="305"/>
      <c r="N467" s="832" t="s">
        <v>8096</v>
      </c>
      <c r="O467" s="303">
        <v>1788210074</v>
      </c>
      <c r="P467" s="303">
        <v>1788210074</v>
      </c>
      <c r="Q467" s="822"/>
      <c r="R467" s="822"/>
      <c r="S467" s="303"/>
      <c r="T467" s="303"/>
      <c r="U467" s="303"/>
      <c r="V467" s="303"/>
      <c r="W467" s="303"/>
      <c r="X467" s="303" t="s">
        <v>8096</v>
      </c>
      <c r="Y467" s="303"/>
      <c r="Z467" s="35"/>
      <c r="AA467" s="1" t="str">
        <f>IFERROR(VLOOKUP(D:D,[1]Габариты!$A:$I,9,0),"")</f>
        <v>Основной ассортимент</v>
      </c>
      <c r="AB467" s="6" t="str">
        <f>IFERROR(VLOOKUP(D:D,[1]Габариты!$A:$D,4,0),"")</f>
        <v>СТОЛЫ ОБЕДЕННЫЕ</v>
      </c>
      <c r="AC467" s="39" t="str">
        <f>D467</f>
        <v>3968.04/01</v>
      </c>
      <c r="AD467" s="13" t="str">
        <f>C467</f>
        <v>FBO</v>
      </c>
    </row>
    <row r="468" spans="1:30" s="6" customFormat="1" ht="20.100000000000001" customHeight="1" outlineLevel="1" x14ac:dyDescent="0.25">
      <c r="A468" s="635" t="s">
        <v>7781</v>
      </c>
      <c r="B468" s="223"/>
      <c r="C468" s="216" t="s">
        <v>2582</v>
      </c>
      <c r="D468" s="220" t="s">
        <v>7780</v>
      </c>
      <c r="E468" s="217">
        <v>21</v>
      </c>
      <c r="F468" s="218" t="s">
        <v>8255</v>
      </c>
      <c r="G468" s="219"/>
      <c r="H468" s="217" t="s">
        <v>7973</v>
      </c>
      <c r="I468" s="217"/>
      <c r="J468" s="217"/>
      <c r="K468" s="218"/>
      <c r="L468" s="219"/>
      <c r="M468" s="219"/>
      <c r="N468" s="833" t="s">
        <v>7989</v>
      </c>
      <c r="O468" s="217">
        <v>1767744543</v>
      </c>
      <c r="P468" s="217">
        <v>1767744543</v>
      </c>
      <c r="Q468" s="824"/>
      <c r="R468" s="824"/>
      <c r="S468" s="217"/>
      <c r="T468" s="217"/>
      <c r="U468" s="217"/>
      <c r="V468" s="217"/>
      <c r="W468" s="217"/>
      <c r="X468" s="217" t="s">
        <v>7984</v>
      </c>
      <c r="Y468" s="217"/>
      <c r="Z468" s="35"/>
      <c r="AA468" s="1" t="str">
        <f>IFERROR(VLOOKUP(D:D,[1]Габариты!$A:$I,9,0),"")</f>
        <v>Основной ассортимент</v>
      </c>
      <c r="AB468" s="6" t="str">
        <f>IFERROR(VLOOKUP(D:D,[1]Габариты!$A:$D,4,0),"")</f>
        <v>СТОЛЫ ОБЕДЕННЫЕ</v>
      </c>
      <c r="AC468" s="39" t="str">
        <f t="shared" si="78"/>
        <v>3968.17/01</v>
      </c>
      <c r="AD468" s="13" t="str">
        <f t="shared" si="87"/>
        <v>FBO</v>
      </c>
    </row>
    <row r="469" spans="1:30" s="6" customFormat="1" ht="20.100000000000001" customHeight="1" outlineLevel="1" x14ac:dyDescent="0.25">
      <c r="A469" s="687" t="s">
        <v>7793</v>
      </c>
      <c r="B469" s="223"/>
      <c r="C469" s="216" t="s">
        <v>2582</v>
      </c>
      <c r="D469" s="220" t="s">
        <v>7792</v>
      </c>
      <c r="E469" s="217">
        <v>21</v>
      </c>
      <c r="F469" s="218" t="s">
        <v>8256</v>
      </c>
      <c r="G469" s="219"/>
      <c r="H469" s="217" t="s">
        <v>7993</v>
      </c>
      <c r="I469" s="217"/>
      <c r="J469" s="217"/>
      <c r="K469" s="218"/>
      <c r="L469" s="219"/>
      <c r="M469" s="219"/>
      <c r="N469" s="833" t="s">
        <v>7994</v>
      </c>
      <c r="O469" s="217">
        <v>1770279954</v>
      </c>
      <c r="P469" s="217">
        <v>1770279954</v>
      </c>
      <c r="Q469" s="824"/>
      <c r="R469" s="824"/>
      <c r="S469" s="217"/>
      <c r="T469" s="217"/>
      <c r="U469" s="217"/>
      <c r="V469" s="217"/>
      <c r="W469" s="217"/>
      <c r="X469" s="217" t="s">
        <v>7994</v>
      </c>
      <c r="Y469" s="217"/>
      <c r="Z469" s="35"/>
      <c r="AA469" s="1" t="str">
        <f>IFERROR(VLOOKUP(D:D,[1]Габариты!$A:$I,9,0),"")</f>
        <v>Основной ассортимент</v>
      </c>
      <c r="AB469" s="6" t="str">
        <f>IFERROR(VLOOKUP(D:D,[1]Габариты!$A:$D,4,0),"")</f>
        <v>СТОЛЫ ОБЕДЕННЫЕ</v>
      </c>
      <c r="AC469" s="39" t="str">
        <f t="shared" si="78"/>
        <v>3968.05Ч/01</v>
      </c>
      <c r="AD469" s="13" t="str">
        <f t="shared" si="87"/>
        <v>FBO</v>
      </c>
    </row>
    <row r="470" spans="1:30" s="6" customFormat="1" ht="20.100000000000001" customHeight="1" outlineLevel="1" x14ac:dyDescent="0.25">
      <c r="A470" s="688" t="s">
        <v>7999</v>
      </c>
      <c r="B470" s="258"/>
      <c r="C470" s="216" t="s">
        <v>2582</v>
      </c>
      <c r="D470" s="260" t="s">
        <v>7998</v>
      </c>
      <c r="E470" s="217">
        <v>21</v>
      </c>
      <c r="F470" s="218" t="s">
        <v>8197</v>
      </c>
      <c r="G470" s="263"/>
      <c r="H470" s="261" t="s">
        <v>8028</v>
      </c>
      <c r="I470" s="261"/>
      <c r="J470" s="261"/>
      <c r="K470" s="262"/>
      <c r="L470" s="263"/>
      <c r="M470" s="263"/>
      <c r="N470" s="834" t="s">
        <v>8034</v>
      </c>
      <c r="O470" s="261">
        <v>1775330704</v>
      </c>
      <c r="P470" s="261">
        <v>1775330704</v>
      </c>
      <c r="Q470" s="835"/>
      <c r="R470" s="835"/>
      <c r="S470" s="261"/>
      <c r="T470" s="261"/>
      <c r="U470" s="261"/>
      <c r="V470" s="261"/>
      <c r="W470" s="261"/>
      <c r="X470" s="261" t="s">
        <v>8034</v>
      </c>
      <c r="Y470" s="261"/>
      <c r="Z470" s="35"/>
      <c r="AA470" s="1" t="str">
        <f>IFERROR(VLOOKUP(D:D,[1]Габариты!$A:$I,9,0),"")</f>
        <v>Основной ассортимент</v>
      </c>
      <c r="AB470" s="6" t="str">
        <f>IFERROR(VLOOKUP(D:D,[1]Габариты!$A:$D,4,0),"")</f>
        <v>СТОЛЫ ОБЕДЕННЫЕ</v>
      </c>
      <c r="AC470" s="39" t="str">
        <f t="shared" si="78"/>
        <v>3968.25Ч/01</v>
      </c>
      <c r="AD470" s="13" t="str">
        <f t="shared" si="87"/>
        <v>FBO</v>
      </c>
    </row>
    <row r="471" spans="1:30" s="6" customFormat="1" ht="20.100000000000001" customHeight="1" outlineLevel="1" x14ac:dyDescent="0.2">
      <c r="A471" s="754" t="s">
        <v>1757</v>
      </c>
      <c r="B471" s="757" t="s">
        <v>5530</v>
      </c>
      <c r="C471" s="259"/>
      <c r="D471" s="260"/>
      <c r="E471" s="261"/>
      <c r="F471" s="218"/>
      <c r="G471" s="263"/>
      <c r="H471" s="261"/>
      <c r="I471" s="261"/>
      <c r="J471" s="261"/>
      <c r="K471" s="262"/>
      <c r="L471" s="263"/>
      <c r="M471" s="263"/>
      <c r="N471" s="834"/>
      <c r="O471" s="261"/>
      <c r="P471" s="261"/>
      <c r="Q471" s="835"/>
      <c r="R471" s="835"/>
      <c r="S471" s="261"/>
      <c r="T471" s="261"/>
      <c r="U471" s="261"/>
      <c r="V471" s="261"/>
      <c r="W471" s="261"/>
      <c r="X471" s="261"/>
      <c r="Y471" s="261"/>
      <c r="Z471" s="35"/>
      <c r="AA471" s="1" t="str">
        <f>IFERROR(VLOOKUP(D:D,[1]Габариты!$A:$I,9,0),"")</f>
        <v/>
      </c>
      <c r="AB471" s="6" t="str">
        <f>IFERROR(VLOOKUP(D:D,[1]Габариты!$A:$D,4,0),"")</f>
        <v/>
      </c>
      <c r="AC471" s="39"/>
      <c r="AD471" s="3"/>
    </row>
    <row r="472" spans="1:30" s="6" customFormat="1" ht="20.100000000000001" customHeight="1" outlineLevel="1" x14ac:dyDescent="0.25">
      <c r="A472" s="689" t="s">
        <v>8020</v>
      </c>
      <c r="B472" s="273"/>
      <c r="C472" s="259" t="s">
        <v>2582</v>
      </c>
      <c r="D472" s="272" t="s">
        <v>8018</v>
      </c>
      <c r="E472" s="261">
        <v>9</v>
      </c>
      <c r="F472" s="270" t="s">
        <v>8258</v>
      </c>
      <c r="G472" s="271"/>
      <c r="H472" s="269" t="s">
        <v>8030</v>
      </c>
      <c r="I472" s="269"/>
      <c r="J472" s="269"/>
      <c r="K472" s="270"/>
      <c r="L472" s="271"/>
      <c r="M472" s="271"/>
      <c r="N472" s="836" t="s">
        <v>8354</v>
      </c>
      <c r="O472" s="269">
        <v>1865911831</v>
      </c>
      <c r="P472" s="269">
        <v>1865911831</v>
      </c>
      <c r="Q472" s="816"/>
      <c r="R472" s="816"/>
      <c r="S472" s="269"/>
      <c r="T472" s="269"/>
      <c r="U472" s="269"/>
      <c r="V472" s="269"/>
      <c r="W472" s="269"/>
      <c r="X472" s="269" t="s">
        <v>8354</v>
      </c>
      <c r="Y472" s="269"/>
      <c r="Z472" s="35"/>
      <c r="AA472" s="1" t="str">
        <f>IFERROR(VLOOKUP(D:D,[1]Габариты!$A:$I,9,0),"")</f>
        <v>Вакансия</v>
      </c>
      <c r="AB472" s="6" t="str">
        <f>IFERROR(VLOOKUP(D:D,[1]Габариты!$A:$D,4,0),"")</f>
        <v>СТОЛЫ ОБЕДЕННЫЕ</v>
      </c>
      <c r="AC472" s="39" t="str">
        <f t="shared" si="78"/>
        <v>MK3080601</v>
      </c>
      <c r="AD472" s="13" t="str">
        <f t="shared" si="87"/>
        <v>FBO</v>
      </c>
    </row>
    <row r="473" spans="1:30" s="6" customFormat="1" ht="20.100000000000001" customHeight="1" outlineLevel="1" x14ac:dyDescent="0.25">
      <c r="A473" s="688" t="s">
        <v>8003</v>
      </c>
      <c r="B473" s="258"/>
      <c r="C473" s="259" t="s">
        <v>2582</v>
      </c>
      <c r="D473" s="260" t="s">
        <v>8002</v>
      </c>
      <c r="E473" s="261">
        <v>9</v>
      </c>
      <c r="F473" s="262" t="s">
        <v>8257</v>
      </c>
      <c r="G473" s="263"/>
      <c r="H473" s="261" t="s">
        <v>8029</v>
      </c>
      <c r="I473" s="261"/>
      <c r="J473" s="261"/>
      <c r="K473" s="262"/>
      <c r="L473" s="263"/>
      <c r="M473" s="263"/>
      <c r="N473" s="834" t="s">
        <v>8353</v>
      </c>
      <c r="O473" s="261">
        <v>1865919469</v>
      </c>
      <c r="P473" s="261">
        <v>1865919469</v>
      </c>
      <c r="Q473" s="835"/>
      <c r="R473" s="835"/>
      <c r="S473" s="261"/>
      <c r="T473" s="261"/>
      <c r="U473" s="261"/>
      <c r="V473" s="261"/>
      <c r="W473" s="261"/>
      <c r="X473" s="261" t="s">
        <v>8353</v>
      </c>
      <c r="Y473" s="261"/>
      <c r="Z473" s="35"/>
      <c r="AA473" s="1" t="str">
        <f>IFERROR(VLOOKUP(D:D,[1]Габариты!$A:$I,9,0),"")</f>
        <v>Вакансия</v>
      </c>
      <c r="AB473" s="6" t="str">
        <f>IFERROR(VLOOKUP(D:D,[1]Габариты!$A:$D,4,0),"")</f>
        <v>СТОЛЫ ОБЕДЕННЫЕ</v>
      </c>
      <c r="AC473" s="39" t="str">
        <f>D473</f>
        <v>MK3081701</v>
      </c>
      <c r="AD473" s="13" t="str">
        <f>C473</f>
        <v>FBO</v>
      </c>
    </row>
    <row r="474" spans="1:30" s="1" customFormat="1" ht="20.100000000000001" customHeight="1" outlineLevel="1" x14ac:dyDescent="0.2">
      <c r="A474" s="755" t="s">
        <v>4351</v>
      </c>
      <c r="B474" s="754" t="s">
        <v>3539</v>
      </c>
      <c r="C474" s="13"/>
      <c r="D474" s="41"/>
      <c r="E474" s="4"/>
      <c r="F474" s="101"/>
      <c r="G474" s="57"/>
      <c r="H474" s="4"/>
      <c r="I474" s="4"/>
      <c r="J474" s="4"/>
      <c r="K474" s="54"/>
      <c r="L474" s="57"/>
      <c r="M474" s="57"/>
      <c r="N474" s="766"/>
      <c r="O474" s="4"/>
      <c r="P474" s="4"/>
      <c r="Q474" s="767"/>
      <c r="R474" s="767"/>
      <c r="S474" s="4"/>
      <c r="T474" s="4"/>
      <c r="U474" s="4"/>
      <c r="V474" s="4"/>
      <c r="W474" s="4"/>
      <c r="X474" s="4"/>
      <c r="Y474" s="4" t="s">
        <v>4066</v>
      </c>
      <c r="Z474" s="35"/>
      <c r="AA474" s="1" t="str">
        <f>IFERROR(VLOOKUP(D:D,[1]Габариты!$A:$I,9,0),"")</f>
        <v/>
      </c>
      <c r="AB474" s="6" t="str">
        <f>IFERROR(VLOOKUP(D:D,[1]Габариты!$A:$D,4,0),"")</f>
        <v/>
      </c>
      <c r="AC474" s="39"/>
      <c r="AD474" s="3"/>
    </row>
    <row r="475" spans="1:30" s="6" customFormat="1" ht="20.100000000000001" customHeight="1" outlineLevel="1" x14ac:dyDescent="0.25">
      <c r="A475" s="635" t="s">
        <v>202</v>
      </c>
      <c r="B475" s="3"/>
      <c r="C475" s="13" t="s">
        <v>2581</v>
      </c>
      <c r="D475" s="39">
        <v>2938</v>
      </c>
      <c r="E475" s="4">
        <v>20</v>
      </c>
      <c r="F475" s="101">
        <v>3555</v>
      </c>
      <c r="G475" s="57" t="s">
        <v>6107</v>
      </c>
      <c r="H475" s="4" t="s">
        <v>6909</v>
      </c>
      <c r="I475" s="4" t="s">
        <v>1326</v>
      </c>
      <c r="J475" s="4" t="s">
        <v>1994</v>
      </c>
      <c r="K475" s="54" t="s">
        <v>7922</v>
      </c>
      <c r="L475" s="57">
        <v>256289803</v>
      </c>
      <c r="M475" s="57">
        <v>256289803</v>
      </c>
      <c r="N475" s="4" t="s">
        <v>680</v>
      </c>
      <c r="O475" s="4">
        <v>266342681</v>
      </c>
      <c r="P475" s="4">
        <v>266342687</v>
      </c>
      <c r="Q475" s="767" t="s">
        <v>2950</v>
      </c>
      <c r="R475" s="767">
        <v>351488402</v>
      </c>
      <c r="S475" s="4">
        <v>351488401</v>
      </c>
      <c r="T475" s="4" t="s">
        <v>3718</v>
      </c>
      <c r="U475" s="4">
        <v>1177890142</v>
      </c>
      <c r="V475" s="4">
        <v>1177890142</v>
      </c>
      <c r="W475" s="4" t="s">
        <v>2456</v>
      </c>
      <c r="X475" s="4" t="s">
        <v>680</v>
      </c>
      <c r="Y475" s="4">
        <v>2938</v>
      </c>
      <c r="Z475" s="35"/>
      <c r="AA475" s="1" t="str">
        <f>IFERROR(VLOOKUP(D:D,[1]Габариты!$A:$I,9,0),"")</f>
        <v>Основной ассортимент</v>
      </c>
      <c r="AB475" s="6" t="str">
        <f>IFERROR(VLOOKUP(D:D,[1]Габариты!$A:$D,4,0),"")</f>
        <v>ТУМБЫ под ТВ</v>
      </c>
      <c r="AC475" s="39">
        <f t="shared" si="78"/>
        <v>2938</v>
      </c>
      <c r="AD475" s="13" t="str">
        <f t="shared" si="87"/>
        <v>FBS</v>
      </c>
    </row>
    <row r="476" spans="1:30" s="6" customFormat="1" ht="20.100000000000001" customHeight="1" outlineLevel="1" x14ac:dyDescent="0.25">
      <c r="A476" s="635" t="s">
        <v>4425</v>
      </c>
      <c r="B476" s="3"/>
      <c r="C476" s="13" t="s">
        <v>2581</v>
      </c>
      <c r="D476" s="39">
        <v>2939</v>
      </c>
      <c r="E476" s="4">
        <v>20</v>
      </c>
      <c r="F476" s="101">
        <v>3568</v>
      </c>
      <c r="G476" s="57" t="s">
        <v>6108</v>
      </c>
      <c r="H476" s="4" t="s">
        <v>6911</v>
      </c>
      <c r="I476" s="4" t="s">
        <v>1328</v>
      </c>
      <c r="J476" s="4" t="s">
        <v>1996</v>
      </c>
      <c r="K476" s="54" t="s">
        <v>7923</v>
      </c>
      <c r="L476" s="57">
        <v>256292337</v>
      </c>
      <c r="M476" s="57">
        <v>256292337</v>
      </c>
      <c r="N476" s="4" t="s">
        <v>681</v>
      </c>
      <c r="O476" s="4">
        <v>266786766</v>
      </c>
      <c r="P476" s="4">
        <v>266786779</v>
      </c>
      <c r="Q476" s="767" t="s">
        <v>2951</v>
      </c>
      <c r="R476" s="767">
        <v>351512726</v>
      </c>
      <c r="S476" s="4">
        <v>351512725</v>
      </c>
      <c r="T476" s="4" t="s">
        <v>3720</v>
      </c>
      <c r="U476" s="4">
        <v>1177945686</v>
      </c>
      <c r="V476" s="4">
        <v>1177945686</v>
      </c>
      <c r="W476" s="4" t="s">
        <v>2458</v>
      </c>
      <c r="X476" s="4" t="s">
        <v>681</v>
      </c>
      <c r="Y476" s="4">
        <v>2939</v>
      </c>
      <c r="Z476" s="35"/>
      <c r="AA476" s="1" t="str">
        <f>IFERROR(VLOOKUP(D:D,[1]Габариты!$A:$I,9,0),"")</f>
        <v>Основной ассортимент</v>
      </c>
      <c r="AB476" s="6" t="str">
        <f>IFERROR(VLOOKUP(D:D,[1]Габариты!$A:$D,4,0),"")</f>
        <v>ТУМБЫ под ТВ</v>
      </c>
      <c r="AC476" s="39">
        <f>D476</f>
        <v>2939</v>
      </c>
      <c r="AD476" s="13" t="str">
        <f>C476</f>
        <v>FBS</v>
      </c>
    </row>
    <row r="477" spans="1:30" s="6" customFormat="1" ht="20.100000000000001" customHeight="1" outlineLevel="1" x14ac:dyDescent="0.25">
      <c r="A477" s="635" t="s">
        <v>203</v>
      </c>
      <c r="B477" s="3"/>
      <c r="C477" s="13" t="s">
        <v>2581</v>
      </c>
      <c r="D477" s="39">
        <v>2940</v>
      </c>
      <c r="E477" s="4">
        <v>20</v>
      </c>
      <c r="F477" s="101">
        <v>3569</v>
      </c>
      <c r="G477" s="57" t="s">
        <v>6169</v>
      </c>
      <c r="H477" s="4" t="s">
        <v>6910</v>
      </c>
      <c r="I477" s="4" t="s">
        <v>1327</v>
      </c>
      <c r="J477" s="4" t="s">
        <v>1995</v>
      </c>
      <c r="K477" s="54" t="s">
        <v>2457</v>
      </c>
      <c r="L477" s="57">
        <v>256293169</v>
      </c>
      <c r="M477" s="57">
        <v>256293169</v>
      </c>
      <c r="N477" s="4" t="s">
        <v>682</v>
      </c>
      <c r="O477" s="4">
        <v>266951786</v>
      </c>
      <c r="P477" s="4">
        <v>266951787</v>
      </c>
      <c r="Q477" s="767"/>
      <c r="R477" s="767"/>
      <c r="S477" s="4"/>
      <c r="T477" s="4" t="s">
        <v>3719</v>
      </c>
      <c r="U477" s="4">
        <v>1177916180</v>
      </c>
      <c r="V477" s="4">
        <v>1177916180</v>
      </c>
      <c r="W477" s="4" t="s">
        <v>2457</v>
      </c>
      <c r="X477" s="4" t="s">
        <v>682</v>
      </c>
      <c r="Y477" s="4">
        <v>2940</v>
      </c>
      <c r="Z477" s="35"/>
      <c r="AA477" s="1" t="str">
        <f>IFERROR(VLOOKUP(D:D,[1]Габариты!$A:$I,9,0),"")</f>
        <v>Основной ассортимент</v>
      </c>
      <c r="AB477" s="6" t="str">
        <f>IFERROR(VLOOKUP(D:D,[1]Габариты!$A:$D,4,0),"")</f>
        <v>ТУМБЫ под ТВ</v>
      </c>
      <c r="AC477" s="39">
        <f t="shared" si="78"/>
        <v>2940</v>
      </c>
      <c r="AD477" s="13" t="str">
        <f t="shared" si="87"/>
        <v>FBS</v>
      </c>
    </row>
    <row r="478" spans="1:30" s="6" customFormat="1" ht="20.100000000000001" customHeight="1" outlineLevel="1" x14ac:dyDescent="0.25">
      <c r="A478" s="635" t="s">
        <v>178</v>
      </c>
      <c r="B478" s="3"/>
      <c r="C478" s="13" t="s">
        <v>2581</v>
      </c>
      <c r="D478" s="39">
        <v>2696</v>
      </c>
      <c r="E478" s="4">
        <v>32</v>
      </c>
      <c r="F478" s="101">
        <v>2696</v>
      </c>
      <c r="G478" s="57" t="s">
        <v>4878</v>
      </c>
      <c r="H478" s="4" t="s">
        <v>6912</v>
      </c>
      <c r="I478" s="4" t="s">
        <v>1329</v>
      </c>
      <c r="J478" s="4" t="s">
        <v>1997</v>
      </c>
      <c r="K478" s="54" t="s">
        <v>2459</v>
      </c>
      <c r="L478" s="57">
        <v>250956005</v>
      </c>
      <c r="M478" s="57">
        <v>250956005</v>
      </c>
      <c r="N478" s="4" t="s">
        <v>657</v>
      </c>
      <c r="O478" s="4">
        <v>266751518</v>
      </c>
      <c r="P478" s="4">
        <v>266751526</v>
      </c>
      <c r="Q478" s="767" t="s">
        <v>3762</v>
      </c>
      <c r="R478" s="767">
        <v>1221847785</v>
      </c>
      <c r="S478" s="4">
        <v>1221847784</v>
      </c>
      <c r="T478" s="4" t="s">
        <v>3713</v>
      </c>
      <c r="U478" s="4">
        <v>1177688868</v>
      </c>
      <c r="V478" s="4">
        <v>1177688868</v>
      </c>
      <c r="W478" s="4" t="s">
        <v>2459</v>
      </c>
      <c r="X478" s="4" t="s">
        <v>657</v>
      </c>
      <c r="Y478" s="4">
        <v>2696</v>
      </c>
      <c r="Z478" s="35"/>
      <c r="AA478" s="1" t="str">
        <f>IFERROR(VLOOKUP(D:D,[1]Габариты!$A:$I,9,0),"")</f>
        <v>Вакансия</v>
      </c>
      <c r="AB478" s="6" t="str">
        <f>IFERROR(VLOOKUP(D:D,[1]Габариты!$A:$D,4,0),"")</f>
        <v>ТУМБЫ под ТВ</v>
      </c>
      <c r="AC478" s="39">
        <f t="shared" si="78"/>
        <v>2696</v>
      </c>
      <c r="AD478" s="13" t="str">
        <f t="shared" si="87"/>
        <v>FBS</v>
      </c>
    </row>
    <row r="479" spans="1:30" s="6" customFormat="1" ht="20.100000000000001" customHeight="1" outlineLevel="1" x14ac:dyDescent="0.25">
      <c r="A479" s="635" t="s">
        <v>179</v>
      </c>
      <c r="B479" s="3"/>
      <c r="C479" s="13" t="s">
        <v>2581</v>
      </c>
      <c r="D479" s="39">
        <v>2697</v>
      </c>
      <c r="E479" s="4">
        <v>32</v>
      </c>
      <c r="F479" s="101">
        <v>2697</v>
      </c>
      <c r="G479" s="57" t="s">
        <v>4879</v>
      </c>
      <c r="H479" s="4" t="s">
        <v>6913</v>
      </c>
      <c r="I479" s="4" t="s">
        <v>1330</v>
      </c>
      <c r="J479" s="4" t="s">
        <v>3727</v>
      </c>
      <c r="K479" s="54" t="s">
        <v>2460</v>
      </c>
      <c r="L479" s="57">
        <v>250950523</v>
      </c>
      <c r="M479" s="57">
        <v>250950523</v>
      </c>
      <c r="N479" s="4" t="s">
        <v>658</v>
      </c>
      <c r="O479" s="4">
        <v>266599061</v>
      </c>
      <c r="P479" s="4">
        <v>266599068</v>
      </c>
      <c r="Q479" s="767" t="s">
        <v>2952</v>
      </c>
      <c r="R479" s="767">
        <v>351863962</v>
      </c>
      <c r="S479" s="4">
        <v>351863963</v>
      </c>
      <c r="T479" s="4" t="s">
        <v>3714</v>
      </c>
      <c r="U479" s="4">
        <v>1177745879</v>
      </c>
      <c r="V479" s="4">
        <v>1177745879</v>
      </c>
      <c r="W479" s="4" t="s">
        <v>2460</v>
      </c>
      <c r="X479" s="4" t="s">
        <v>658</v>
      </c>
      <c r="Y479" s="4">
        <v>2697</v>
      </c>
      <c r="Z479" s="35"/>
      <c r="AA479" s="1" t="str">
        <f>IFERROR(VLOOKUP(D:D,[1]Габариты!$A:$I,9,0),"")</f>
        <v>Вакансия</v>
      </c>
      <c r="AB479" s="6" t="str">
        <f>IFERROR(VLOOKUP(D:D,[1]Габариты!$A:$D,4,0),"")</f>
        <v>ТУМБЫ под ТВ</v>
      </c>
      <c r="AC479" s="39">
        <f t="shared" ref="AC479:AC545" si="93">D479</f>
        <v>2697</v>
      </c>
      <c r="AD479" s="13" t="str">
        <f t="shared" si="87"/>
        <v>FBS</v>
      </c>
    </row>
    <row r="480" spans="1:30" s="6" customFormat="1" ht="20.100000000000001" customHeight="1" outlineLevel="1" x14ac:dyDescent="0.25">
      <c r="A480" s="666" t="s">
        <v>8381</v>
      </c>
      <c r="B480" s="412"/>
      <c r="C480" s="13" t="s">
        <v>2581</v>
      </c>
      <c r="D480" s="414" t="s">
        <v>8380</v>
      </c>
      <c r="E480" s="4">
        <v>32</v>
      </c>
      <c r="F480" s="422" t="s">
        <v>8400</v>
      </c>
      <c r="G480" s="417"/>
      <c r="H480" s="415"/>
      <c r="I480" s="415"/>
      <c r="J480" s="415"/>
      <c r="K480" s="416"/>
      <c r="L480" s="417"/>
      <c r="M480" s="417"/>
      <c r="N480" s="415"/>
      <c r="O480" s="415"/>
      <c r="P480" s="415"/>
      <c r="Q480" s="804"/>
      <c r="R480" s="804"/>
      <c r="S480" s="415"/>
      <c r="T480" s="415"/>
      <c r="U480" s="415"/>
      <c r="V480" s="415"/>
      <c r="W480" s="415"/>
      <c r="X480" s="415"/>
      <c r="Y480" s="415"/>
      <c r="Z480" s="35"/>
      <c r="AA480" s="1" t="str">
        <f>IFERROR(VLOOKUP(D:D,[1]Габариты!$A:$I,9,0),"")</f>
        <v>Основной ассортимент</v>
      </c>
      <c r="AB480" s="6" t="str">
        <f>IFERROR(VLOOKUP(D:D,[1]Габариты!$A:$D,4,0),"")</f>
        <v>ТУМБЫ под ТВ</v>
      </c>
      <c r="AC480" s="39" t="str">
        <f t="shared" si="93"/>
        <v>2696.09/01</v>
      </c>
      <c r="AD480" s="13" t="str">
        <f t="shared" ref="AD480" si="94">C480</f>
        <v>FBS</v>
      </c>
    </row>
    <row r="481" spans="1:30" s="6" customFormat="1" ht="20.100000000000001" customHeight="1" outlineLevel="1" x14ac:dyDescent="0.25">
      <c r="A481" s="665" t="s">
        <v>93</v>
      </c>
      <c r="B481" s="2"/>
      <c r="C481" s="13" t="s">
        <v>2581</v>
      </c>
      <c r="D481" s="39">
        <v>2607</v>
      </c>
      <c r="E481" s="4">
        <v>28</v>
      </c>
      <c r="F481" s="101">
        <v>2607</v>
      </c>
      <c r="G481" s="57" t="s">
        <v>4829</v>
      </c>
      <c r="H481" s="4" t="s">
        <v>6915</v>
      </c>
      <c r="I481" s="4" t="s">
        <v>1332</v>
      </c>
      <c r="J481" s="4" t="s">
        <v>3726</v>
      </c>
      <c r="K481" s="54" t="s">
        <v>2462</v>
      </c>
      <c r="L481" s="57">
        <v>202082387</v>
      </c>
      <c r="M481" s="57">
        <v>202082387</v>
      </c>
      <c r="N481" s="4" t="s">
        <v>612</v>
      </c>
      <c r="O481" s="4">
        <v>266795866</v>
      </c>
      <c r="P481" s="4">
        <v>266795898</v>
      </c>
      <c r="Q481" s="767" t="s">
        <v>2953</v>
      </c>
      <c r="R481" s="767">
        <v>348343335</v>
      </c>
      <c r="S481" s="4">
        <v>348343357</v>
      </c>
      <c r="T481" s="4" t="s">
        <v>3854</v>
      </c>
      <c r="U481" s="4">
        <v>1379969326</v>
      </c>
      <c r="V481" s="4">
        <v>1379969326</v>
      </c>
      <c r="W481" s="4" t="s">
        <v>2462</v>
      </c>
      <c r="X481" s="4" t="s">
        <v>612</v>
      </c>
      <c r="Y481" s="4">
        <v>2607</v>
      </c>
      <c r="Z481" s="35"/>
      <c r="AA481" s="1" t="str">
        <f>IFERROR(VLOOKUP(D:D,[1]Габариты!$A:$I,9,0),"")</f>
        <v>Основной ассортимент</v>
      </c>
      <c r="AB481" s="6" t="str">
        <f>IFERROR(VLOOKUP(D:D,[1]Габариты!$A:$D,4,0),"")</f>
        <v>ТУМБЫ под ТВ</v>
      </c>
      <c r="AC481" s="39">
        <f t="shared" si="93"/>
        <v>2607</v>
      </c>
      <c r="AD481" s="13" t="str">
        <f t="shared" si="87"/>
        <v>FBS</v>
      </c>
    </row>
    <row r="482" spans="1:30" s="6" customFormat="1" ht="20.100000000000001" customHeight="1" outlineLevel="1" x14ac:dyDescent="0.25">
      <c r="A482" s="635" t="s">
        <v>3130</v>
      </c>
      <c r="B482" s="29"/>
      <c r="C482" s="13" t="s">
        <v>2581</v>
      </c>
      <c r="D482" s="40">
        <v>3610</v>
      </c>
      <c r="E482" s="4">
        <v>30</v>
      </c>
      <c r="F482" s="101">
        <v>3610</v>
      </c>
      <c r="G482" s="57"/>
      <c r="H482" s="4" t="s">
        <v>6925</v>
      </c>
      <c r="I482" s="4" t="s">
        <v>3699</v>
      </c>
      <c r="J482" s="4" t="s">
        <v>3744</v>
      </c>
      <c r="K482" s="54"/>
      <c r="L482" s="57"/>
      <c r="M482" s="57"/>
      <c r="N482" s="4" t="s">
        <v>3228</v>
      </c>
      <c r="O482" s="4">
        <v>994107727</v>
      </c>
      <c r="P482" s="4">
        <v>994107728</v>
      </c>
      <c r="Q482" s="767"/>
      <c r="R482" s="767"/>
      <c r="S482" s="4"/>
      <c r="T482" s="4" t="s">
        <v>3855</v>
      </c>
      <c r="U482" s="4">
        <v>1379987276</v>
      </c>
      <c r="V482" s="4">
        <v>1379987276</v>
      </c>
      <c r="W482" s="4"/>
      <c r="X482" s="4" t="s">
        <v>3228</v>
      </c>
      <c r="Y482" s="4" t="s">
        <v>4066</v>
      </c>
      <c r="Z482" s="35"/>
      <c r="AA482" s="1" t="str">
        <f>IFERROR(VLOOKUP(D:D,[1]Габариты!$A:$I,9,0),"")</f>
        <v>Основной ассортимент</v>
      </c>
      <c r="AB482" s="6" t="str">
        <f>IFERROR(VLOOKUP(D:D,[1]Габариты!$A:$D,4,0),"")</f>
        <v>ТУМБЫ под ТВ</v>
      </c>
      <c r="AC482" s="39">
        <f t="shared" si="93"/>
        <v>3610</v>
      </c>
      <c r="AD482" s="13" t="str">
        <f t="shared" si="87"/>
        <v>FBS</v>
      </c>
    </row>
    <row r="483" spans="1:30" s="6" customFormat="1" ht="20.100000000000001" customHeight="1" outlineLevel="1" x14ac:dyDescent="0.25">
      <c r="A483" s="631" t="s">
        <v>1580</v>
      </c>
      <c r="B483" s="29"/>
      <c r="C483" s="13" t="s">
        <v>2581</v>
      </c>
      <c r="D483" s="40">
        <v>3570</v>
      </c>
      <c r="E483" s="4">
        <v>20</v>
      </c>
      <c r="F483" s="101">
        <v>3570</v>
      </c>
      <c r="G483" s="57"/>
      <c r="H483" s="4" t="s">
        <v>6926</v>
      </c>
      <c r="I483" s="4" t="s">
        <v>3698</v>
      </c>
      <c r="J483" s="4" t="s">
        <v>3704</v>
      </c>
      <c r="K483" s="54" t="s">
        <v>8316</v>
      </c>
      <c r="L483" s="57">
        <v>1852564010</v>
      </c>
      <c r="M483" s="57">
        <v>1852564010</v>
      </c>
      <c r="N483" s="4" t="s">
        <v>1648</v>
      </c>
      <c r="O483" s="4">
        <v>765305493</v>
      </c>
      <c r="P483" s="4">
        <v>765305494</v>
      </c>
      <c r="Q483" s="767"/>
      <c r="R483" s="767"/>
      <c r="S483" s="4"/>
      <c r="T483" s="4" t="s">
        <v>3716</v>
      </c>
      <c r="U483" s="4">
        <v>1177834542</v>
      </c>
      <c r="V483" s="4">
        <v>1177834542</v>
      </c>
      <c r="W483" s="4"/>
      <c r="X483" s="4" t="s">
        <v>1648</v>
      </c>
      <c r="Y483" s="4">
        <v>3570</v>
      </c>
      <c r="Z483" s="35"/>
      <c r="AA483" s="1" t="str">
        <f>IFERROR(VLOOKUP(D:D,[1]Габариты!$A:$I,9,0),"")</f>
        <v>Основной ассортимент</v>
      </c>
      <c r="AB483" s="6" t="str">
        <f>IFERROR(VLOOKUP(D:D,[1]Габариты!$A:$D,4,0),"")</f>
        <v>ТУМБЫ под ТВ</v>
      </c>
      <c r="AC483" s="39">
        <f t="shared" si="93"/>
        <v>3570</v>
      </c>
      <c r="AD483" s="13" t="str">
        <f t="shared" si="87"/>
        <v>FBS</v>
      </c>
    </row>
    <row r="484" spans="1:30" s="6" customFormat="1" ht="20.100000000000001" customHeight="1" outlineLevel="1" x14ac:dyDescent="0.25">
      <c r="A484" s="631" t="s">
        <v>1581</v>
      </c>
      <c r="B484" s="29"/>
      <c r="C484" s="13" t="s">
        <v>2581</v>
      </c>
      <c r="D484" s="40">
        <v>3571</v>
      </c>
      <c r="E484" s="4">
        <v>20</v>
      </c>
      <c r="F484" s="101">
        <v>3571</v>
      </c>
      <c r="G484" s="57"/>
      <c r="H484" s="4" t="s">
        <v>6927</v>
      </c>
      <c r="I484" s="4" t="s">
        <v>3730</v>
      </c>
      <c r="J484" s="4" t="s">
        <v>3705</v>
      </c>
      <c r="K484" s="54"/>
      <c r="L484" s="57"/>
      <c r="M484" s="57"/>
      <c r="N484" s="4" t="s">
        <v>1649</v>
      </c>
      <c r="O484" s="4">
        <v>765421989</v>
      </c>
      <c r="P484" s="4">
        <v>765421990</v>
      </c>
      <c r="Q484" s="767"/>
      <c r="R484" s="767"/>
      <c r="S484" s="4"/>
      <c r="T484" s="4" t="s">
        <v>3717</v>
      </c>
      <c r="U484" s="4">
        <v>1177869538</v>
      </c>
      <c r="V484" s="4">
        <v>1177869539</v>
      </c>
      <c r="W484" s="4"/>
      <c r="X484" s="4" t="s">
        <v>1649</v>
      </c>
      <c r="Y484" s="4">
        <v>3571</v>
      </c>
      <c r="Z484" s="35"/>
      <c r="AA484" s="1" t="str">
        <f>IFERROR(VLOOKUP(D:D,[1]Габариты!$A:$I,9,0),"")</f>
        <v>Основной ассортимент</v>
      </c>
      <c r="AB484" s="6" t="str">
        <f>IFERROR(VLOOKUP(D:D,[1]Габариты!$A:$D,4,0),"")</f>
        <v>ТУМБЫ под ТВ</v>
      </c>
      <c r="AC484" s="39">
        <f t="shared" si="93"/>
        <v>3571</v>
      </c>
      <c r="AD484" s="13" t="str">
        <f t="shared" si="87"/>
        <v>FBS</v>
      </c>
    </row>
    <row r="485" spans="1:30" s="6" customFormat="1" ht="20.100000000000001" customHeight="1" outlineLevel="1" x14ac:dyDescent="0.25">
      <c r="A485" s="631" t="s">
        <v>3807</v>
      </c>
      <c r="B485" s="29"/>
      <c r="C485" s="13" t="s">
        <v>2581</v>
      </c>
      <c r="D485" s="40">
        <v>3723</v>
      </c>
      <c r="E485" s="4">
        <v>20</v>
      </c>
      <c r="F485" s="101">
        <v>3723</v>
      </c>
      <c r="G485" s="57"/>
      <c r="H485" s="4" t="s">
        <v>6928</v>
      </c>
      <c r="I485" s="4"/>
      <c r="J485" s="4" t="s">
        <v>3811</v>
      </c>
      <c r="K485" s="54"/>
      <c r="L485" s="57"/>
      <c r="M485" s="57"/>
      <c r="N485" s="4" t="s">
        <v>3809</v>
      </c>
      <c r="O485" s="4">
        <v>1324404871</v>
      </c>
      <c r="P485" s="4">
        <v>1324404871</v>
      </c>
      <c r="Q485" s="767"/>
      <c r="R485" s="767"/>
      <c r="S485" s="4"/>
      <c r="T485" s="4" t="s">
        <v>4224</v>
      </c>
      <c r="U485" s="4">
        <v>1596746306</v>
      </c>
      <c r="V485" s="4">
        <v>1596746306</v>
      </c>
      <c r="W485" s="4"/>
      <c r="X485" s="4" t="s">
        <v>3809</v>
      </c>
      <c r="Y485" s="4" t="s">
        <v>4066</v>
      </c>
      <c r="Z485" s="35"/>
      <c r="AA485" s="1" t="str">
        <f>IFERROR(VLOOKUP(D:D,[1]Габариты!$A:$I,9,0),"")</f>
        <v>Основной ассортимент</v>
      </c>
      <c r="AB485" s="6" t="str">
        <f>IFERROR(VLOOKUP(D:D,[1]Габариты!$A:$D,4,0),"")</f>
        <v>ТУМБЫ под ТВ</v>
      </c>
      <c r="AC485" s="39">
        <f t="shared" si="93"/>
        <v>3723</v>
      </c>
      <c r="AD485" s="13" t="str">
        <f t="shared" si="87"/>
        <v>FBS</v>
      </c>
    </row>
    <row r="486" spans="1:30" s="6" customFormat="1" ht="20.100000000000001" customHeight="1" outlineLevel="1" x14ac:dyDescent="0.25">
      <c r="A486" s="631" t="s">
        <v>3808</v>
      </c>
      <c r="B486" s="29"/>
      <c r="C486" s="13" t="s">
        <v>2581</v>
      </c>
      <c r="D486" s="40">
        <v>3722</v>
      </c>
      <c r="E486" s="4">
        <v>32</v>
      </c>
      <c r="F486" s="101">
        <v>3722</v>
      </c>
      <c r="G486" s="57"/>
      <c r="H486" s="4" t="s">
        <v>6929</v>
      </c>
      <c r="I486" s="4"/>
      <c r="J486" s="4"/>
      <c r="K486" s="54"/>
      <c r="L486" s="57"/>
      <c r="M486" s="57"/>
      <c r="N486" s="4" t="s">
        <v>3812</v>
      </c>
      <c r="O486" s="4">
        <v>1330658727</v>
      </c>
      <c r="P486" s="4">
        <v>1330658727</v>
      </c>
      <c r="Q486" s="767"/>
      <c r="R486" s="767"/>
      <c r="S486" s="4"/>
      <c r="T486" s="4" t="s">
        <v>4225</v>
      </c>
      <c r="U486" s="4">
        <v>1596755250</v>
      </c>
      <c r="V486" s="4">
        <v>1596755250</v>
      </c>
      <c r="W486" s="4"/>
      <c r="X486" s="4" t="s">
        <v>3812</v>
      </c>
      <c r="Y486" s="4">
        <v>3722</v>
      </c>
      <c r="Z486" s="35"/>
      <c r="AA486" s="1" t="str">
        <f>IFERROR(VLOOKUP(D:D,[1]Габариты!$A:$I,9,0),"")</f>
        <v>Вакансия</v>
      </c>
      <c r="AB486" s="6" t="str">
        <f>IFERROR(VLOOKUP(D:D,[1]Габариты!$A:$D,4,0),"")</f>
        <v>ТУМБЫ под ТВ</v>
      </c>
      <c r="AC486" s="39">
        <f t="shared" si="93"/>
        <v>3722</v>
      </c>
      <c r="AD486" s="13" t="str">
        <f t="shared" si="87"/>
        <v>FBS</v>
      </c>
    </row>
    <row r="487" spans="1:30" s="6" customFormat="1" ht="20.100000000000001" customHeight="1" outlineLevel="1" x14ac:dyDescent="0.25">
      <c r="A487" s="631" t="s">
        <v>3997</v>
      </c>
      <c r="B487" s="29"/>
      <c r="C487" s="13" t="s">
        <v>2582</v>
      </c>
      <c r="D487" s="40">
        <v>3757</v>
      </c>
      <c r="E487" s="4">
        <v>24</v>
      </c>
      <c r="F487" s="101">
        <v>3757</v>
      </c>
      <c r="G487" s="57"/>
      <c r="H487" s="4" t="s">
        <v>6930</v>
      </c>
      <c r="I487" s="4"/>
      <c r="J487" s="4" t="s">
        <v>4204</v>
      </c>
      <c r="K487" s="54"/>
      <c r="L487" s="57"/>
      <c r="M487" s="57"/>
      <c r="N487" s="4" t="s">
        <v>4022</v>
      </c>
      <c r="O487" s="4">
        <v>1482934699</v>
      </c>
      <c r="P487" s="4">
        <v>1482934699</v>
      </c>
      <c r="Q487" s="767"/>
      <c r="R487" s="767"/>
      <c r="S487" s="4"/>
      <c r="T487" s="4" t="s">
        <v>4222</v>
      </c>
      <c r="U487" s="4">
        <v>1596594257</v>
      </c>
      <c r="V487" s="4">
        <v>1596594257</v>
      </c>
      <c r="W487" s="4"/>
      <c r="X487" s="4" t="s">
        <v>4022</v>
      </c>
      <c r="Y487" s="4" t="s">
        <v>4066</v>
      </c>
      <c r="Z487" s="35"/>
      <c r="AA487" s="1" t="str">
        <f>IFERROR(VLOOKUP(D:D,[1]Габариты!$A:$I,9,0),"")</f>
        <v>Основной ассортимент</v>
      </c>
      <c r="AB487" s="6" t="str">
        <f>IFERROR(VLOOKUP(D:D,[1]Габариты!$A:$D,4,0),"")</f>
        <v>ТУМБЫ под ТВ</v>
      </c>
      <c r="AC487" s="39">
        <f t="shared" si="93"/>
        <v>3757</v>
      </c>
      <c r="AD487" s="13" t="str">
        <f t="shared" si="87"/>
        <v>FBO</v>
      </c>
    </row>
    <row r="488" spans="1:30" s="6" customFormat="1" ht="20.100000000000001" customHeight="1" outlineLevel="1" x14ac:dyDescent="0.25">
      <c r="A488" s="631" t="s">
        <v>4018</v>
      </c>
      <c r="B488" s="29"/>
      <c r="C488" s="13" t="s">
        <v>2582</v>
      </c>
      <c r="D488" s="40" t="s">
        <v>4017</v>
      </c>
      <c r="E488" s="4">
        <v>24</v>
      </c>
      <c r="F488" s="101" t="s">
        <v>6241</v>
      </c>
      <c r="G488" s="57"/>
      <c r="H488" s="4" t="s">
        <v>6931</v>
      </c>
      <c r="I488" s="4"/>
      <c r="J488" s="4" t="s">
        <v>4205</v>
      </c>
      <c r="K488" s="54"/>
      <c r="L488" s="57"/>
      <c r="M488" s="57"/>
      <c r="N488" s="4" t="s">
        <v>4038</v>
      </c>
      <c r="O488" s="4">
        <v>1489084497</v>
      </c>
      <c r="P488" s="4">
        <v>1489084497</v>
      </c>
      <c r="Q488" s="767"/>
      <c r="R488" s="767"/>
      <c r="S488" s="4"/>
      <c r="T488" s="4" t="s">
        <v>4223</v>
      </c>
      <c r="U488" s="4">
        <v>1596599516</v>
      </c>
      <c r="V488" s="4">
        <v>1596599516</v>
      </c>
      <c r="W488" s="4"/>
      <c r="X488" s="4" t="s">
        <v>4038</v>
      </c>
      <c r="Y488" s="4" t="s">
        <v>4066</v>
      </c>
      <c r="Z488" s="35"/>
      <c r="AA488" s="1" t="str">
        <f>IFERROR(VLOOKUP(D:D,[1]Габариты!$A:$I,9,0),"")</f>
        <v>Основной ассортимент</v>
      </c>
      <c r="AB488" s="6" t="str">
        <f>IFERROR(VLOOKUP(D:D,[1]Габариты!$A:$D,4,0),"")</f>
        <v>ТУМБЫ под ТВ</v>
      </c>
      <c r="AC488" s="39" t="str">
        <f t="shared" si="93"/>
        <v>3757.05.09/01</v>
      </c>
      <c r="AD488" s="13" t="str">
        <f t="shared" si="87"/>
        <v>FBO</v>
      </c>
    </row>
    <row r="489" spans="1:30" s="6" customFormat="1" ht="20.100000000000001" customHeight="1" outlineLevel="1" x14ac:dyDescent="0.25">
      <c r="A489" s="631" t="s">
        <v>1350</v>
      </c>
      <c r="B489" s="29"/>
      <c r="C489" s="13" t="s">
        <v>2581</v>
      </c>
      <c r="D489" s="40" t="s">
        <v>1479</v>
      </c>
      <c r="E489" s="4">
        <v>16</v>
      </c>
      <c r="F489" s="101" t="s">
        <v>4722</v>
      </c>
      <c r="G489" s="57" t="s">
        <v>5207</v>
      </c>
      <c r="H489" s="4" t="s">
        <v>6924</v>
      </c>
      <c r="I489" s="4"/>
      <c r="J489" s="4" t="s">
        <v>3745</v>
      </c>
      <c r="K489" s="54" t="s">
        <v>4722</v>
      </c>
      <c r="L489" s="57">
        <v>1340538431</v>
      </c>
      <c r="M489" s="57">
        <v>1340538431</v>
      </c>
      <c r="N489" s="4" t="s">
        <v>1810</v>
      </c>
      <c r="O489" s="4">
        <v>678086202</v>
      </c>
      <c r="P489" s="4">
        <v>678086204</v>
      </c>
      <c r="Q489" s="767"/>
      <c r="R489" s="767"/>
      <c r="S489" s="4"/>
      <c r="T489" s="4" t="s">
        <v>3824</v>
      </c>
      <c r="U489" s="4">
        <v>1342201677</v>
      </c>
      <c r="V489" s="4">
        <v>1342201677</v>
      </c>
      <c r="W489" s="4"/>
      <c r="X489" s="4" t="s">
        <v>1810</v>
      </c>
      <c r="Y489" s="4" t="s">
        <v>1479</v>
      </c>
      <c r="Z489" s="35"/>
      <c r="AA489" s="1" t="str">
        <f>IFERROR(VLOOKUP(D:D,[1]Габариты!$A:$I,9,0),"")</f>
        <v>Основной ассортимент</v>
      </c>
      <c r="AB489" s="6" t="str">
        <f>IFERROR(VLOOKUP(D:D,[1]Габариты!$A:$D,4,0),"")</f>
        <v>ТУМБЫ под ТВ</v>
      </c>
      <c r="AC489" s="39" t="str">
        <f t="shared" si="93"/>
        <v>MK1310101</v>
      </c>
      <c r="AD489" s="13" t="str">
        <f t="shared" si="87"/>
        <v>FBS</v>
      </c>
    </row>
    <row r="490" spans="1:30" s="6" customFormat="1" ht="20.100000000000001" customHeight="1" outlineLevel="1" x14ac:dyDescent="0.25">
      <c r="A490" s="631" t="s">
        <v>8357</v>
      </c>
      <c r="B490" s="29"/>
      <c r="C490" s="13" t="s">
        <v>2581</v>
      </c>
      <c r="D490" s="404" t="s">
        <v>5809</v>
      </c>
      <c r="E490" s="4">
        <v>16</v>
      </c>
      <c r="F490" s="398" t="s">
        <v>5776</v>
      </c>
      <c r="G490" s="399" t="s">
        <v>5856</v>
      </c>
      <c r="H490" s="397" t="s">
        <v>8369</v>
      </c>
      <c r="I490" s="397"/>
      <c r="J490" s="397"/>
      <c r="K490" s="398" t="s">
        <v>5776</v>
      </c>
      <c r="L490" s="399">
        <v>1503295216</v>
      </c>
      <c r="M490" s="399">
        <v>1503295216</v>
      </c>
      <c r="N490" s="397" t="s">
        <v>8611</v>
      </c>
      <c r="O490" s="397">
        <v>1993658155</v>
      </c>
      <c r="P490" s="397">
        <v>1993658155</v>
      </c>
      <c r="Q490" s="800"/>
      <c r="R490" s="800"/>
      <c r="S490" s="397"/>
      <c r="T490" s="397"/>
      <c r="U490" s="397"/>
      <c r="V490" s="397"/>
      <c r="W490" s="397"/>
      <c r="X490" s="397"/>
      <c r="Y490" s="397"/>
      <c r="Z490" s="35"/>
      <c r="AA490" s="1" t="str">
        <f>IFERROR(VLOOKUP(D:D,[1]Габариты!$A:$I,9,0),"")</f>
        <v>Основной ассортимент</v>
      </c>
      <c r="AB490" s="6" t="str">
        <f>IFERROR(VLOOKUP(D:D,[1]Габариты!$A:$D,4,0),"")</f>
        <v>ТУМБЫ под ТВ</v>
      </c>
      <c r="AC490" s="39" t="str">
        <f t="shared" si="93"/>
        <v>MK1310201</v>
      </c>
      <c r="AD490" s="13" t="str">
        <f t="shared" ref="AD490" si="95">C490</f>
        <v>FBS</v>
      </c>
    </row>
    <row r="491" spans="1:30" s="6" customFormat="1" ht="20.100000000000001" customHeight="1" x14ac:dyDescent="0.25">
      <c r="A491" s="631" t="s">
        <v>5882</v>
      </c>
      <c r="B491" s="76"/>
      <c r="C491" s="13" t="s">
        <v>2582</v>
      </c>
      <c r="D491" s="404" t="s">
        <v>5811</v>
      </c>
      <c r="E491" s="4">
        <v>22</v>
      </c>
      <c r="F491" s="101" t="s">
        <v>5777</v>
      </c>
      <c r="G491" s="75" t="s">
        <v>5858</v>
      </c>
      <c r="H491" s="4" t="s">
        <v>5858</v>
      </c>
      <c r="I491" s="73"/>
      <c r="J491" s="73"/>
      <c r="K491" s="54" t="s">
        <v>5777</v>
      </c>
      <c r="L491" s="57">
        <v>1361592295</v>
      </c>
      <c r="M491" s="57">
        <v>1361592295</v>
      </c>
      <c r="N491" s="771" t="s">
        <v>8424</v>
      </c>
      <c r="O491" s="73">
        <v>1906599462</v>
      </c>
      <c r="P491" s="73">
        <v>1906599462</v>
      </c>
      <c r="Q491" s="73"/>
      <c r="R491" s="73"/>
      <c r="S491" s="73"/>
      <c r="T491" s="73"/>
      <c r="U491" s="73"/>
      <c r="V491" s="73"/>
      <c r="W491" s="73"/>
      <c r="X491" s="73"/>
      <c r="Y491" s="73"/>
      <c r="Z491" s="67"/>
      <c r="AA491" s="1" t="str">
        <f>IFERROR(VLOOKUP(D:D,[1]Габариты!$A:$I,9,0),"")</f>
        <v>Основной ассортимент</v>
      </c>
      <c r="AB491" s="6" t="str">
        <f>IFERROR(VLOOKUP(D:D,[1]Габариты!$A:$D,4,0),"")</f>
        <v>ТУМБЫ под ТВ</v>
      </c>
      <c r="AC491" s="39" t="str">
        <f t="shared" si="93"/>
        <v>MK1940101</v>
      </c>
      <c r="AD491" s="13" t="str">
        <f t="shared" ref="AD491:AD492" si="96">C491</f>
        <v>FBO</v>
      </c>
    </row>
    <row r="492" spans="1:30" s="6" customFormat="1" ht="20.100000000000001" customHeight="1" x14ac:dyDescent="0.25">
      <c r="A492" s="631" t="s">
        <v>5881</v>
      </c>
      <c r="B492" s="76"/>
      <c r="C492" s="13" t="s">
        <v>2582</v>
      </c>
      <c r="D492" s="404" t="s">
        <v>5810</v>
      </c>
      <c r="E492" s="4">
        <v>20</v>
      </c>
      <c r="F492" s="101" t="s">
        <v>7754</v>
      </c>
      <c r="G492" s="75" t="s">
        <v>5857</v>
      </c>
      <c r="H492" s="4" t="s">
        <v>5857</v>
      </c>
      <c r="I492" s="73"/>
      <c r="J492" s="73"/>
      <c r="K492" s="54" t="s">
        <v>7754</v>
      </c>
      <c r="L492" s="57">
        <v>1422195950</v>
      </c>
      <c r="M492" s="57">
        <v>1422195950</v>
      </c>
      <c r="N492" s="771" t="s">
        <v>8431</v>
      </c>
      <c r="O492" s="73">
        <v>1911861932</v>
      </c>
      <c r="P492" s="73">
        <v>1911861932</v>
      </c>
      <c r="Q492" s="73"/>
      <c r="R492" s="73"/>
      <c r="S492" s="73"/>
      <c r="T492" s="73"/>
      <c r="U492" s="73"/>
      <c r="V492" s="73"/>
      <c r="W492" s="73"/>
      <c r="X492" s="73" t="s">
        <v>8431</v>
      </c>
      <c r="Y492" s="73"/>
      <c r="Z492" s="67"/>
      <c r="AA492" s="1" t="str">
        <f>IFERROR(VLOOKUP(D:D,[1]Габариты!$A:$I,9,0),"")</f>
        <v>Основной ассортимент</v>
      </c>
      <c r="AB492" s="6" t="str">
        <f>IFERROR(VLOOKUP(D:D,[1]Габариты!$A:$D,4,0),"")</f>
        <v>ТУМБЫ под ТВ</v>
      </c>
      <c r="AC492" s="39" t="str">
        <f t="shared" si="93"/>
        <v>MK2290101</v>
      </c>
      <c r="AD492" s="13" t="str">
        <f t="shared" si="96"/>
        <v>FBO</v>
      </c>
    </row>
    <row r="493" spans="1:30" s="6" customFormat="1" ht="20.100000000000001" customHeight="1" outlineLevel="1" x14ac:dyDescent="0.25">
      <c r="A493" s="690" t="s">
        <v>8712</v>
      </c>
      <c r="B493" s="29"/>
      <c r="C493" s="418" t="s">
        <v>2582</v>
      </c>
      <c r="D493" s="584" t="s">
        <v>8710</v>
      </c>
      <c r="E493" s="415">
        <v>20</v>
      </c>
      <c r="F493" s="586"/>
      <c r="G493" s="587"/>
      <c r="H493" s="585" t="s">
        <v>8714</v>
      </c>
      <c r="I493" s="585"/>
      <c r="J493" s="585"/>
      <c r="K493" s="586"/>
      <c r="L493" s="587"/>
      <c r="M493" s="587"/>
      <c r="N493" s="585" t="s">
        <v>8719</v>
      </c>
      <c r="O493" s="585">
        <v>2261758764</v>
      </c>
      <c r="P493" s="585">
        <v>2261758764</v>
      </c>
      <c r="Q493" s="837"/>
      <c r="R493" s="837"/>
      <c r="S493" s="585"/>
      <c r="T493" s="585"/>
      <c r="U493" s="585"/>
      <c r="V493" s="585"/>
      <c r="W493" s="585"/>
      <c r="X493" s="585" t="s">
        <v>8719</v>
      </c>
      <c r="Y493" s="585"/>
      <c r="Z493" s="35"/>
      <c r="AA493" s="1" t="str">
        <f>IFERROR(VLOOKUP(D:D,[1]Габариты!$A:$I,9,0),"")</f>
        <v>Основной ассортимент</v>
      </c>
      <c r="AB493" s="6" t="str">
        <f>IFERROR(VLOOKUP(D:D,[1]Габариты!$A:$D,4,0),"")</f>
        <v>ТУМБЫ под ТВ</v>
      </c>
      <c r="AC493" s="39" t="str">
        <f>D493</f>
        <v>19005.05./01</v>
      </c>
      <c r="AD493" s="13" t="str">
        <f>C493</f>
        <v>FBO</v>
      </c>
    </row>
    <row r="494" spans="1:30" s="6" customFormat="1" ht="20.100000000000001" customHeight="1" outlineLevel="1" x14ac:dyDescent="0.25">
      <c r="A494" s="690" t="s">
        <v>8711</v>
      </c>
      <c r="B494" s="29"/>
      <c r="C494" s="418" t="s">
        <v>2582</v>
      </c>
      <c r="D494" s="584" t="s">
        <v>8709</v>
      </c>
      <c r="E494" s="415">
        <v>20</v>
      </c>
      <c r="F494" s="586"/>
      <c r="G494" s="587"/>
      <c r="H494" s="585" t="s">
        <v>8713</v>
      </c>
      <c r="I494" s="585"/>
      <c r="J494" s="585"/>
      <c r="K494" s="586"/>
      <c r="L494" s="587"/>
      <c r="M494" s="587"/>
      <c r="N494" s="585" t="s">
        <v>8718</v>
      </c>
      <c r="O494" s="585">
        <v>2261638093</v>
      </c>
      <c r="P494" s="585">
        <v>2261638093</v>
      </c>
      <c r="Q494" s="837"/>
      <c r="R494" s="837"/>
      <c r="S494" s="585"/>
      <c r="T494" s="585"/>
      <c r="U494" s="585"/>
      <c r="V494" s="585"/>
      <c r="W494" s="585"/>
      <c r="X494" s="585" t="s">
        <v>8718</v>
      </c>
      <c r="Y494" s="585"/>
      <c r="Z494" s="35"/>
      <c r="AA494" s="1" t="str">
        <f>IFERROR(VLOOKUP(D:D,[1]Габариты!$A:$I,9,0),"")</f>
        <v>Основной ассортимент</v>
      </c>
      <c r="AB494" s="6" t="str">
        <f>IFERROR(VLOOKUP(D:D,[1]Габариты!$A:$D,4,0),"")</f>
        <v>ТУМБЫ под ТВ</v>
      </c>
      <c r="AC494" s="39" t="str">
        <f t="shared" ref="AC494" si="97">D494</f>
        <v>19005.06/01</v>
      </c>
      <c r="AD494" s="13" t="str">
        <f t="shared" ref="AD494" si="98">C494</f>
        <v>FBO</v>
      </c>
    </row>
    <row r="495" spans="1:30" s="6" customFormat="1" ht="20.100000000000001" customHeight="1" outlineLevel="1" x14ac:dyDescent="0.25">
      <c r="A495" s="646" t="s">
        <v>8667</v>
      </c>
      <c r="B495" s="29"/>
      <c r="C495" s="418" t="s">
        <v>2582</v>
      </c>
      <c r="D495" s="556" t="s">
        <v>8664</v>
      </c>
      <c r="E495" s="415">
        <v>20</v>
      </c>
      <c r="F495" s="558"/>
      <c r="G495" s="559"/>
      <c r="H495" s="557" t="s">
        <v>8670</v>
      </c>
      <c r="I495" s="557"/>
      <c r="J495" s="557"/>
      <c r="K495" s="558"/>
      <c r="L495" s="559"/>
      <c r="M495" s="559"/>
      <c r="N495" s="557" t="s">
        <v>8690</v>
      </c>
      <c r="O495" s="557">
        <v>2193812117</v>
      </c>
      <c r="P495" s="557">
        <v>2193812117</v>
      </c>
      <c r="Q495" s="786"/>
      <c r="R495" s="786"/>
      <c r="S495" s="557"/>
      <c r="T495" s="557"/>
      <c r="U495" s="557"/>
      <c r="V495" s="557"/>
      <c r="W495" s="557"/>
      <c r="X495" s="557" t="s">
        <v>8690</v>
      </c>
      <c r="Y495" s="557"/>
      <c r="Z495" s="35"/>
      <c r="AA495" s="1" t="str">
        <f>IFERROR(VLOOKUP(D:D,[1]Габариты!$A:$I,9,0),"")</f>
        <v>Основной ассортимент</v>
      </c>
      <c r="AB495" s="6" t="str">
        <f>IFERROR(VLOOKUP(D:D,[1]Габариты!$A:$D,4,0),"")</f>
        <v>ТУМБЫ под ТВ</v>
      </c>
      <c r="AC495" s="39" t="str">
        <f>D495</f>
        <v>19005.09/01</v>
      </c>
      <c r="AD495" s="13" t="str">
        <f>C495</f>
        <v>FBO</v>
      </c>
    </row>
    <row r="496" spans="1:30" s="6" customFormat="1" ht="20.100000000000001" customHeight="1" outlineLevel="1" x14ac:dyDescent="0.25">
      <c r="A496" s="691" t="s">
        <v>8394</v>
      </c>
      <c r="B496" s="29"/>
      <c r="C496" s="418" t="s">
        <v>2582</v>
      </c>
      <c r="D496" s="421" t="s">
        <v>8393</v>
      </c>
      <c r="E496" s="415">
        <v>20</v>
      </c>
      <c r="F496" s="416"/>
      <c r="G496" s="417"/>
      <c r="H496" s="415" t="s">
        <v>8418</v>
      </c>
      <c r="I496" s="415"/>
      <c r="J496" s="415"/>
      <c r="K496" s="416"/>
      <c r="L496" s="417"/>
      <c r="M496" s="417"/>
      <c r="N496" s="415" t="s">
        <v>8419</v>
      </c>
      <c r="O496" s="415">
        <v>1911374131</v>
      </c>
      <c r="P496" s="415">
        <v>1911374131</v>
      </c>
      <c r="Q496" s="804"/>
      <c r="R496" s="804"/>
      <c r="S496" s="415"/>
      <c r="T496" s="415"/>
      <c r="U496" s="415"/>
      <c r="V496" s="415"/>
      <c r="W496" s="415"/>
      <c r="X496" s="415" t="s">
        <v>8419</v>
      </c>
      <c r="Y496" s="415"/>
      <c r="Z496" s="35"/>
      <c r="AA496" s="1" t="str">
        <f>IFERROR(VLOOKUP(D:D,[1]Габариты!$A:$I,9,0),"")</f>
        <v>Основной ассортимент</v>
      </c>
      <c r="AB496" s="6" t="str">
        <f>IFERROR(VLOOKUP(D:D,[1]Габариты!$A:$D,4,0),"")</f>
        <v>ТУМБЫ под ТВ</v>
      </c>
      <c r="AC496" s="39" t="str">
        <f>D496</f>
        <v>19005.17/01</v>
      </c>
      <c r="AD496" s="13" t="str">
        <f t="shared" ref="AD496" si="99">C496</f>
        <v>FBO</v>
      </c>
    </row>
    <row r="497" spans="1:30" s="6" customFormat="1" ht="20.100000000000001" customHeight="1" outlineLevel="1" x14ac:dyDescent="0.25">
      <c r="A497" s="692" t="s">
        <v>8748</v>
      </c>
      <c r="B497" s="29"/>
      <c r="C497" s="418" t="s">
        <v>2582</v>
      </c>
      <c r="D497" s="556" t="s">
        <v>8791</v>
      </c>
      <c r="E497" s="415">
        <v>20</v>
      </c>
      <c r="F497" s="608"/>
      <c r="G497" s="609"/>
      <c r="H497" s="607" t="s">
        <v>8747</v>
      </c>
      <c r="I497" s="607"/>
      <c r="J497" s="607"/>
      <c r="K497" s="608"/>
      <c r="L497" s="609"/>
      <c r="M497" s="609"/>
      <c r="N497" s="607" t="s">
        <v>8794</v>
      </c>
      <c r="O497" s="607">
        <v>2353113774</v>
      </c>
      <c r="P497" s="607">
        <v>2353113774</v>
      </c>
      <c r="Q497" s="838"/>
      <c r="R497" s="838"/>
      <c r="S497" s="607"/>
      <c r="T497" s="607"/>
      <c r="U497" s="607"/>
      <c r="V497" s="607"/>
      <c r="W497" s="607"/>
      <c r="X497" s="607" t="s">
        <v>8794</v>
      </c>
      <c r="Y497" s="607"/>
      <c r="Z497" s="35"/>
      <c r="AA497" s="1" t="str">
        <f>IFERROR(VLOOKUP(D:D,[1]Габариты!$A:$I,9,0),"")</f>
        <v>Основной ассортимент</v>
      </c>
      <c r="AB497" s="6" t="str">
        <f>IFERROR(VLOOKUP(D:D,[1]Габариты!$A:$D,4,0),"")</f>
        <v>ТУМБЫ под ТВ</v>
      </c>
      <c r="AC497" s="39" t="str">
        <f t="shared" ref="AC497" si="100">D497</f>
        <v>19005.20/01</v>
      </c>
      <c r="AD497" s="13" t="str">
        <f t="shared" ref="AD497" si="101">C497</f>
        <v>FBO</v>
      </c>
    </row>
    <row r="498" spans="1:30" s="6" customFormat="1" ht="20.100000000000001" customHeight="1" outlineLevel="1" x14ac:dyDescent="0.25">
      <c r="A498" s="646" t="s">
        <v>8668</v>
      </c>
      <c r="B498" s="29"/>
      <c r="C498" s="418" t="s">
        <v>2582</v>
      </c>
      <c r="D498" s="556" t="s">
        <v>8665</v>
      </c>
      <c r="E498" s="415">
        <v>20</v>
      </c>
      <c r="F498" s="558"/>
      <c r="G498" s="559"/>
      <c r="H498" s="557" t="s">
        <v>8671</v>
      </c>
      <c r="I498" s="557"/>
      <c r="J498" s="557"/>
      <c r="K498" s="558"/>
      <c r="L498" s="559"/>
      <c r="M498" s="559"/>
      <c r="N498" s="557" t="s">
        <v>8688</v>
      </c>
      <c r="O498" s="557">
        <v>2193670320</v>
      </c>
      <c r="P498" s="557">
        <v>2193670320</v>
      </c>
      <c r="Q498" s="786"/>
      <c r="R498" s="786"/>
      <c r="S498" s="557"/>
      <c r="T498" s="557"/>
      <c r="U498" s="557"/>
      <c r="V498" s="557"/>
      <c r="W498" s="557"/>
      <c r="X498" s="557" t="s">
        <v>8688</v>
      </c>
      <c r="Y498" s="557"/>
      <c r="Z498" s="35"/>
      <c r="AA498" s="1" t="str">
        <f>IFERROR(VLOOKUP(D:D,[1]Габариты!$A:$I,9,0),"")</f>
        <v>Основной ассортимент</v>
      </c>
      <c r="AB498" s="6" t="str">
        <f>IFERROR(VLOOKUP(D:D,[1]Габариты!$A:$D,4,0),"")</f>
        <v>ТУМБЫ под ТВ</v>
      </c>
      <c r="AC498" s="39" t="str">
        <f t="shared" ref="AC498:AC499" si="102">D498</f>
        <v>19005.32/01</v>
      </c>
      <c r="AD498" s="13" t="str">
        <f t="shared" ref="AD498:AD499" si="103">C498</f>
        <v>FBO</v>
      </c>
    </row>
    <row r="499" spans="1:30" s="6" customFormat="1" ht="20.100000000000001" customHeight="1" outlineLevel="1" x14ac:dyDescent="0.25">
      <c r="A499" s="646" t="s">
        <v>8669</v>
      </c>
      <c r="B499" s="29"/>
      <c r="C499" s="418" t="s">
        <v>2582</v>
      </c>
      <c r="D499" s="556" t="s">
        <v>8666</v>
      </c>
      <c r="E499" s="415">
        <v>20</v>
      </c>
      <c r="F499" s="558"/>
      <c r="G499" s="559"/>
      <c r="H499" s="557" t="s">
        <v>8672</v>
      </c>
      <c r="I499" s="557"/>
      <c r="J499" s="557"/>
      <c r="K499" s="558"/>
      <c r="L499" s="559"/>
      <c r="M499" s="559"/>
      <c r="N499" s="557" t="s">
        <v>8689</v>
      </c>
      <c r="O499" s="557">
        <v>2193906589</v>
      </c>
      <c r="P499" s="557">
        <v>2193906589</v>
      </c>
      <c r="Q499" s="786"/>
      <c r="R499" s="786"/>
      <c r="S499" s="557"/>
      <c r="T499" s="557"/>
      <c r="U499" s="557"/>
      <c r="V499" s="557"/>
      <c r="W499" s="557"/>
      <c r="X499" s="557" t="s">
        <v>8689</v>
      </c>
      <c r="Y499" s="557"/>
      <c r="Z499" s="35"/>
      <c r="AA499" s="1" t="str">
        <f>IFERROR(VLOOKUP(D:D,[1]Габариты!$A:$I,9,0),"")</f>
        <v>Основной ассортимент</v>
      </c>
      <c r="AB499" s="6" t="str">
        <f>IFERROR(VLOOKUP(D:D,[1]Габариты!$A:$D,4,0),"")</f>
        <v>ТУМБЫ под ТВ</v>
      </c>
      <c r="AC499" s="39" t="str">
        <f t="shared" si="102"/>
        <v>19005.09.31/01</v>
      </c>
      <c r="AD499" s="13" t="str">
        <f t="shared" si="103"/>
        <v>FBO</v>
      </c>
    </row>
    <row r="500" spans="1:30" s="6" customFormat="1" ht="20.100000000000001" customHeight="1" outlineLevel="1" x14ac:dyDescent="0.25">
      <c r="A500" s="693" t="s">
        <v>8723</v>
      </c>
      <c r="B500" s="29"/>
      <c r="C500" s="418" t="s">
        <v>2582</v>
      </c>
      <c r="D500" s="591" t="s">
        <v>8722</v>
      </c>
      <c r="E500" s="415">
        <v>20</v>
      </c>
      <c r="F500" s="593"/>
      <c r="G500" s="594"/>
      <c r="H500" s="592" t="s">
        <v>8721</v>
      </c>
      <c r="I500" s="592"/>
      <c r="J500" s="592"/>
      <c r="K500" s="593"/>
      <c r="L500" s="594"/>
      <c r="M500" s="594"/>
      <c r="N500" s="592" t="s">
        <v>8792</v>
      </c>
      <c r="O500" s="592">
        <v>2343419266</v>
      </c>
      <c r="P500" s="592">
        <v>2343419266</v>
      </c>
      <c r="Q500" s="839"/>
      <c r="R500" s="839"/>
      <c r="S500" s="592"/>
      <c r="T500" s="592"/>
      <c r="U500" s="592"/>
      <c r="V500" s="592"/>
      <c r="W500" s="592"/>
      <c r="X500" s="592" t="s">
        <v>8792</v>
      </c>
      <c r="Y500" s="592"/>
      <c r="Z500" s="35"/>
      <c r="AA500" s="1" t="str">
        <f>IFERROR(VLOOKUP(D:D,[1]Габариты!$A:$I,9,0),"")</f>
        <v>Основной ассортимент</v>
      </c>
      <c r="AB500" s="6" t="str">
        <f>IFERROR(VLOOKUP(D:D,[1]Габариты!$A:$D,4,0),"")</f>
        <v>ТУМБЫ под ТВ</v>
      </c>
      <c r="AC500" s="39" t="str">
        <f t="shared" ref="AC500" si="104">D500</f>
        <v>19005.16.17/01</v>
      </c>
      <c r="AD500" s="13" t="str">
        <f t="shared" ref="AD500" si="105">C500</f>
        <v>FBO</v>
      </c>
    </row>
    <row r="501" spans="1:30" s="6" customFormat="1" ht="20.100000000000001" customHeight="1" outlineLevel="1" x14ac:dyDescent="0.25">
      <c r="A501" s="917" t="s">
        <v>8858</v>
      </c>
      <c r="B501" s="29"/>
      <c r="C501" s="418" t="s">
        <v>2582</v>
      </c>
      <c r="D501" s="918" t="s">
        <v>8857</v>
      </c>
      <c r="E501" s="415">
        <v>20</v>
      </c>
      <c r="F501" s="920"/>
      <c r="G501" s="921"/>
      <c r="H501" s="919"/>
      <c r="I501" s="919"/>
      <c r="J501" s="919"/>
      <c r="K501" s="920"/>
      <c r="L501" s="921"/>
      <c r="M501" s="921"/>
      <c r="N501" s="919"/>
      <c r="O501" s="919"/>
      <c r="P501" s="919"/>
      <c r="Q501" s="922"/>
      <c r="R501" s="922"/>
      <c r="S501" s="919"/>
      <c r="T501" s="919"/>
      <c r="U501" s="919"/>
      <c r="V501" s="919"/>
      <c r="W501" s="919"/>
      <c r="X501" s="919"/>
      <c r="Y501" s="919"/>
      <c r="Z501" s="35"/>
      <c r="AA501" s="1" t="str">
        <f>IFERROR(VLOOKUP(D:D,[1]Габариты!$A:$I,9,0),"")</f>
        <v>Основной ассортимент</v>
      </c>
      <c r="AB501" s="6" t="str">
        <f>IFERROR(VLOOKUP(D:D,[1]Габариты!$A:$D,4,0),"")</f>
        <v>ТУМБЫ под ТВ</v>
      </c>
      <c r="AC501" s="39" t="str">
        <f t="shared" ref="AC501" si="106">D501</f>
        <v>19005.25/01</v>
      </c>
      <c r="AD501" s="13" t="str">
        <f t="shared" ref="AD501" si="107">C501</f>
        <v>FBO</v>
      </c>
    </row>
    <row r="502" spans="1:30" s="6" customFormat="1" ht="20.100000000000001" customHeight="1" outlineLevel="1" x14ac:dyDescent="0.2">
      <c r="A502" s="755" t="s">
        <v>4351</v>
      </c>
      <c r="B502" s="758" t="s">
        <v>5530</v>
      </c>
      <c r="C502" s="122"/>
      <c r="D502" s="127"/>
      <c r="E502" s="124"/>
      <c r="F502" s="125"/>
      <c r="G502" s="126"/>
      <c r="H502" s="124"/>
      <c r="I502" s="124"/>
      <c r="J502" s="124"/>
      <c r="K502" s="125"/>
      <c r="L502" s="126"/>
      <c r="M502" s="126"/>
      <c r="N502" s="124"/>
      <c r="O502" s="124"/>
      <c r="P502" s="124"/>
      <c r="Q502" s="840"/>
      <c r="R502" s="840"/>
      <c r="S502" s="124"/>
      <c r="T502" s="124"/>
      <c r="U502" s="124"/>
      <c r="V502" s="124"/>
      <c r="W502" s="124"/>
      <c r="X502" s="124"/>
      <c r="Y502" s="124"/>
      <c r="Z502" s="35"/>
      <c r="AA502" s="1" t="str">
        <f>IFERROR(VLOOKUP(D:D,[1]Габариты!$A:$I,9,0),"")</f>
        <v/>
      </c>
      <c r="AB502" s="6" t="str">
        <f>IFERROR(VLOOKUP(D:D,[1]Габариты!$A:$D,4,0),"")</f>
        <v/>
      </c>
      <c r="AC502" s="39"/>
      <c r="AD502" s="3"/>
    </row>
    <row r="503" spans="1:30" s="6" customFormat="1" ht="20.100000000000001" customHeight="1" outlineLevel="1" x14ac:dyDescent="0.25">
      <c r="A503" s="631" t="s">
        <v>8201</v>
      </c>
      <c r="B503" s="29"/>
      <c r="C503" s="352" t="s">
        <v>2582</v>
      </c>
      <c r="D503" s="353">
        <v>3685</v>
      </c>
      <c r="E503" s="354">
        <v>18</v>
      </c>
      <c r="F503" s="355">
        <v>3685</v>
      </c>
      <c r="G503" s="356" t="s">
        <v>5419</v>
      </c>
      <c r="H503" s="354"/>
      <c r="I503" s="354"/>
      <c r="J503" s="354"/>
      <c r="K503" s="355" t="s">
        <v>7846</v>
      </c>
      <c r="L503" s="356">
        <v>1617476006</v>
      </c>
      <c r="M503" s="356">
        <v>1617476006</v>
      </c>
      <c r="N503" s="354"/>
      <c r="O503" s="354"/>
      <c r="P503" s="354"/>
      <c r="Q503" s="841"/>
      <c r="R503" s="841"/>
      <c r="S503" s="354"/>
      <c r="T503" s="354"/>
      <c r="U503" s="354"/>
      <c r="V503" s="354"/>
      <c r="W503" s="354"/>
      <c r="X503" s="354"/>
      <c r="Y503" s="354"/>
      <c r="Z503" s="35"/>
      <c r="AA503" s="1" t="str">
        <f>IFERROR(VLOOKUP(D:D,[1]Габариты!$A:$I,9,0),"")</f>
        <v>Основной ассортимент</v>
      </c>
      <c r="AB503" s="6" t="str">
        <f>IFERROR(VLOOKUP(D:D,[1]Габариты!$A:$D,4,0),"")</f>
        <v>ТУМБЫ под ТВ</v>
      </c>
      <c r="AC503" s="39">
        <f>D503</f>
        <v>3685</v>
      </c>
      <c r="AD503" s="352" t="str">
        <f>C503</f>
        <v>FBO</v>
      </c>
    </row>
    <row r="504" spans="1:30" s="6" customFormat="1" ht="20.100000000000001" customHeight="1" outlineLevel="1" x14ac:dyDescent="0.25">
      <c r="A504" s="631" t="s">
        <v>4768</v>
      </c>
      <c r="B504" s="29"/>
      <c r="C504" s="13" t="s">
        <v>4328</v>
      </c>
      <c r="D504" s="40" t="s">
        <v>4769</v>
      </c>
      <c r="E504" s="4">
        <v>16</v>
      </c>
      <c r="F504" s="101" t="s">
        <v>6319</v>
      </c>
      <c r="G504" s="57" t="s">
        <v>5331</v>
      </c>
      <c r="H504" s="4" t="s">
        <v>6932</v>
      </c>
      <c r="I504" s="4"/>
      <c r="J504" s="4"/>
      <c r="K504" s="54" t="s">
        <v>6319</v>
      </c>
      <c r="L504" s="57">
        <v>1651555854</v>
      </c>
      <c r="M504" s="57">
        <v>1651555854</v>
      </c>
      <c r="N504" s="65" t="s">
        <v>7450</v>
      </c>
      <c r="O504" s="4">
        <v>1706200276</v>
      </c>
      <c r="P504" s="4">
        <v>1706200276</v>
      </c>
      <c r="Q504" s="767"/>
      <c r="R504" s="767"/>
      <c r="S504" s="4"/>
      <c r="T504" s="4"/>
      <c r="U504" s="4"/>
      <c r="V504" s="4"/>
      <c r="W504" s="4"/>
      <c r="X504" s="4" t="s">
        <v>7450</v>
      </c>
      <c r="Y504" s="4"/>
      <c r="Z504" s="35"/>
      <c r="AA504" s="1" t="str">
        <f>IFERROR(VLOOKUP(D:D,[1]Габариты!$A:$I,9,0),"")</f>
        <v>Вакансия</v>
      </c>
      <c r="AB504" s="6" t="str">
        <f>IFERROR(VLOOKUP(D:D,[1]Габариты!$A:$D,4,0),"")</f>
        <v>ТУМБЫ под ТВ</v>
      </c>
      <c r="AC504" s="39" t="str">
        <f t="shared" si="93"/>
        <v>4156.17.05/01</v>
      </c>
      <c r="AD504" s="13" t="str">
        <f>C504</f>
        <v>СКГТ</v>
      </c>
    </row>
    <row r="505" spans="1:30" s="6" customFormat="1" ht="20.100000000000001" customHeight="1" outlineLevel="1" x14ac:dyDescent="0.25">
      <c r="A505" s="651" t="s">
        <v>8543</v>
      </c>
      <c r="B505" s="29"/>
      <c r="C505" s="495" t="s">
        <v>2582</v>
      </c>
      <c r="D505" s="496" t="s">
        <v>8541</v>
      </c>
      <c r="E505" s="497">
        <v>20</v>
      </c>
      <c r="F505" s="498"/>
      <c r="G505" s="499"/>
      <c r="H505" s="497" t="s">
        <v>8542</v>
      </c>
      <c r="I505" s="497"/>
      <c r="J505" s="497"/>
      <c r="K505" s="498"/>
      <c r="L505" s="499"/>
      <c r="M505" s="499"/>
      <c r="N505" s="497" t="s">
        <v>8590</v>
      </c>
      <c r="O505" s="497">
        <v>1950337878</v>
      </c>
      <c r="P505" s="497">
        <v>1950337878</v>
      </c>
      <c r="Q505" s="791"/>
      <c r="R505" s="791"/>
      <c r="S505" s="497"/>
      <c r="T505" s="497"/>
      <c r="U505" s="497"/>
      <c r="V505" s="497"/>
      <c r="W505" s="497"/>
      <c r="X505" s="497"/>
      <c r="Y505" s="497"/>
      <c r="Z505" s="35"/>
      <c r="AA505" s="1" t="str">
        <f>IFERROR(VLOOKUP(D:D,[1]Габариты!$A:$I,9,0),"")</f>
        <v>Основной ассортимент</v>
      </c>
      <c r="AB505" s="6" t="str">
        <f>IFERROR(VLOOKUP(D:D,[1]Габариты!$A:$D,4,0),"")</f>
        <v>ТУМБЫ под ТВ</v>
      </c>
      <c r="AC505" s="39" t="str">
        <f t="shared" si="93"/>
        <v>4009.02.03/01</v>
      </c>
      <c r="AD505" s="13" t="str">
        <f>C505</f>
        <v>FBO</v>
      </c>
    </row>
    <row r="506" spans="1:30" s="6" customFormat="1" ht="20.100000000000001" customHeight="1" outlineLevel="1" x14ac:dyDescent="0.25">
      <c r="A506" s="694" t="s">
        <v>8556</v>
      </c>
      <c r="B506" s="29"/>
      <c r="C506" s="13" t="s">
        <v>4050</v>
      </c>
      <c r="D506" s="501" t="s">
        <v>8555</v>
      </c>
      <c r="E506" s="502">
        <v>16</v>
      </c>
      <c r="F506" s="503"/>
      <c r="G506" s="504"/>
      <c r="H506" s="502" t="s">
        <v>8557</v>
      </c>
      <c r="I506" s="502"/>
      <c r="J506" s="502"/>
      <c r="K506" s="503"/>
      <c r="L506" s="504"/>
      <c r="M506" s="504"/>
      <c r="N506" s="502" t="s">
        <v>8600</v>
      </c>
      <c r="O506" s="502">
        <v>1953318733</v>
      </c>
      <c r="P506" s="502">
        <v>1953318733</v>
      </c>
      <c r="Q506" s="842"/>
      <c r="R506" s="842"/>
      <c r="S506" s="502"/>
      <c r="T506" s="502"/>
      <c r="U506" s="502"/>
      <c r="V506" s="502"/>
      <c r="W506" s="502"/>
      <c r="X506" s="502"/>
      <c r="Y506" s="502"/>
      <c r="Z506" s="35"/>
      <c r="AA506" s="1" t="str">
        <f>IFERROR(VLOOKUP(D:D,[1]Габариты!$A:$I,9,0),"")</f>
        <v>Основной ассортимент</v>
      </c>
      <c r="AB506" s="6" t="str">
        <f>IFERROR(VLOOKUP(D:D,[1]Габариты!$A:$D,4,0),"")</f>
        <v>ТУМБЫ под ТВ</v>
      </c>
      <c r="AC506" s="39" t="str">
        <f t="shared" si="93"/>
        <v>5203.17Ч/01</v>
      </c>
      <c r="AD506" s="13" t="str">
        <f>C506</f>
        <v>СКГТ (ОЗОН)</v>
      </c>
    </row>
    <row r="507" spans="1:30" s="6" customFormat="1" ht="20.100000000000001" customHeight="1" outlineLevel="1" x14ac:dyDescent="0.25">
      <c r="A507" s="656" t="s">
        <v>8444</v>
      </c>
      <c r="B507" s="29"/>
      <c r="C507" s="418" t="s">
        <v>4328</v>
      </c>
      <c r="D507" s="442" t="s">
        <v>8443</v>
      </c>
      <c r="E507" s="443">
        <v>18</v>
      </c>
      <c r="F507" s="444"/>
      <c r="G507" s="445"/>
      <c r="H507" s="443" t="s">
        <v>8442</v>
      </c>
      <c r="I507" s="443"/>
      <c r="J507" s="443"/>
      <c r="K507" s="444"/>
      <c r="L507" s="445"/>
      <c r="M507" s="445"/>
      <c r="N507" s="443" t="s">
        <v>8521</v>
      </c>
      <c r="O507" s="443">
        <v>1922904496</v>
      </c>
      <c r="P507" s="443">
        <v>1922904496</v>
      </c>
      <c r="Q507" s="843"/>
      <c r="R507" s="843"/>
      <c r="S507" s="443"/>
      <c r="T507" s="443"/>
      <c r="U507" s="443"/>
      <c r="V507" s="443"/>
      <c r="W507" s="443"/>
      <c r="X507" s="443"/>
      <c r="Y507" s="443"/>
      <c r="Z507" s="35"/>
      <c r="AA507" s="1" t="str">
        <f>IFERROR(VLOOKUP(D:D,[1]Габариты!$A:$I,9,0),"")</f>
        <v>Основной ассортимент</v>
      </c>
      <c r="AB507" s="6" t="str">
        <f>IFERROR(VLOOKUP(D:D,[1]Габариты!$A:$D,4,0),"")</f>
        <v>ТУМБЫ под ТВ</v>
      </c>
      <c r="AC507" s="39" t="str">
        <f>D507</f>
        <v>5052.17Ч/01</v>
      </c>
      <c r="AD507" s="13" t="str">
        <f t="shared" ref="AD507" si="108">C507</f>
        <v>СКГТ</v>
      </c>
    </row>
    <row r="508" spans="1:30" s="6" customFormat="1" ht="20.100000000000001" customHeight="1" outlineLevel="1" x14ac:dyDescent="0.25">
      <c r="A508" s="695" t="s">
        <v>7475</v>
      </c>
      <c r="B508" s="29"/>
      <c r="C508" s="122" t="s">
        <v>2582</v>
      </c>
      <c r="D508" s="127">
        <v>4052</v>
      </c>
      <c r="E508" s="124">
        <v>26</v>
      </c>
      <c r="F508" s="125">
        <v>4052</v>
      </c>
      <c r="G508" s="126"/>
      <c r="H508" s="124" t="s">
        <v>7476</v>
      </c>
      <c r="I508" s="124"/>
      <c r="J508" s="124"/>
      <c r="K508" s="125"/>
      <c r="L508" s="126"/>
      <c r="M508" s="126"/>
      <c r="N508" s="4" t="s">
        <v>7501</v>
      </c>
      <c r="O508" s="124">
        <v>1713079758</v>
      </c>
      <c r="P508" s="124">
        <v>1713079758</v>
      </c>
      <c r="Q508" s="840"/>
      <c r="R508" s="840"/>
      <c r="S508" s="124"/>
      <c r="T508" s="124"/>
      <c r="U508" s="124"/>
      <c r="V508" s="124"/>
      <c r="W508" s="124"/>
      <c r="X508" s="124" t="s">
        <v>7501</v>
      </c>
      <c r="Y508" s="124"/>
      <c r="Z508" s="35"/>
      <c r="AA508" s="1" t="str">
        <f>IFERROR(VLOOKUP(D:D,[1]Габариты!$A:$I,9,0),"")</f>
        <v>Вакансия</v>
      </c>
      <c r="AB508" s="6" t="str">
        <f>IFERROR(VLOOKUP(D:D,[1]Габариты!$A:$D,4,0),"")</f>
        <v>ТУМБЫ под ТВ</v>
      </c>
      <c r="AC508" s="39">
        <f>D508</f>
        <v>4052</v>
      </c>
      <c r="AD508" s="13" t="str">
        <f>C508</f>
        <v>FBO</v>
      </c>
    </row>
    <row r="509" spans="1:30" s="6" customFormat="1" ht="20.100000000000001" customHeight="1" outlineLevel="1" x14ac:dyDescent="0.2">
      <c r="A509" s="755" t="s">
        <v>4351</v>
      </c>
      <c r="B509" s="754" t="s">
        <v>7774</v>
      </c>
      <c r="C509" s="418"/>
      <c r="D509" s="421"/>
      <c r="E509" s="415"/>
      <c r="F509" s="416"/>
      <c r="G509" s="417"/>
      <c r="H509" s="415"/>
      <c r="I509" s="415"/>
      <c r="J509" s="415"/>
      <c r="K509" s="416"/>
      <c r="L509" s="417"/>
      <c r="M509" s="417"/>
      <c r="N509" s="415"/>
      <c r="O509" s="415"/>
      <c r="P509" s="415"/>
      <c r="Q509" s="804"/>
      <c r="R509" s="804"/>
      <c r="S509" s="415"/>
      <c r="T509" s="415"/>
      <c r="U509" s="415"/>
      <c r="V509" s="415"/>
      <c r="W509" s="415"/>
      <c r="X509" s="415"/>
      <c r="Y509" s="415"/>
      <c r="Z509" s="35"/>
      <c r="AA509" s="1" t="str">
        <f>IFERROR(VLOOKUP(D:D,[1]Габариты!$A:$I,9,0),"")</f>
        <v/>
      </c>
      <c r="AB509" s="6" t="str">
        <f>IFERROR(VLOOKUP(D:D,[1]Габариты!$A:$D,4,0),"")</f>
        <v/>
      </c>
      <c r="AC509" s="39"/>
      <c r="AD509" s="13"/>
    </row>
    <row r="510" spans="1:30" s="6" customFormat="1" ht="20.100000000000001" customHeight="1" outlineLevel="1" x14ac:dyDescent="0.25">
      <c r="A510" s="696" t="s">
        <v>8487</v>
      </c>
      <c r="B510" s="29"/>
      <c r="C510" s="13" t="s">
        <v>4050</v>
      </c>
      <c r="D510" s="471" t="s">
        <v>8485</v>
      </c>
      <c r="E510" s="472">
        <v>16</v>
      </c>
      <c r="F510" s="473"/>
      <c r="G510" s="474"/>
      <c r="H510" s="472" t="s">
        <v>8486</v>
      </c>
      <c r="I510" s="472"/>
      <c r="J510" s="472"/>
      <c r="K510" s="473"/>
      <c r="L510" s="474"/>
      <c r="M510" s="474"/>
      <c r="N510" s="472"/>
      <c r="O510" s="472"/>
      <c r="P510" s="472"/>
      <c r="Q510" s="844"/>
      <c r="R510" s="844"/>
      <c r="S510" s="472"/>
      <c r="T510" s="472"/>
      <c r="U510" s="472"/>
      <c r="V510" s="472"/>
      <c r="W510" s="472"/>
      <c r="X510" s="472"/>
      <c r="Y510" s="472"/>
      <c r="Z510" s="35"/>
      <c r="AA510" s="1" t="str">
        <f>IFERROR(VLOOKUP(D:D,[1]Габариты!$A:$I,9,0),"")</f>
        <v>Основной ассортимент</v>
      </c>
      <c r="AB510" s="6" t="str">
        <f>IFERROR(VLOOKUP(D:D,[1]Габариты!$A:$D,4,0),"")</f>
        <v>ТУМБЫ под ТВ</v>
      </c>
      <c r="AC510" s="39" t="str">
        <f t="shared" si="93"/>
        <v>5071.17Ч/01</v>
      </c>
      <c r="AD510" s="13" t="str">
        <f t="shared" ref="AD510" si="109">C510</f>
        <v>СКГТ (ОЗОН)</v>
      </c>
    </row>
    <row r="511" spans="1:30" s="6" customFormat="1" ht="20.100000000000001" customHeight="1" outlineLevel="1" x14ac:dyDescent="0.25">
      <c r="A511" s="697" t="s">
        <v>8760</v>
      </c>
      <c r="B511" s="29"/>
      <c r="C511" s="615" t="s">
        <v>2582</v>
      </c>
      <c r="D511" s="616" t="s">
        <v>8759</v>
      </c>
      <c r="E511" s="617">
        <v>22</v>
      </c>
      <c r="F511" s="618"/>
      <c r="G511" s="619"/>
      <c r="H511" s="617" t="s">
        <v>8761</v>
      </c>
      <c r="I511" s="617"/>
      <c r="J511" s="617"/>
      <c r="K511" s="618"/>
      <c r="L511" s="619"/>
      <c r="M511" s="619"/>
      <c r="N511" s="617" t="s">
        <v>8793</v>
      </c>
      <c r="O511" s="617">
        <v>2345752587</v>
      </c>
      <c r="P511" s="617">
        <v>2345752587</v>
      </c>
      <c r="Q511" s="845"/>
      <c r="R511" s="845"/>
      <c r="S511" s="617"/>
      <c r="T511" s="617"/>
      <c r="U511" s="617"/>
      <c r="V511" s="617"/>
      <c r="W511" s="617"/>
      <c r="X511" s="617"/>
      <c r="Y511" s="617"/>
      <c r="Z511" s="35"/>
      <c r="AA511" s="1" t="str">
        <f>IFERROR(VLOOKUP(D:D,[1]Габариты!$A:$I,9,0),"")</f>
        <v>Основной ассортимент</v>
      </c>
      <c r="AB511" s="6" t="str">
        <f>IFERROR(VLOOKUP(D:D,[1]Габариты!$A:$D,4,0),"")</f>
        <v>ТУМБЫ под ТВ</v>
      </c>
      <c r="AC511" s="39" t="str">
        <f t="shared" ref="AC511" si="110">D511</f>
        <v>20048.17/01</v>
      </c>
      <c r="AD511" s="13" t="str">
        <f t="shared" ref="AD511" si="111">C511</f>
        <v>FBO</v>
      </c>
    </row>
    <row r="512" spans="1:30" s="6" customFormat="1" ht="20.100000000000001" customHeight="1" outlineLevel="1" x14ac:dyDescent="0.25">
      <c r="A512" s="930" t="s">
        <v>8890</v>
      </c>
      <c r="B512" s="29"/>
      <c r="C512" s="615" t="s">
        <v>2582</v>
      </c>
      <c r="D512" s="939" t="s">
        <v>8884</v>
      </c>
      <c r="E512" s="617">
        <v>22</v>
      </c>
      <c r="F512" s="933"/>
      <c r="G512" s="934"/>
      <c r="H512" s="935" t="s">
        <v>8887</v>
      </c>
      <c r="I512" s="935"/>
      <c r="J512" s="935"/>
      <c r="K512" s="933"/>
      <c r="L512" s="934"/>
      <c r="M512" s="934"/>
      <c r="N512" s="935"/>
      <c r="O512" s="935"/>
      <c r="P512" s="935"/>
      <c r="Q512" s="936"/>
      <c r="R512" s="936"/>
      <c r="S512" s="935"/>
      <c r="T512" s="935"/>
      <c r="U512" s="935"/>
      <c r="V512" s="935"/>
      <c r="W512" s="935"/>
      <c r="X512" s="935"/>
      <c r="Y512" s="935"/>
      <c r="Z512" s="35"/>
      <c r="AA512" s="1" t="str">
        <f>IFERROR(VLOOKUP(D:D,[1]Габариты!$A:$I,9,0),"")</f>
        <v>Основной ассортимент</v>
      </c>
      <c r="AB512" s="6" t="str">
        <f>IFERROR(VLOOKUP(D:D,[1]Габариты!$A:$D,4,0),"")</f>
        <v>ТУМБЫ под ТВ</v>
      </c>
      <c r="AC512" s="39" t="str">
        <f t="shared" ref="AC512:AC514" si="112">D512</f>
        <v>20048.06/01</v>
      </c>
      <c r="AD512" s="13" t="str">
        <f t="shared" ref="AD512:AD514" si="113">C512</f>
        <v>FBO</v>
      </c>
    </row>
    <row r="513" spans="1:30" s="6" customFormat="1" ht="20.100000000000001" customHeight="1" outlineLevel="1" x14ac:dyDescent="0.25">
      <c r="A513" s="930" t="s">
        <v>8891</v>
      </c>
      <c r="B513" s="29"/>
      <c r="C513" s="615" t="s">
        <v>2582</v>
      </c>
      <c r="D513" s="939" t="s">
        <v>8885</v>
      </c>
      <c r="E513" s="617">
        <v>22</v>
      </c>
      <c r="F513" s="933"/>
      <c r="G513" s="934"/>
      <c r="H513" s="935" t="s">
        <v>8888</v>
      </c>
      <c r="I513" s="935"/>
      <c r="J513" s="935"/>
      <c r="K513" s="933"/>
      <c r="L513" s="934"/>
      <c r="M513" s="934"/>
      <c r="N513" s="935"/>
      <c r="O513" s="935"/>
      <c r="P513" s="935"/>
      <c r="Q513" s="936"/>
      <c r="R513" s="936"/>
      <c r="S513" s="935"/>
      <c r="T513" s="935"/>
      <c r="U513" s="935"/>
      <c r="V513" s="935"/>
      <c r="W513" s="935"/>
      <c r="X513" s="935"/>
      <c r="Y513" s="935"/>
      <c r="Z513" s="35"/>
      <c r="AA513" s="1" t="str">
        <f>IFERROR(VLOOKUP(D:D,[1]Габариты!$A:$I,9,0),"")</f>
        <v>Основной ассортимент</v>
      </c>
      <c r="AB513" s="6" t="str">
        <f>IFERROR(VLOOKUP(D:D,[1]Габариты!$A:$D,4,0),"")</f>
        <v>ТУМБЫ под ТВ</v>
      </c>
      <c r="AC513" s="39" t="str">
        <f t="shared" si="112"/>
        <v>20048.05/01</v>
      </c>
      <c r="AD513" s="13" t="str">
        <f t="shared" si="113"/>
        <v>FBO</v>
      </c>
    </row>
    <row r="514" spans="1:30" s="6" customFormat="1" ht="20.100000000000001" customHeight="1" outlineLevel="1" x14ac:dyDescent="0.25">
      <c r="A514" s="930" t="s">
        <v>8892</v>
      </c>
      <c r="B514" s="29"/>
      <c r="C514" s="615" t="s">
        <v>2582</v>
      </c>
      <c r="D514" s="939" t="s">
        <v>8886</v>
      </c>
      <c r="E514" s="617">
        <v>22</v>
      </c>
      <c r="F514" s="933"/>
      <c r="G514" s="934"/>
      <c r="H514" s="935" t="s">
        <v>8889</v>
      </c>
      <c r="I514" s="935"/>
      <c r="J514" s="935"/>
      <c r="K514" s="933"/>
      <c r="L514" s="934"/>
      <c r="M514" s="934"/>
      <c r="N514" s="935"/>
      <c r="O514" s="935"/>
      <c r="P514" s="935"/>
      <c r="Q514" s="936"/>
      <c r="R514" s="936"/>
      <c r="S514" s="935"/>
      <c r="T514" s="935"/>
      <c r="U514" s="935"/>
      <c r="V514" s="935"/>
      <c r="W514" s="935"/>
      <c r="X514" s="935"/>
      <c r="Y514" s="935"/>
      <c r="Z514" s="35"/>
      <c r="AA514" s="1" t="str">
        <f>IFERROR(VLOOKUP(D:D,[1]Габариты!$A:$I,9,0),"")</f>
        <v>Основной ассортимент</v>
      </c>
      <c r="AB514" s="6" t="str">
        <f>IFERROR(VLOOKUP(D:D,[1]Габариты!$A:$D,4,0),"")</f>
        <v>ТУМБЫ под ТВ</v>
      </c>
      <c r="AC514" s="39" t="str">
        <f t="shared" si="112"/>
        <v>20048.09/01</v>
      </c>
      <c r="AD514" s="13" t="str">
        <f t="shared" si="113"/>
        <v>FBO</v>
      </c>
    </row>
    <row r="515" spans="1:30" s="6" customFormat="1" ht="20.100000000000001" customHeight="1" outlineLevel="1" x14ac:dyDescent="0.25">
      <c r="A515" s="923" t="s">
        <v>8867</v>
      </c>
      <c r="B515" s="29"/>
      <c r="C515" s="924" t="s">
        <v>4050</v>
      </c>
      <c r="D515" s="925" t="s">
        <v>8864</v>
      </c>
      <c r="E515" s="926">
        <v>24</v>
      </c>
      <c r="F515" s="927"/>
      <c r="G515" s="928"/>
      <c r="H515" s="926" t="s">
        <v>8861</v>
      </c>
      <c r="I515" s="926"/>
      <c r="J515" s="926"/>
      <c r="K515" s="927"/>
      <c r="L515" s="928"/>
      <c r="M515" s="928"/>
      <c r="N515" s="926" t="s">
        <v>8872</v>
      </c>
      <c r="O515" s="926">
        <v>2542124697</v>
      </c>
      <c r="P515" s="926">
        <v>2542124697</v>
      </c>
      <c r="Q515" s="929"/>
      <c r="R515" s="929"/>
      <c r="S515" s="926"/>
      <c r="T515" s="926"/>
      <c r="U515" s="926"/>
      <c r="V515" s="926"/>
      <c r="W515" s="926"/>
      <c r="X515" s="926"/>
      <c r="Y515" s="926"/>
      <c r="Z515" s="35"/>
      <c r="AA515" s="1" t="str">
        <f>IFERROR(VLOOKUP(D:D,[1]Габариты!$A:$I,9,0),"")</f>
        <v>Основной ассортимент</v>
      </c>
      <c r="AB515" s="6" t="str">
        <f>IFERROR(VLOOKUP(D:D,[1]Габариты!$A:$D,4,0),"")</f>
        <v>ТУМБЫ под ТВ</v>
      </c>
      <c r="AC515" s="39" t="str">
        <f t="shared" ref="AC515:AC517" si="114">D515</f>
        <v>20152.02/01</v>
      </c>
      <c r="AD515" s="13" t="str">
        <f t="shared" ref="AD515:AD517" si="115">C515</f>
        <v>СКГТ (ОЗОН)</v>
      </c>
    </row>
    <row r="516" spans="1:30" s="6" customFormat="1" ht="20.100000000000001" customHeight="1" outlineLevel="1" x14ac:dyDescent="0.25">
      <c r="A516" s="923" t="s">
        <v>8868</v>
      </c>
      <c r="B516" s="29"/>
      <c r="C516" s="924" t="s">
        <v>2582</v>
      </c>
      <c r="D516" s="925" t="s">
        <v>8865</v>
      </c>
      <c r="E516" s="926">
        <v>22</v>
      </c>
      <c r="F516" s="927"/>
      <c r="G516" s="928"/>
      <c r="H516" s="926" t="s">
        <v>8862</v>
      </c>
      <c r="I516" s="926"/>
      <c r="J516" s="926"/>
      <c r="K516" s="927"/>
      <c r="L516" s="928"/>
      <c r="M516" s="928"/>
      <c r="N516" s="926" t="s">
        <v>8873</v>
      </c>
      <c r="O516" s="926">
        <v>2542321245</v>
      </c>
      <c r="P516" s="926">
        <v>2542321245</v>
      </c>
      <c r="Q516" s="929"/>
      <c r="R516" s="929"/>
      <c r="S516" s="926"/>
      <c r="T516" s="926"/>
      <c r="U516" s="926"/>
      <c r="V516" s="926"/>
      <c r="W516" s="926"/>
      <c r="X516" s="926"/>
      <c r="Y516" s="926"/>
      <c r="Z516" s="35"/>
      <c r="AA516" s="1" t="str">
        <f>IFERROR(VLOOKUP(D:D,[1]Габариты!$A:$I,9,0),"")</f>
        <v>Основной ассортимент</v>
      </c>
      <c r="AB516" s="6" t="str">
        <f>IFERROR(VLOOKUP(D:D,[1]Габариты!$A:$D,4,0),"")</f>
        <v>ТУМБЫ под ТВ</v>
      </c>
      <c r="AC516" s="39" t="str">
        <f t="shared" si="114"/>
        <v>20153.02/01</v>
      </c>
      <c r="AD516" s="13" t="str">
        <f t="shared" si="115"/>
        <v>FBO</v>
      </c>
    </row>
    <row r="517" spans="1:30" s="6" customFormat="1" ht="20.100000000000001" customHeight="1" outlineLevel="1" x14ac:dyDescent="0.25">
      <c r="A517" s="923" t="s">
        <v>8869</v>
      </c>
      <c r="B517" s="29"/>
      <c r="C517" s="924" t="s">
        <v>2582</v>
      </c>
      <c r="D517" s="925" t="s">
        <v>8866</v>
      </c>
      <c r="E517" s="926">
        <v>21</v>
      </c>
      <c r="F517" s="927"/>
      <c r="G517" s="928"/>
      <c r="H517" s="926" t="s">
        <v>8863</v>
      </c>
      <c r="I517" s="926"/>
      <c r="J517" s="926"/>
      <c r="K517" s="927"/>
      <c r="L517" s="928"/>
      <c r="M517" s="928"/>
      <c r="N517" s="926" t="s">
        <v>8874</v>
      </c>
      <c r="O517" s="926">
        <v>2542385928</v>
      </c>
      <c r="P517" s="926">
        <v>2542385928</v>
      </c>
      <c r="Q517" s="929"/>
      <c r="R517" s="929"/>
      <c r="S517" s="926"/>
      <c r="T517" s="926"/>
      <c r="U517" s="926"/>
      <c r="V517" s="926"/>
      <c r="W517" s="926"/>
      <c r="X517" s="926"/>
      <c r="Y517" s="926"/>
      <c r="Z517" s="35"/>
      <c r="AA517" s="1" t="str">
        <f>IFERROR(VLOOKUP(D:D,[1]Габариты!$A:$I,9,0),"")</f>
        <v>Основной ассортимент</v>
      </c>
      <c r="AB517" s="6" t="str">
        <f>IFERROR(VLOOKUP(D:D,[1]Габариты!$A:$D,4,0),"")</f>
        <v>ТУМБЫ под ТВ</v>
      </c>
      <c r="AC517" s="39" t="str">
        <f t="shared" si="114"/>
        <v>20154.09Ф/01</v>
      </c>
      <c r="AD517" s="13" t="str">
        <f t="shared" si="115"/>
        <v>FBO</v>
      </c>
    </row>
    <row r="518" spans="1:30" s="1" customFormat="1" ht="20.100000000000001" customHeight="1" outlineLevel="1" x14ac:dyDescent="0.2">
      <c r="A518" s="755" t="s">
        <v>3692</v>
      </c>
      <c r="B518" s="754" t="s">
        <v>3539</v>
      </c>
      <c r="C518" s="13"/>
      <c r="D518" s="41"/>
      <c r="E518" s="4">
        <v>24</v>
      </c>
      <c r="F518" s="101"/>
      <c r="G518" s="57"/>
      <c r="H518" s="4"/>
      <c r="I518" s="4"/>
      <c r="J518" s="4"/>
      <c r="K518" s="54"/>
      <c r="L518" s="57"/>
      <c r="M518" s="57"/>
      <c r="N518" s="766"/>
      <c r="O518" s="4"/>
      <c r="P518" s="4"/>
      <c r="Q518" s="767"/>
      <c r="R518" s="767"/>
      <c r="S518" s="4"/>
      <c r="T518" s="4"/>
      <c r="U518" s="4"/>
      <c r="V518" s="4"/>
      <c r="W518" s="4"/>
      <c r="X518" s="4"/>
      <c r="Y518" s="4" t="s">
        <v>4066</v>
      </c>
      <c r="Z518" s="35"/>
      <c r="AA518" s="1" t="str">
        <f>IFERROR(VLOOKUP(D:D,[1]Габариты!$A:$I,9,0),"")</f>
        <v/>
      </c>
      <c r="AB518" s="6" t="str">
        <f>IFERROR(VLOOKUP(D:D,[1]Габариты!$A:$D,4,0),"")</f>
        <v/>
      </c>
      <c r="AC518" s="39"/>
      <c r="AD518" s="3"/>
    </row>
    <row r="519" spans="1:30" s="6" customFormat="1" ht="20.100000000000001" customHeight="1" outlineLevel="1" x14ac:dyDescent="0.25">
      <c r="A519" s="631" t="s">
        <v>986</v>
      </c>
      <c r="B519" s="29"/>
      <c r="C519" s="13" t="s">
        <v>2582</v>
      </c>
      <c r="D519" s="40">
        <v>3386</v>
      </c>
      <c r="E519" s="4">
        <v>18</v>
      </c>
      <c r="F519" s="101">
        <v>3386</v>
      </c>
      <c r="G519" s="57" t="s">
        <v>5066</v>
      </c>
      <c r="H519" s="4" t="s">
        <v>6936</v>
      </c>
      <c r="I519" s="4"/>
      <c r="J519" s="4" t="s">
        <v>4003</v>
      </c>
      <c r="K519" s="54" t="s">
        <v>2486</v>
      </c>
      <c r="L519" s="57">
        <v>1209308978</v>
      </c>
      <c r="M519" s="57">
        <v>1209308978</v>
      </c>
      <c r="N519" s="4" t="s">
        <v>1008</v>
      </c>
      <c r="O519" s="4">
        <v>593841376</v>
      </c>
      <c r="P519" s="4">
        <v>593841375</v>
      </c>
      <c r="Q519" s="767"/>
      <c r="R519" s="767"/>
      <c r="S519" s="4"/>
      <c r="T519" s="4" t="s">
        <v>4077</v>
      </c>
      <c r="U519" s="4">
        <v>1480327019</v>
      </c>
      <c r="V519" s="4">
        <v>1480327019</v>
      </c>
      <c r="W519" s="4" t="s">
        <v>2486</v>
      </c>
      <c r="X519" s="4" t="s">
        <v>1008</v>
      </c>
      <c r="Y519" s="4">
        <v>3386</v>
      </c>
      <c r="Z519" s="35"/>
      <c r="AA519" s="1" t="str">
        <f>IFERROR(VLOOKUP(D:D,[1]Габариты!$A:$I,9,0),"")</f>
        <v>Основной ассортимент</v>
      </c>
      <c r="AB519" s="6" t="str">
        <f>IFERROR(VLOOKUP(D:D,[1]Габариты!$A:$D,4,0),"")</f>
        <v>ТУМБЫ ПРИКРОВАТНЫЕ</v>
      </c>
      <c r="AC519" s="39">
        <f t="shared" si="93"/>
        <v>3386</v>
      </c>
      <c r="AD519" s="13" t="str">
        <f t="shared" si="87"/>
        <v>FBO</v>
      </c>
    </row>
    <row r="520" spans="1:30" s="6" customFormat="1" ht="20.100000000000001" customHeight="1" outlineLevel="1" x14ac:dyDescent="0.25">
      <c r="A520" s="631" t="s">
        <v>988</v>
      </c>
      <c r="B520" s="29"/>
      <c r="C520" s="13" t="s">
        <v>2582</v>
      </c>
      <c r="D520" s="40">
        <v>3511</v>
      </c>
      <c r="E520" s="4">
        <v>16</v>
      </c>
      <c r="F520" s="101">
        <v>3511</v>
      </c>
      <c r="G520" s="57" t="s">
        <v>5076</v>
      </c>
      <c r="H520" s="4" t="s">
        <v>6938</v>
      </c>
      <c r="I520" s="4"/>
      <c r="J520" s="4" t="s">
        <v>4004</v>
      </c>
      <c r="K520" s="54" t="s">
        <v>2488</v>
      </c>
      <c r="L520" s="57">
        <v>1213016329</v>
      </c>
      <c r="M520" s="57">
        <v>1213016329</v>
      </c>
      <c r="N520" s="4" t="s">
        <v>1010</v>
      </c>
      <c r="O520" s="4">
        <v>593997979</v>
      </c>
      <c r="P520" s="4">
        <v>593997978</v>
      </c>
      <c r="Q520" s="767"/>
      <c r="R520" s="767"/>
      <c r="S520" s="4"/>
      <c r="T520" s="4"/>
      <c r="U520" s="4">
        <v>1480329487</v>
      </c>
      <c r="V520" s="4">
        <v>1480329487</v>
      </c>
      <c r="W520" s="4" t="s">
        <v>2488</v>
      </c>
      <c r="X520" s="4" t="s">
        <v>1010</v>
      </c>
      <c r="Y520" s="4">
        <v>3511</v>
      </c>
      <c r="Z520" s="35"/>
      <c r="AA520" s="1" t="str">
        <f>IFERROR(VLOOKUP(D:D,[1]Габариты!$A:$I,9,0),"")</f>
        <v>Основной ассортимент</v>
      </c>
      <c r="AB520" s="6" t="str">
        <f>IFERROR(VLOOKUP(D:D,[1]Габариты!$A:$D,4,0),"")</f>
        <v>ТУМБЫ ПРИКРОВАТНЫЕ</v>
      </c>
      <c r="AC520" s="39">
        <f t="shared" si="93"/>
        <v>3511</v>
      </c>
      <c r="AD520" s="13" t="str">
        <f t="shared" si="87"/>
        <v>FBO</v>
      </c>
    </row>
    <row r="521" spans="1:30" s="6" customFormat="1" ht="20.100000000000001" customHeight="1" outlineLevel="1" x14ac:dyDescent="0.25">
      <c r="A521" s="635" t="s">
        <v>3666</v>
      </c>
      <c r="B521" s="29"/>
      <c r="C521" s="13" t="s">
        <v>2582</v>
      </c>
      <c r="D521" s="40">
        <v>3724</v>
      </c>
      <c r="E521" s="4">
        <v>34</v>
      </c>
      <c r="F521" s="101">
        <v>3724</v>
      </c>
      <c r="G521" s="57" t="s">
        <v>6105</v>
      </c>
      <c r="H521" s="4" t="s">
        <v>6939</v>
      </c>
      <c r="I521" s="4"/>
      <c r="J521" s="4" t="s">
        <v>4020</v>
      </c>
      <c r="K521" s="54" t="s">
        <v>7924</v>
      </c>
      <c r="L521" s="57">
        <v>1209306283</v>
      </c>
      <c r="M521" s="57">
        <v>1209306283</v>
      </c>
      <c r="N521" s="4" t="s">
        <v>3740</v>
      </c>
      <c r="O521" s="4">
        <v>1189569428</v>
      </c>
      <c r="P521" s="4">
        <v>1189569429</v>
      </c>
      <c r="Q521" s="767"/>
      <c r="R521" s="767"/>
      <c r="S521" s="4"/>
      <c r="T521" s="4" t="s">
        <v>4091</v>
      </c>
      <c r="U521" s="4">
        <v>1483111105</v>
      </c>
      <c r="V521" s="4">
        <v>1483111105</v>
      </c>
      <c r="W521" s="4"/>
      <c r="X521" s="4" t="s">
        <v>3740</v>
      </c>
      <c r="Y521" s="4" t="s">
        <v>4066</v>
      </c>
      <c r="Z521" s="35"/>
      <c r="AA521" s="1" t="str">
        <f>IFERROR(VLOOKUP(D:D,[1]Габариты!$A:$I,9,0),"")</f>
        <v>Основной ассортимент</v>
      </c>
      <c r="AB521" s="6" t="str">
        <f>IFERROR(VLOOKUP(D:D,[1]Габариты!$A:$D,4,0),"")</f>
        <v>ТУМБЫ ПРИКРОВАТНЫЕ</v>
      </c>
      <c r="AC521" s="39">
        <f t="shared" si="93"/>
        <v>3724</v>
      </c>
      <c r="AD521" s="13" t="str">
        <f t="shared" ref="AD521:AD568" si="116">C521</f>
        <v>FBO</v>
      </c>
    </row>
    <row r="522" spans="1:30" s="6" customFormat="1" ht="20.100000000000001" customHeight="1" outlineLevel="1" x14ac:dyDescent="0.25">
      <c r="A522" s="635" t="s">
        <v>3431</v>
      </c>
      <c r="B522" s="29"/>
      <c r="C522" s="13" t="s">
        <v>2582</v>
      </c>
      <c r="D522" s="40">
        <v>4070</v>
      </c>
      <c r="E522" s="4">
        <v>54</v>
      </c>
      <c r="F522" s="101">
        <v>4070</v>
      </c>
      <c r="G522" s="57"/>
      <c r="H522" s="4" t="s">
        <v>6941</v>
      </c>
      <c r="I522" s="4"/>
      <c r="J522" s="4" t="s">
        <v>3683</v>
      </c>
      <c r="K522" s="54"/>
      <c r="L522" s="57"/>
      <c r="M522" s="57"/>
      <c r="N522" s="4" t="s">
        <v>3460</v>
      </c>
      <c r="O522" s="4">
        <v>1042773433</v>
      </c>
      <c r="P522" s="4">
        <v>1042773431</v>
      </c>
      <c r="Q522" s="767"/>
      <c r="R522" s="767"/>
      <c r="S522" s="4"/>
      <c r="T522" s="4" t="s">
        <v>4078</v>
      </c>
      <c r="U522" s="4">
        <v>1480170603</v>
      </c>
      <c r="V522" s="4">
        <v>1480170603</v>
      </c>
      <c r="W522" s="4"/>
      <c r="X522" s="4" t="s">
        <v>3460</v>
      </c>
      <c r="Y522" s="4">
        <v>4070</v>
      </c>
      <c r="Z522" s="35"/>
      <c r="AA522" s="1" t="str">
        <f>IFERROR(VLOOKUP(D:D,[1]Габариты!$A:$I,9,0),"")</f>
        <v>Основной ассортимент</v>
      </c>
      <c r="AB522" s="6" t="str">
        <f>IFERROR(VLOOKUP(D:D,[1]Габариты!$A:$D,4,0),"")</f>
        <v>ТУМБЫ ПРИКРОВАТНЫЕ</v>
      </c>
      <c r="AC522" s="39">
        <f t="shared" si="93"/>
        <v>4070</v>
      </c>
      <c r="AD522" s="13" t="str">
        <f t="shared" si="116"/>
        <v>FBO</v>
      </c>
    </row>
    <row r="523" spans="1:30" s="6" customFormat="1" ht="20.100000000000001" customHeight="1" outlineLevel="1" x14ac:dyDescent="0.25">
      <c r="A523" s="635" t="s">
        <v>3433</v>
      </c>
      <c r="B523" s="29"/>
      <c r="C523" s="13" t="s">
        <v>2582</v>
      </c>
      <c r="D523" s="40">
        <v>4073</v>
      </c>
      <c r="E523" s="4">
        <v>58</v>
      </c>
      <c r="F523" s="101">
        <v>4073</v>
      </c>
      <c r="G523" s="57"/>
      <c r="H523" s="4" t="s">
        <v>6943</v>
      </c>
      <c r="I523" s="4"/>
      <c r="J523" s="4" t="s">
        <v>3685</v>
      </c>
      <c r="K523" s="54"/>
      <c r="L523" s="57"/>
      <c r="M523" s="57"/>
      <c r="N523" s="4" t="s">
        <v>3464</v>
      </c>
      <c r="O523" s="4">
        <v>1042797569</v>
      </c>
      <c r="P523" s="4">
        <v>1042797568</v>
      </c>
      <c r="Q523" s="767"/>
      <c r="R523" s="767"/>
      <c r="S523" s="4"/>
      <c r="T523" s="4" t="s">
        <v>4080</v>
      </c>
      <c r="U523" s="4">
        <v>1480177407</v>
      </c>
      <c r="V523" s="4">
        <v>1480177407</v>
      </c>
      <c r="W523" s="4"/>
      <c r="X523" s="4" t="s">
        <v>3464</v>
      </c>
      <c r="Y523" s="4">
        <v>4073</v>
      </c>
      <c r="Z523" s="35"/>
      <c r="AA523" s="1" t="str">
        <f>IFERROR(VLOOKUP(D:D,[1]Габариты!$A:$I,9,0),"")</f>
        <v>Основной ассортимент</v>
      </c>
      <c r="AB523" s="6" t="str">
        <f>IFERROR(VLOOKUP(D:D,[1]Габариты!$A:$D,4,0),"")</f>
        <v>ТУМБЫ ПРИКРОВАТНЫЕ</v>
      </c>
      <c r="AC523" s="39">
        <f t="shared" si="93"/>
        <v>4073</v>
      </c>
      <c r="AD523" s="13" t="str">
        <f t="shared" si="116"/>
        <v>FBO</v>
      </c>
    </row>
    <row r="524" spans="1:30" s="6" customFormat="1" ht="20.100000000000001" customHeight="1" outlineLevel="1" x14ac:dyDescent="0.25">
      <c r="A524" s="665" t="s">
        <v>284</v>
      </c>
      <c r="B524" s="2"/>
      <c r="C524" s="13" t="s">
        <v>2582</v>
      </c>
      <c r="D524" s="39">
        <v>3052</v>
      </c>
      <c r="E524" s="4">
        <v>28</v>
      </c>
      <c r="F524" s="101">
        <v>3052</v>
      </c>
      <c r="G524" s="57" t="s">
        <v>4977</v>
      </c>
      <c r="H524" s="4" t="s">
        <v>6944</v>
      </c>
      <c r="I524" s="4" t="s">
        <v>1333</v>
      </c>
      <c r="J524" s="4" t="s">
        <v>2052</v>
      </c>
      <c r="K524" s="54" t="s">
        <v>2463</v>
      </c>
      <c r="L524" s="57">
        <v>286092773</v>
      </c>
      <c r="M524" s="57">
        <v>286092773</v>
      </c>
      <c r="N524" s="4" t="s">
        <v>760</v>
      </c>
      <c r="O524" s="4">
        <v>286312672</v>
      </c>
      <c r="P524" s="4">
        <v>286312700</v>
      </c>
      <c r="Q524" s="767" t="s">
        <v>2955</v>
      </c>
      <c r="R524" s="767">
        <v>323439793</v>
      </c>
      <c r="S524" s="4">
        <v>323439823</v>
      </c>
      <c r="T524" s="4"/>
      <c r="U524" s="4">
        <v>1482305522</v>
      </c>
      <c r="V524" s="4">
        <v>1482305522</v>
      </c>
      <c r="W524" s="4" t="s">
        <v>2463</v>
      </c>
      <c r="X524" s="4" t="s">
        <v>760</v>
      </c>
      <c r="Y524" s="4" t="s">
        <v>4066</v>
      </c>
      <c r="Z524" s="35"/>
      <c r="AA524" s="1" t="str">
        <f>IFERROR(VLOOKUP(D:D,[1]Габариты!$A:$I,9,0),"")</f>
        <v>Основной ассортимент</v>
      </c>
      <c r="AB524" s="6" t="str">
        <f>IFERROR(VLOOKUP(D:D,[1]Габариты!$A:$D,4,0),"")</f>
        <v>ТУМБЫ ПРИКРОВАТНЫЕ</v>
      </c>
      <c r="AC524" s="39">
        <f t="shared" si="93"/>
        <v>3052</v>
      </c>
      <c r="AD524" s="13" t="str">
        <f t="shared" si="116"/>
        <v>FBO</v>
      </c>
    </row>
    <row r="525" spans="1:30" s="6" customFormat="1" ht="20.100000000000001" customHeight="1" outlineLevel="1" x14ac:dyDescent="0.25">
      <c r="A525" s="635" t="s">
        <v>53</v>
      </c>
      <c r="B525" s="3"/>
      <c r="C525" s="13" t="s">
        <v>2582</v>
      </c>
      <c r="D525" s="39">
        <v>2563</v>
      </c>
      <c r="E525" s="4">
        <v>28</v>
      </c>
      <c r="F525" s="101">
        <v>2563</v>
      </c>
      <c r="G525" s="57" t="s">
        <v>4815</v>
      </c>
      <c r="H525" s="4" t="s">
        <v>6945</v>
      </c>
      <c r="I525" s="4" t="s">
        <v>1334</v>
      </c>
      <c r="J525" s="4" t="s">
        <v>1999</v>
      </c>
      <c r="K525" s="54" t="s">
        <v>2464</v>
      </c>
      <c r="L525" s="57">
        <v>173740376</v>
      </c>
      <c r="M525" s="57">
        <v>173740376</v>
      </c>
      <c r="N525" s="4" t="s">
        <v>600</v>
      </c>
      <c r="O525" s="4">
        <v>262605129</v>
      </c>
      <c r="P525" s="4">
        <v>262605130</v>
      </c>
      <c r="Q525" s="767" t="s">
        <v>2956</v>
      </c>
      <c r="R525" s="767">
        <v>323450620</v>
      </c>
      <c r="S525" s="4">
        <v>323450650</v>
      </c>
      <c r="T525" s="4" t="s">
        <v>4083</v>
      </c>
      <c r="U525" s="4">
        <v>956350835</v>
      </c>
      <c r="V525" s="4">
        <v>956350835</v>
      </c>
      <c r="W525" s="4" t="s">
        <v>2464</v>
      </c>
      <c r="X525" s="4" t="s">
        <v>600</v>
      </c>
      <c r="Y525" s="4">
        <v>2563</v>
      </c>
      <c r="Z525" s="35"/>
      <c r="AA525" s="1" t="str">
        <f>IFERROR(VLOOKUP(D:D,[1]Габариты!$A:$I,9,0),"")</f>
        <v>Основной ассортимент</v>
      </c>
      <c r="AB525" s="6" t="str">
        <f>IFERROR(VLOOKUP(D:D,[1]Габариты!$A:$D,4,0),"")</f>
        <v>ТУМБЫ ПРИКРОВАТНЫЕ</v>
      </c>
      <c r="AC525" s="39">
        <f t="shared" si="93"/>
        <v>2563</v>
      </c>
      <c r="AD525" s="13" t="str">
        <f t="shared" si="116"/>
        <v>FBO</v>
      </c>
    </row>
    <row r="526" spans="1:30" s="6" customFormat="1" ht="20.100000000000001" customHeight="1" outlineLevel="1" x14ac:dyDescent="0.25">
      <c r="A526" s="635" t="s">
        <v>54</v>
      </c>
      <c r="B526" s="3"/>
      <c r="C526" s="13" t="s">
        <v>2582</v>
      </c>
      <c r="D526" s="39">
        <v>2537</v>
      </c>
      <c r="E526" s="4">
        <v>28</v>
      </c>
      <c r="F526" s="101">
        <v>2537</v>
      </c>
      <c r="G526" s="57" t="s">
        <v>4808</v>
      </c>
      <c r="H526" s="4" t="s">
        <v>6946</v>
      </c>
      <c r="I526" s="4" t="s">
        <v>1335</v>
      </c>
      <c r="J526" s="4" t="s">
        <v>2053</v>
      </c>
      <c r="K526" s="54" t="s">
        <v>2465</v>
      </c>
      <c r="L526" s="57">
        <v>172479906</v>
      </c>
      <c r="M526" s="57">
        <v>172479906</v>
      </c>
      <c r="N526" s="4" t="s">
        <v>597</v>
      </c>
      <c r="O526" s="4">
        <v>262890319</v>
      </c>
      <c r="P526" s="4">
        <v>262890326</v>
      </c>
      <c r="Q526" s="767" t="s">
        <v>2957</v>
      </c>
      <c r="R526" s="767">
        <v>323449100</v>
      </c>
      <c r="S526" s="4">
        <v>323449109</v>
      </c>
      <c r="T526" s="4" t="s">
        <v>4084</v>
      </c>
      <c r="U526" s="4">
        <v>956350298</v>
      </c>
      <c r="V526" s="4">
        <v>956350298</v>
      </c>
      <c r="W526" s="4" t="s">
        <v>2465</v>
      </c>
      <c r="X526" s="4" t="s">
        <v>597</v>
      </c>
      <c r="Y526" s="4">
        <v>2537</v>
      </c>
      <c r="Z526" s="35"/>
      <c r="AA526" s="1" t="str">
        <f>IFERROR(VLOOKUP(D:D,[1]Габариты!$A:$I,9,0),"")</f>
        <v>Основной ассортимент</v>
      </c>
      <c r="AB526" s="6" t="str">
        <f>IFERROR(VLOOKUP(D:D,[1]Габариты!$A:$D,4,0),"")</f>
        <v>ТУМБЫ ПРИКРОВАТНЫЕ</v>
      </c>
      <c r="AC526" s="39">
        <f t="shared" si="93"/>
        <v>2537</v>
      </c>
      <c r="AD526" s="13" t="str">
        <f t="shared" si="116"/>
        <v>FBO</v>
      </c>
    </row>
    <row r="527" spans="1:30" s="6" customFormat="1" ht="20.100000000000001" customHeight="1" outlineLevel="1" x14ac:dyDescent="0.25">
      <c r="A527" s="635" t="s">
        <v>55</v>
      </c>
      <c r="B527" s="3"/>
      <c r="C527" s="13" t="s">
        <v>2582</v>
      </c>
      <c r="D527" s="39">
        <v>2550</v>
      </c>
      <c r="E527" s="4">
        <v>28</v>
      </c>
      <c r="F527" s="101">
        <v>2550</v>
      </c>
      <c r="G527" s="57" t="s">
        <v>4812</v>
      </c>
      <c r="H527" s="4" t="s">
        <v>6947</v>
      </c>
      <c r="I527" s="4" t="s">
        <v>1337</v>
      </c>
      <c r="J527" s="4" t="s">
        <v>2054</v>
      </c>
      <c r="K527" s="54" t="s">
        <v>2466</v>
      </c>
      <c r="L527" s="57">
        <v>172479907</v>
      </c>
      <c r="M527" s="57">
        <v>172479907</v>
      </c>
      <c r="N527" s="4" t="s">
        <v>599</v>
      </c>
      <c r="O527" s="4">
        <v>262902621</v>
      </c>
      <c r="P527" s="4">
        <v>262902640</v>
      </c>
      <c r="Q527" s="767" t="s">
        <v>2958</v>
      </c>
      <c r="R527" s="767">
        <v>323482535</v>
      </c>
      <c r="S527" s="4">
        <v>323482560</v>
      </c>
      <c r="T527" s="4" t="s">
        <v>4085</v>
      </c>
      <c r="U527" s="4">
        <v>956349672</v>
      </c>
      <c r="V527" s="4">
        <v>956349672</v>
      </c>
      <c r="W527" s="4" t="s">
        <v>2466</v>
      </c>
      <c r="X527" s="4" t="s">
        <v>599</v>
      </c>
      <c r="Y527" s="4">
        <v>2550</v>
      </c>
      <c r="Z527" s="35"/>
      <c r="AA527" s="1" t="str">
        <f>IFERROR(VLOOKUP(D:D,[1]Габариты!$A:$I,9,0),"")</f>
        <v>Основной ассортимент</v>
      </c>
      <c r="AB527" s="6" t="str">
        <f>IFERROR(VLOOKUP(D:D,[1]Габариты!$A:$D,4,0),"")</f>
        <v>ТУМБЫ ПРИКРОВАТНЫЕ</v>
      </c>
      <c r="AC527" s="39">
        <f t="shared" si="93"/>
        <v>2550</v>
      </c>
      <c r="AD527" s="13" t="str">
        <f t="shared" si="116"/>
        <v>FBO</v>
      </c>
    </row>
    <row r="528" spans="1:30" s="6" customFormat="1" ht="20.100000000000001" customHeight="1" outlineLevel="1" x14ac:dyDescent="0.25">
      <c r="A528" s="631" t="s">
        <v>1357</v>
      </c>
      <c r="B528" s="29"/>
      <c r="C528" s="13" t="s">
        <v>2582</v>
      </c>
      <c r="D528" s="40">
        <v>3550</v>
      </c>
      <c r="E528" s="4">
        <v>28</v>
      </c>
      <c r="F528" s="101">
        <v>3550</v>
      </c>
      <c r="G528" s="57" t="s">
        <v>5083</v>
      </c>
      <c r="H528" s="4" t="s">
        <v>6952</v>
      </c>
      <c r="I528" s="4"/>
      <c r="J528" s="4" t="s">
        <v>2055</v>
      </c>
      <c r="K528" s="54" t="s">
        <v>7926</v>
      </c>
      <c r="L528" s="57">
        <v>1339290347</v>
      </c>
      <c r="M528" s="57">
        <v>1339290347</v>
      </c>
      <c r="N528" s="4" t="s">
        <v>1398</v>
      </c>
      <c r="O528" s="4">
        <v>694126997</v>
      </c>
      <c r="P528" s="4">
        <v>694126996</v>
      </c>
      <c r="Q528" s="767"/>
      <c r="R528" s="767"/>
      <c r="S528" s="4"/>
      <c r="T528" s="4" t="s">
        <v>4087</v>
      </c>
      <c r="U528" s="4">
        <v>1482221345</v>
      </c>
      <c r="V528" s="4">
        <v>1482221345</v>
      </c>
      <c r="W528" s="4"/>
      <c r="X528" s="4" t="s">
        <v>1398</v>
      </c>
      <c r="Y528" s="4" t="s">
        <v>4066</v>
      </c>
      <c r="Z528" s="35"/>
      <c r="AA528" s="1" t="str">
        <f>IFERROR(VLOOKUP(D:D,[1]Габариты!$A:$I,9,0),"")</f>
        <v>Основной ассортимент</v>
      </c>
      <c r="AB528" s="6" t="str">
        <f>IFERROR(VLOOKUP(D:D,[1]Габариты!$A:$D,4,0),"")</f>
        <v>ТУМБЫ ПРИКРОВАТНЫЕ</v>
      </c>
      <c r="AC528" s="39">
        <f t="shared" si="93"/>
        <v>3550</v>
      </c>
      <c r="AD528" s="13" t="str">
        <f t="shared" si="116"/>
        <v>FBO</v>
      </c>
    </row>
    <row r="529" spans="1:30" s="6" customFormat="1" ht="20.100000000000001" customHeight="1" outlineLevel="1" x14ac:dyDescent="0.25">
      <c r="A529" s="631" t="s">
        <v>1358</v>
      </c>
      <c r="B529" s="29"/>
      <c r="C529" s="13" t="s">
        <v>2582</v>
      </c>
      <c r="D529" s="40">
        <v>3551</v>
      </c>
      <c r="E529" s="4">
        <v>28</v>
      </c>
      <c r="F529" s="101">
        <v>3551</v>
      </c>
      <c r="G529" s="57" t="s">
        <v>5084</v>
      </c>
      <c r="H529" s="4" t="s">
        <v>6953</v>
      </c>
      <c r="I529" s="4"/>
      <c r="J529" s="4" t="s">
        <v>3168</v>
      </c>
      <c r="K529" s="54" t="s">
        <v>7927</v>
      </c>
      <c r="L529" s="57"/>
      <c r="M529" s="57"/>
      <c r="N529" s="4" t="s">
        <v>1399</v>
      </c>
      <c r="O529" s="4">
        <v>694863417</v>
      </c>
      <c r="P529" s="4">
        <v>694863418</v>
      </c>
      <c r="Q529" s="767"/>
      <c r="R529" s="767"/>
      <c r="S529" s="4"/>
      <c r="T529" s="4" t="s">
        <v>4088</v>
      </c>
      <c r="U529" s="4">
        <v>1482359280</v>
      </c>
      <c r="V529" s="4">
        <v>1482359280</v>
      </c>
      <c r="W529" s="4"/>
      <c r="X529" s="4" t="s">
        <v>1399</v>
      </c>
      <c r="Y529" s="4" t="s">
        <v>4066</v>
      </c>
      <c r="Z529" s="35"/>
      <c r="AA529" s="1" t="str">
        <f>IFERROR(VLOOKUP(D:D,[1]Габариты!$A:$I,9,0),"")</f>
        <v>Основной ассортимент</v>
      </c>
      <c r="AB529" s="6" t="str">
        <f>IFERROR(VLOOKUP(D:D,[1]Габариты!$A:$D,4,0),"")</f>
        <v>ТУМБЫ ПРИКРОВАТНЫЕ</v>
      </c>
      <c r="AC529" s="39">
        <f t="shared" si="93"/>
        <v>3551</v>
      </c>
      <c r="AD529" s="13" t="str">
        <f t="shared" si="116"/>
        <v>FBO</v>
      </c>
    </row>
    <row r="530" spans="1:30" s="6" customFormat="1" ht="20.100000000000001" customHeight="1" outlineLevel="1" x14ac:dyDescent="0.25">
      <c r="A530" s="631" t="s">
        <v>1779</v>
      </c>
      <c r="B530" s="29"/>
      <c r="C530" s="13" t="s">
        <v>2582</v>
      </c>
      <c r="D530" s="40">
        <v>3552</v>
      </c>
      <c r="E530" s="4">
        <v>28</v>
      </c>
      <c r="F530" s="101">
        <v>3694</v>
      </c>
      <c r="G530" s="57"/>
      <c r="H530" s="4" t="s">
        <v>6954</v>
      </c>
      <c r="I530" s="4"/>
      <c r="J530" s="4" t="s">
        <v>2056</v>
      </c>
      <c r="K530" s="54" t="s">
        <v>7928</v>
      </c>
      <c r="L530" s="57">
        <v>1148027560</v>
      </c>
      <c r="M530" s="57">
        <v>1148027560</v>
      </c>
      <c r="N530" s="4" t="s">
        <v>2664</v>
      </c>
      <c r="O530" s="4">
        <v>881761199</v>
      </c>
      <c r="P530" s="4">
        <v>881761200</v>
      </c>
      <c r="Q530" s="767"/>
      <c r="R530" s="767"/>
      <c r="S530" s="4"/>
      <c r="T530" s="4" t="s">
        <v>4089</v>
      </c>
      <c r="U530" s="4">
        <v>1482205972</v>
      </c>
      <c r="V530" s="4">
        <v>1482205972</v>
      </c>
      <c r="W530" s="4"/>
      <c r="X530" s="4" t="s">
        <v>2664</v>
      </c>
      <c r="Y530" s="4">
        <v>3552</v>
      </c>
      <c r="Z530" s="35"/>
      <c r="AA530" s="1" t="str">
        <f>IFERROR(VLOOKUP(D:D,[1]Габариты!$A:$I,9,0),"")</f>
        <v>Основной ассортимент</v>
      </c>
      <c r="AB530" s="6" t="str">
        <f>IFERROR(VLOOKUP(D:D,[1]Габариты!$A:$D,4,0),"")</f>
        <v>ТУМБЫ ПРИКРОВАТНЫЕ</v>
      </c>
      <c r="AC530" s="39">
        <f t="shared" si="93"/>
        <v>3552</v>
      </c>
      <c r="AD530" s="13" t="str">
        <f t="shared" si="116"/>
        <v>FBO</v>
      </c>
    </row>
    <row r="531" spans="1:30" s="6" customFormat="1" ht="20.100000000000001" customHeight="1" outlineLevel="1" x14ac:dyDescent="0.25">
      <c r="A531" s="631" t="s">
        <v>1767</v>
      </c>
      <c r="B531" s="29"/>
      <c r="C531" s="13" t="s">
        <v>2582</v>
      </c>
      <c r="D531" s="40">
        <v>4000</v>
      </c>
      <c r="E531" s="4">
        <v>34</v>
      </c>
      <c r="F531" s="101">
        <v>4000</v>
      </c>
      <c r="G531" s="57"/>
      <c r="H531" s="4" t="s">
        <v>6955</v>
      </c>
      <c r="I531" s="4"/>
      <c r="J531" s="4" t="s">
        <v>3830</v>
      </c>
      <c r="K531" s="54"/>
      <c r="L531" s="57"/>
      <c r="M531" s="57"/>
      <c r="N531" s="4" t="s">
        <v>1800</v>
      </c>
      <c r="O531" s="4">
        <v>878423085</v>
      </c>
      <c r="P531" s="4">
        <v>878423086</v>
      </c>
      <c r="Q531" s="767"/>
      <c r="R531" s="767"/>
      <c r="S531" s="4"/>
      <c r="T531" s="4" t="s">
        <v>3850</v>
      </c>
      <c r="U531" s="4">
        <v>1352115624</v>
      </c>
      <c r="V531" s="4">
        <v>1352115624</v>
      </c>
      <c r="W531" s="4"/>
      <c r="X531" s="4" t="s">
        <v>1800</v>
      </c>
      <c r="Y531" s="4">
        <v>4000</v>
      </c>
      <c r="Z531" s="35"/>
      <c r="AA531" s="1" t="str">
        <f>IFERROR(VLOOKUP(D:D,[1]Габариты!$A:$I,9,0),"")</f>
        <v>Основной ассортимент</v>
      </c>
      <c r="AB531" s="6" t="str">
        <f>IFERROR(VLOOKUP(D:D,[1]Габариты!$A:$D,4,0),"")</f>
        <v>ТУМБЫ ПРИКРОВАТНЫЕ</v>
      </c>
      <c r="AC531" s="39">
        <f t="shared" si="93"/>
        <v>4000</v>
      </c>
      <c r="AD531" s="13" t="str">
        <f t="shared" si="116"/>
        <v>FBO</v>
      </c>
    </row>
    <row r="532" spans="1:30" s="6" customFormat="1" ht="20.100000000000001" customHeight="1" outlineLevel="1" x14ac:dyDescent="0.25">
      <c r="A532" s="631" t="s">
        <v>1768</v>
      </c>
      <c r="B532" s="29"/>
      <c r="C532" s="13" t="s">
        <v>2582</v>
      </c>
      <c r="D532" s="40">
        <v>4010</v>
      </c>
      <c r="E532" s="4">
        <v>34</v>
      </c>
      <c r="F532" s="101">
        <v>4010</v>
      </c>
      <c r="G532" s="57"/>
      <c r="H532" s="4" t="s">
        <v>6956</v>
      </c>
      <c r="I532" s="4"/>
      <c r="J532" s="4" t="s">
        <v>3939</v>
      </c>
      <c r="K532" s="54"/>
      <c r="L532" s="57"/>
      <c r="M532" s="57"/>
      <c r="N532" s="4" t="s">
        <v>1801</v>
      </c>
      <c r="O532" s="4">
        <v>878452097</v>
      </c>
      <c r="P532" s="4">
        <v>878452088</v>
      </c>
      <c r="Q532" s="767"/>
      <c r="R532" s="767"/>
      <c r="S532" s="4"/>
      <c r="T532" s="4" t="s">
        <v>4122</v>
      </c>
      <c r="U532" s="4">
        <v>1474280960</v>
      </c>
      <c r="V532" s="4">
        <v>1474280960</v>
      </c>
      <c r="W532" s="4"/>
      <c r="X532" s="4" t="s">
        <v>1801</v>
      </c>
      <c r="Y532" s="4" t="s">
        <v>4066</v>
      </c>
      <c r="Z532" s="35"/>
      <c r="AA532" s="1" t="str">
        <f>IFERROR(VLOOKUP(D:D,[1]Габариты!$A:$I,9,0),"")</f>
        <v>Основной ассортимент</v>
      </c>
      <c r="AB532" s="6" t="str">
        <f>IFERROR(VLOOKUP(D:D,[1]Габариты!$A:$D,4,0),"")</f>
        <v>ТУМБЫ ПРИКРОВАТНЫЕ</v>
      </c>
      <c r="AC532" s="39">
        <f t="shared" si="93"/>
        <v>4010</v>
      </c>
      <c r="AD532" s="13" t="str">
        <f t="shared" si="116"/>
        <v>FBO</v>
      </c>
    </row>
    <row r="533" spans="1:30" s="6" customFormat="1" ht="20.100000000000001" customHeight="1" outlineLevel="1" x14ac:dyDescent="0.25">
      <c r="A533" s="631" t="s">
        <v>1769</v>
      </c>
      <c r="B533" s="29"/>
      <c r="C533" s="13" t="s">
        <v>2582</v>
      </c>
      <c r="D533" s="40">
        <v>4011</v>
      </c>
      <c r="E533" s="4">
        <v>34</v>
      </c>
      <c r="F533" s="101">
        <v>4011</v>
      </c>
      <c r="G533" s="57"/>
      <c r="H533" s="4" t="s">
        <v>6957</v>
      </c>
      <c r="I533" s="4"/>
      <c r="J533" s="4" t="s">
        <v>3938</v>
      </c>
      <c r="K533" s="54"/>
      <c r="L533" s="57"/>
      <c r="M533" s="57"/>
      <c r="N533" s="4" t="s">
        <v>1802</v>
      </c>
      <c r="O533" s="4">
        <v>879090708</v>
      </c>
      <c r="P533" s="4">
        <v>879090709</v>
      </c>
      <c r="Q533" s="767"/>
      <c r="R533" s="767"/>
      <c r="S533" s="4"/>
      <c r="T533" s="4" t="s">
        <v>4123</v>
      </c>
      <c r="U533" s="4">
        <v>1479396551</v>
      </c>
      <c r="V533" s="4">
        <v>1479396551</v>
      </c>
      <c r="W533" s="4"/>
      <c r="X533" s="4" t="s">
        <v>1802</v>
      </c>
      <c r="Y533" s="4">
        <v>4011</v>
      </c>
      <c r="Z533" s="35"/>
      <c r="AA533" s="1" t="str">
        <f>IFERROR(VLOOKUP(D:D,[1]Габариты!$A:$I,9,0),"")</f>
        <v>Основной ассортимент</v>
      </c>
      <c r="AB533" s="6" t="str">
        <f>IFERROR(VLOOKUP(D:D,[1]Габариты!$A:$D,4,0),"")</f>
        <v>ТУМБЫ ПРИКРОВАТНЫЕ</v>
      </c>
      <c r="AC533" s="39">
        <f t="shared" si="93"/>
        <v>4011</v>
      </c>
      <c r="AD533" s="13" t="str">
        <f t="shared" si="116"/>
        <v>FBO</v>
      </c>
    </row>
    <row r="534" spans="1:30" s="6" customFormat="1" ht="20.100000000000001" customHeight="1" outlineLevel="1" x14ac:dyDescent="0.25">
      <c r="A534" s="635" t="s">
        <v>3439</v>
      </c>
      <c r="B534" s="29"/>
      <c r="C534" s="13" t="s">
        <v>2582</v>
      </c>
      <c r="D534" s="40">
        <v>4072</v>
      </c>
      <c r="E534" s="4">
        <v>58</v>
      </c>
      <c r="F534" s="101">
        <v>4072</v>
      </c>
      <c r="G534" s="57"/>
      <c r="H534" s="4" t="s">
        <v>6958</v>
      </c>
      <c r="I534" s="4"/>
      <c r="J534" s="4" t="s">
        <v>4343</v>
      </c>
      <c r="K534" s="54"/>
      <c r="L534" s="57"/>
      <c r="M534" s="57"/>
      <c r="N534" s="4" t="s">
        <v>3462</v>
      </c>
      <c r="O534" s="4">
        <v>1042793891</v>
      </c>
      <c r="P534" s="4">
        <v>1042793892</v>
      </c>
      <c r="Q534" s="767"/>
      <c r="R534" s="767"/>
      <c r="S534" s="4"/>
      <c r="T534" s="4" t="s">
        <v>4090</v>
      </c>
      <c r="U534" s="4">
        <v>1483120248</v>
      </c>
      <c r="V534" s="4">
        <v>1483120248</v>
      </c>
      <c r="W534" s="4"/>
      <c r="X534" s="4" t="s">
        <v>3462</v>
      </c>
      <c r="Y534" s="4">
        <v>4072</v>
      </c>
      <c r="Z534" s="35"/>
      <c r="AA534" s="1" t="str">
        <f>IFERROR(VLOOKUP(D:D,[1]Габариты!$A:$I,9,0),"")</f>
        <v>Основной ассортимент</v>
      </c>
      <c r="AB534" s="6" t="str">
        <f>IFERROR(VLOOKUP(D:D,[1]Габариты!$A:$D,4,0),"")</f>
        <v>ТУМБЫ ПРИКРОВАТНЫЕ</v>
      </c>
      <c r="AC534" s="39">
        <f t="shared" si="93"/>
        <v>4072</v>
      </c>
      <c r="AD534" s="13" t="str">
        <f t="shared" si="116"/>
        <v>FBO</v>
      </c>
    </row>
    <row r="535" spans="1:30" s="6" customFormat="1" ht="20.100000000000001" customHeight="1" outlineLevel="1" x14ac:dyDescent="0.25">
      <c r="A535" s="631" t="s">
        <v>4772</v>
      </c>
      <c r="B535" s="29"/>
      <c r="C535" s="13" t="s">
        <v>2582</v>
      </c>
      <c r="D535" s="40">
        <v>40100</v>
      </c>
      <c r="E535" s="4">
        <v>34</v>
      </c>
      <c r="F535" s="101">
        <v>40100</v>
      </c>
      <c r="G535" s="57"/>
      <c r="H535" s="4" t="s">
        <v>6968</v>
      </c>
      <c r="I535" s="4"/>
      <c r="J535" s="4"/>
      <c r="K535" s="54"/>
      <c r="L535" s="57"/>
      <c r="M535" s="57"/>
      <c r="N535" s="806" t="s">
        <v>5320</v>
      </c>
      <c r="O535" s="4">
        <v>1683052672</v>
      </c>
      <c r="P535" s="4">
        <v>1683052672</v>
      </c>
      <c r="Q535" s="767"/>
      <c r="R535" s="767"/>
      <c r="S535" s="4"/>
      <c r="T535" s="4"/>
      <c r="U535" s="4"/>
      <c r="V535" s="4"/>
      <c r="W535" s="4"/>
      <c r="X535" s="4" t="s">
        <v>5320</v>
      </c>
      <c r="Y535" s="4"/>
      <c r="Z535" s="35"/>
      <c r="AA535" s="1" t="str">
        <f>IFERROR(VLOOKUP(D:D,[1]Габариты!$A:$I,9,0),"")</f>
        <v>Основной ассортимент</v>
      </c>
      <c r="AB535" s="6" t="str">
        <f>IFERROR(VLOOKUP(D:D,[1]Габариты!$A:$D,4,0),"")</f>
        <v>ТУМБЫ ПРИКРОВАТНЫЕ</v>
      </c>
      <c r="AC535" s="39">
        <f t="shared" si="93"/>
        <v>40100</v>
      </c>
      <c r="AD535" s="13" t="str">
        <f t="shared" si="116"/>
        <v>FBO</v>
      </c>
    </row>
    <row r="536" spans="1:30" s="6" customFormat="1" ht="20.100000000000001" customHeight="1" outlineLevel="1" x14ac:dyDescent="0.25">
      <c r="A536" s="631" t="s">
        <v>4773</v>
      </c>
      <c r="B536" s="29"/>
      <c r="C536" s="13" t="s">
        <v>2582</v>
      </c>
      <c r="D536" s="40">
        <v>40101</v>
      </c>
      <c r="E536" s="4">
        <v>34</v>
      </c>
      <c r="F536" s="101">
        <v>40101</v>
      </c>
      <c r="G536" s="57"/>
      <c r="H536" s="4" t="s">
        <v>6969</v>
      </c>
      <c r="I536" s="4"/>
      <c r="J536" s="4"/>
      <c r="K536" s="54"/>
      <c r="L536" s="57"/>
      <c r="M536" s="57"/>
      <c r="N536" s="806" t="s">
        <v>5321</v>
      </c>
      <c r="O536" s="4">
        <v>1683749019</v>
      </c>
      <c r="P536" s="4">
        <v>1683749019</v>
      </c>
      <c r="Q536" s="767"/>
      <c r="R536" s="767"/>
      <c r="S536" s="4"/>
      <c r="T536" s="4"/>
      <c r="U536" s="4"/>
      <c r="V536" s="4"/>
      <c r="W536" s="4"/>
      <c r="X536" s="4" t="s">
        <v>5321</v>
      </c>
      <c r="Y536" s="4"/>
      <c r="Z536" s="35"/>
      <c r="AA536" s="1" t="str">
        <f>IFERROR(VLOOKUP(D:D,[1]Габариты!$A:$I,9,0),"")</f>
        <v>Основной ассортимент</v>
      </c>
      <c r="AB536" s="6" t="str">
        <f>IFERROR(VLOOKUP(D:D,[1]Габариты!$A:$D,4,0),"")</f>
        <v>ТУМБЫ ПРИКРОВАТНЫЕ</v>
      </c>
      <c r="AC536" s="39">
        <f t="shared" si="93"/>
        <v>40101</v>
      </c>
      <c r="AD536" s="13" t="str">
        <f t="shared" si="116"/>
        <v>FBO</v>
      </c>
    </row>
    <row r="537" spans="1:30" s="6" customFormat="1" ht="20.100000000000001" customHeight="1" outlineLevel="1" x14ac:dyDescent="0.25">
      <c r="A537" s="631" t="s">
        <v>4774</v>
      </c>
      <c r="B537" s="29"/>
      <c r="C537" s="13" t="s">
        <v>2582</v>
      </c>
      <c r="D537" s="40">
        <v>40102</v>
      </c>
      <c r="E537" s="4">
        <v>34</v>
      </c>
      <c r="F537" s="101">
        <v>40102</v>
      </c>
      <c r="G537" s="57"/>
      <c r="H537" s="4" t="s">
        <v>6970</v>
      </c>
      <c r="I537" s="4"/>
      <c r="J537" s="4"/>
      <c r="K537" s="54"/>
      <c r="L537" s="57"/>
      <c r="M537" s="57"/>
      <c r="N537" s="806" t="s">
        <v>5322</v>
      </c>
      <c r="O537" s="4">
        <v>1683758910</v>
      </c>
      <c r="P537" s="4">
        <v>1683758910</v>
      </c>
      <c r="Q537" s="767"/>
      <c r="R537" s="767"/>
      <c r="S537" s="4"/>
      <c r="T537" s="4"/>
      <c r="U537" s="4"/>
      <c r="V537" s="4"/>
      <c r="W537" s="4"/>
      <c r="X537" s="4" t="s">
        <v>5322</v>
      </c>
      <c r="Y537" s="4"/>
      <c r="Z537" s="35"/>
      <c r="AA537" s="1" t="str">
        <f>IFERROR(VLOOKUP(D:D,[1]Габариты!$A:$I,9,0),"")</f>
        <v>Основной ассортимент</v>
      </c>
      <c r="AB537" s="6" t="str">
        <f>IFERROR(VLOOKUP(D:D,[1]Габариты!$A:$D,4,0),"")</f>
        <v>ТУМБЫ ПРИКРОВАТНЫЕ</v>
      </c>
      <c r="AC537" s="39">
        <f t="shared" si="93"/>
        <v>40102</v>
      </c>
      <c r="AD537" s="13" t="str">
        <f t="shared" si="116"/>
        <v>FBO</v>
      </c>
    </row>
    <row r="538" spans="1:30" s="6" customFormat="1" ht="20.100000000000001" customHeight="1" outlineLevel="1" x14ac:dyDescent="0.25">
      <c r="A538" s="631" t="s">
        <v>1085</v>
      </c>
      <c r="B538" s="29"/>
      <c r="C538" s="13" t="s">
        <v>2582</v>
      </c>
      <c r="D538" s="40" t="s">
        <v>1086</v>
      </c>
      <c r="E538" s="4">
        <v>40</v>
      </c>
      <c r="F538" s="101" t="s">
        <v>4709</v>
      </c>
      <c r="G538" s="57" t="s">
        <v>5164</v>
      </c>
      <c r="H538" s="4" t="s">
        <v>6963</v>
      </c>
      <c r="I538" s="4"/>
      <c r="J538" s="4"/>
      <c r="K538" s="54" t="s">
        <v>4709</v>
      </c>
      <c r="L538" s="57">
        <v>1032109252</v>
      </c>
      <c r="M538" s="57">
        <v>1032109252</v>
      </c>
      <c r="N538" s="4" t="s">
        <v>1123</v>
      </c>
      <c r="O538" s="4">
        <v>641114761</v>
      </c>
      <c r="P538" s="4">
        <v>641114762</v>
      </c>
      <c r="Q538" s="767"/>
      <c r="R538" s="767"/>
      <c r="S538" s="4"/>
      <c r="T538" s="4"/>
      <c r="U538" s="4"/>
      <c r="V538" s="4"/>
      <c r="W538" s="4"/>
      <c r="X538" s="4" t="s">
        <v>1123</v>
      </c>
      <c r="Y538" s="4" t="s">
        <v>4066</v>
      </c>
      <c r="Z538" s="35"/>
      <c r="AA538" s="1" t="str">
        <f>IFERROR(VLOOKUP(D:D,[1]Габариты!$A:$I,9,0),"")</f>
        <v>Основной ассортимент</v>
      </c>
      <c r="AB538" s="6" t="str">
        <f>IFERROR(VLOOKUP(D:D,[1]Габариты!$A:$D,4,0),"")</f>
        <v>ТУМБЫ ПРИКРОВАТНЫЕ</v>
      </c>
      <c r="AC538" s="39" t="str">
        <f t="shared" si="93"/>
        <v>MK00019</v>
      </c>
      <c r="AD538" s="13" t="str">
        <f t="shared" si="116"/>
        <v>FBO</v>
      </c>
    </row>
    <row r="539" spans="1:30" s="6" customFormat="1" ht="20.100000000000001" customHeight="1" outlineLevel="1" x14ac:dyDescent="0.25">
      <c r="A539" s="631" t="s">
        <v>1083</v>
      </c>
      <c r="B539" s="29"/>
      <c r="C539" s="13" t="s">
        <v>2582</v>
      </c>
      <c r="D539" s="40" t="s">
        <v>1084</v>
      </c>
      <c r="E539" s="4">
        <v>40</v>
      </c>
      <c r="F539" s="101" t="s">
        <v>4708</v>
      </c>
      <c r="G539" s="57" t="s">
        <v>5183</v>
      </c>
      <c r="H539" s="4" t="s">
        <v>7387</v>
      </c>
      <c r="I539" s="4"/>
      <c r="J539" s="4"/>
      <c r="K539" s="54" t="s">
        <v>4708</v>
      </c>
      <c r="L539" s="57">
        <v>1032118851</v>
      </c>
      <c r="M539" s="57">
        <v>1032118851</v>
      </c>
      <c r="N539" s="4" t="s">
        <v>1122</v>
      </c>
      <c r="O539" s="4">
        <v>641059808</v>
      </c>
      <c r="P539" s="4">
        <v>641059807</v>
      </c>
      <c r="Q539" s="767"/>
      <c r="R539" s="767"/>
      <c r="S539" s="4"/>
      <c r="T539" s="4"/>
      <c r="U539" s="4"/>
      <c r="V539" s="4"/>
      <c r="W539" s="4"/>
      <c r="X539" s="4" t="s">
        <v>1122</v>
      </c>
      <c r="Y539" s="4" t="s">
        <v>4066</v>
      </c>
      <c r="Z539" s="35"/>
      <c r="AA539" s="1" t="str">
        <f>IFERROR(VLOOKUP(D:D,[1]Габариты!$A:$I,9,0),"")</f>
        <v>Вакансия</v>
      </c>
      <c r="AB539" s="6" t="str">
        <f>IFERROR(VLOOKUP(D:D,[1]Габариты!$A:$D,4,0),"")</f>
        <v>ТУМБЫ ПРИКРОВАТНЫЕ</v>
      </c>
      <c r="AC539" s="39" t="str">
        <f>D539</f>
        <v>MK00044</v>
      </c>
      <c r="AD539" s="13" t="str">
        <f>C539</f>
        <v>FBO</v>
      </c>
    </row>
    <row r="540" spans="1:30" s="6" customFormat="1" ht="20.100000000000001" customHeight="1" outlineLevel="1" x14ac:dyDescent="0.25">
      <c r="A540" s="631" t="s">
        <v>1135</v>
      </c>
      <c r="B540" s="29"/>
      <c r="C540" s="13" t="s">
        <v>2582</v>
      </c>
      <c r="D540" s="40" t="s">
        <v>1510</v>
      </c>
      <c r="E540" s="4">
        <v>40</v>
      </c>
      <c r="F540" s="101" t="s">
        <v>4731</v>
      </c>
      <c r="G540" s="57" t="s">
        <v>5188</v>
      </c>
      <c r="H540" s="4" t="s">
        <v>6965</v>
      </c>
      <c r="I540" s="4"/>
      <c r="J540" s="4" t="s">
        <v>2005</v>
      </c>
      <c r="K540" s="54" t="s">
        <v>4731</v>
      </c>
      <c r="L540" s="57">
        <v>880864455</v>
      </c>
      <c r="M540" s="57">
        <v>880864455</v>
      </c>
      <c r="N540" s="4" t="s">
        <v>1434</v>
      </c>
      <c r="O540" s="4">
        <v>677482412</v>
      </c>
      <c r="P540" s="4">
        <v>677482413</v>
      </c>
      <c r="Q540" s="767"/>
      <c r="R540" s="767"/>
      <c r="S540" s="4"/>
      <c r="T540" s="4"/>
      <c r="U540" s="4"/>
      <c r="V540" s="4"/>
      <c r="W540" s="4"/>
      <c r="X540" s="4" t="s">
        <v>1434</v>
      </c>
      <c r="Y540" s="4" t="s">
        <v>4066</v>
      </c>
      <c r="Z540" s="35"/>
      <c r="AA540" s="1" t="str">
        <f>IFERROR(VLOOKUP(D:D,[1]Габариты!$A:$I,9,0),"")</f>
        <v>Основной ассортимент</v>
      </c>
      <c r="AB540" s="6" t="str">
        <f>IFERROR(VLOOKUP(D:D,[1]Габариты!$A:$D,4,0),"")</f>
        <v>ТУМБЫ ПРИКРОВАТНЫЕ</v>
      </c>
      <c r="AC540" s="39" t="str">
        <f t="shared" si="93"/>
        <v>MK1030101</v>
      </c>
      <c r="AD540" s="13" t="str">
        <f t="shared" si="116"/>
        <v>FBO</v>
      </c>
    </row>
    <row r="541" spans="1:30" s="6" customFormat="1" ht="20.100000000000001" customHeight="1" outlineLevel="1" x14ac:dyDescent="0.25">
      <c r="A541" s="631" t="s">
        <v>4770</v>
      </c>
      <c r="B541" s="29"/>
      <c r="C541" s="13" t="s">
        <v>2582</v>
      </c>
      <c r="D541" s="40" t="s">
        <v>4771</v>
      </c>
      <c r="E541" s="4">
        <v>40</v>
      </c>
      <c r="F541" s="101" t="s">
        <v>6323</v>
      </c>
      <c r="G541" s="57" t="s">
        <v>5352</v>
      </c>
      <c r="H541" s="4" t="s">
        <v>6967</v>
      </c>
      <c r="I541" s="4"/>
      <c r="J541" s="4"/>
      <c r="K541" s="54" t="s">
        <v>6323</v>
      </c>
      <c r="L541" s="57">
        <v>1200514181</v>
      </c>
      <c r="M541" s="57">
        <v>1200514181</v>
      </c>
      <c r="N541" s="806" t="s">
        <v>7604</v>
      </c>
      <c r="O541" s="4">
        <v>1993756683</v>
      </c>
      <c r="P541" s="4">
        <v>1993756683</v>
      </c>
      <c r="Q541" s="767"/>
      <c r="R541" s="767"/>
      <c r="S541" s="4"/>
      <c r="T541" s="4"/>
      <c r="U541" s="4"/>
      <c r="V541" s="4"/>
      <c r="W541" s="4"/>
      <c r="X541" s="4" t="s">
        <v>7604</v>
      </c>
      <c r="Y541" s="4"/>
      <c r="Z541" s="35"/>
      <c r="AA541" s="1" t="str">
        <f>IFERROR(VLOOKUP(D:D,[1]Габариты!$A:$I,9,0),"")</f>
        <v>Основной ассортимент</v>
      </c>
      <c r="AB541" s="6" t="str">
        <f>IFERROR(VLOOKUP(D:D,[1]Габариты!$A:$D,4,0),"")</f>
        <v>ТУМБЫ ПРИКРОВАТНЫЕ</v>
      </c>
      <c r="AC541" s="39" t="str">
        <f t="shared" si="93"/>
        <v>MK1030201</v>
      </c>
      <c r="AD541" s="13" t="str">
        <f t="shared" si="116"/>
        <v>FBO</v>
      </c>
    </row>
    <row r="542" spans="1:30" s="6" customFormat="1" ht="20.100000000000001" customHeight="1" x14ac:dyDescent="0.25">
      <c r="A542" s="631" t="s">
        <v>5910</v>
      </c>
      <c r="B542" s="76"/>
      <c r="C542" s="351" t="s">
        <v>2582</v>
      </c>
      <c r="D542" s="40" t="s">
        <v>5904</v>
      </c>
      <c r="E542" s="4">
        <v>40</v>
      </c>
      <c r="F542" s="101" t="s">
        <v>5902</v>
      </c>
      <c r="G542" s="75" t="s">
        <v>5907</v>
      </c>
      <c r="H542" s="4" t="s">
        <v>5907</v>
      </c>
      <c r="I542" s="73"/>
      <c r="J542" s="73"/>
      <c r="K542" s="54" t="s">
        <v>5902</v>
      </c>
      <c r="L542" s="57">
        <v>1320909152</v>
      </c>
      <c r="M542" s="57">
        <v>1320909152</v>
      </c>
      <c r="N542" s="771" t="s">
        <v>8372</v>
      </c>
      <c r="O542" s="73">
        <v>1993852039</v>
      </c>
      <c r="P542" s="73">
        <v>1993852039</v>
      </c>
      <c r="Q542" s="73"/>
      <c r="R542" s="73"/>
      <c r="S542" s="73"/>
      <c r="T542" s="73"/>
      <c r="U542" s="73"/>
      <c r="V542" s="73"/>
      <c r="W542" s="73"/>
      <c r="X542" s="73" t="s">
        <v>8372</v>
      </c>
      <c r="Y542" s="73"/>
      <c r="Z542" s="67"/>
      <c r="AA542" s="1" t="str">
        <f>IFERROR(VLOOKUP(D:D,[1]Габариты!$A:$I,9,0),"")</f>
        <v>Основной ассортимент</v>
      </c>
      <c r="AB542" s="6" t="str">
        <f>IFERROR(VLOOKUP(D:D,[1]Габариты!$A:$D,4,0),"")</f>
        <v>ТУМБЫ ПРИКРОВАТНЫЕ</v>
      </c>
      <c r="AC542" s="39" t="str">
        <f t="shared" si="93"/>
        <v>MK1032001</v>
      </c>
      <c r="AD542" s="17" t="str">
        <f>C542</f>
        <v>FBO</v>
      </c>
    </row>
    <row r="543" spans="1:30" s="6" customFormat="1" ht="20.100000000000001" customHeight="1" outlineLevel="1" x14ac:dyDescent="0.25">
      <c r="A543" s="631" t="s">
        <v>4775</v>
      </c>
      <c r="B543" s="29"/>
      <c r="C543" s="13" t="s">
        <v>2582</v>
      </c>
      <c r="D543" s="40">
        <v>40103</v>
      </c>
      <c r="E543" s="4">
        <v>34</v>
      </c>
      <c r="F543" s="101">
        <v>40103</v>
      </c>
      <c r="G543" s="57"/>
      <c r="H543" s="4" t="s">
        <v>6971</v>
      </c>
      <c r="I543" s="4"/>
      <c r="J543" s="4"/>
      <c r="K543" s="54"/>
      <c r="L543" s="57"/>
      <c r="M543" s="57"/>
      <c r="N543" s="806" t="s">
        <v>5323</v>
      </c>
      <c r="O543" s="4">
        <v>1683768245</v>
      </c>
      <c r="P543" s="4">
        <v>1683768245</v>
      </c>
      <c r="Q543" s="767"/>
      <c r="R543" s="767"/>
      <c r="S543" s="4"/>
      <c r="T543" s="4"/>
      <c r="U543" s="4"/>
      <c r="V543" s="4"/>
      <c r="W543" s="4"/>
      <c r="X543" s="4" t="s">
        <v>5323</v>
      </c>
      <c r="Y543" s="4"/>
      <c r="Z543" s="35"/>
      <c r="AA543" s="1" t="str">
        <f>IFERROR(VLOOKUP(D:D,[1]Габариты!$A:$I,9,0),"")</f>
        <v>Вакансия</v>
      </c>
      <c r="AB543" s="6" t="str">
        <f>IFERROR(VLOOKUP(D:D,[1]Габариты!$A:$D,4,0),"")</f>
        <v>ТУМБЫ ПРИКРОВАТНЫЕ</v>
      </c>
      <c r="AC543" s="39">
        <f>D543</f>
        <v>40103</v>
      </c>
      <c r="AD543" s="13" t="str">
        <f>C543</f>
        <v>FBO</v>
      </c>
    </row>
    <row r="544" spans="1:30" s="6" customFormat="1" ht="20.100000000000001" customHeight="1" outlineLevel="1" x14ac:dyDescent="0.2">
      <c r="A544" s="755" t="s">
        <v>3692</v>
      </c>
      <c r="B544" s="753" t="s">
        <v>5530</v>
      </c>
      <c r="C544" s="69"/>
      <c r="D544" s="70"/>
      <c r="E544" s="65"/>
      <c r="F544" s="101"/>
      <c r="G544" s="57"/>
      <c r="H544" s="4"/>
      <c r="I544" s="4"/>
      <c r="J544" s="4"/>
      <c r="K544" s="54"/>
      <c r="L544" s="57"/>
      <c r="M544" s="57"/>
      <c r="N544" s="846"/>
      <c r="O544" s="65"/>
      <c r="P544" s="65"/>
      <c r="Q544" s="779"/>
      <c r="R544" s="779"/>
      <c r="S544" s="65"/>
      <c r="T544" s="65"/>
      <c r="U544" s="65"/>
      <c r="V544" s="65"/>
      <c r="W544" s="65"/>
      <c r="X544" s="65"/>
      <c r="Y544" s="65"/>
      <c r="Z544" s="35"/>
      <c r="AA544" s="1" t="str">
        <f>IFERROR(VLOOKUP(D:D,[1]Габариты!$A:$I,9,0),"")</f>
        <v/>
      </c>
      <c r="AB544" s="6" t="str">
        <f>IFERROR(VLOOKUP(D:D,[1]Габариты!$A:$D,4,0),"")</f>
        <v/>
      </c>
      <c r="AC544" s="39"/>
      <c r="AD544" s="3"/>
    </row>
    <row r="545" spans="1:30" s="6" customFormat="1" ht="20.100000000000001" customHeight="1" outlineLevel="1" x14ac:dyDescent="0.25">
      <c r="A545" s="631" t="s">
        <v>4420</v>
      </c>
      <c r="B545" s="29"/>
      <c r="C545" s="13" t="s">
        <v>2582</v>
      </c>
      <c r="D545" s="46" t="s">
        <v>4417</v>
      </c>
      <c r="E545" s="4">
        <v>35</v>
      </c>
      <c r="F545" s="101" t="s">
        <v>6322</v>
      </c>
      <c r="G545" s="57" t="s">
        <v>5659</v>
      </c>
      <c r="H545" s="4" t="s">
        <v>6961</v>
      </c>
      <c r="I545" s="4"/>
      <c r="J545" s="4"/>
      <c r="K545" s="54" t="s">
        <v>6322</v>
      </c>
      <c r="L545" s="57">
        <v>1773160570</v>
      </c>
      <c r="M545" s="57">
        <v>1773160570</v>
      </c>
      <c r="N545" s="4" t="s">
        <v>4430</v>
      </c>
      <c r="O545" s="4">
        <v>1630659985</v>
      </c>
      <c r="P545" s="4">
        <v>1630659985</v>
      </c>
      <c r="Q545" s="767"/>
      <c r="R545" s="767"/>
      <c r="S545" s="4"/>
      <c r="T545" s="4"/>
      <c r="U545" s="4"/>
      <c r="V545" s="4"/>
      <c r="W545" s="4"/>
      <c r="X545" s="4" t="s">
        <v>4430</v>
      </c>
      <c r="Y545" s="4"/>
      <c r="Z545" s="35"/>
      <c r="AA545" s="1" t="str">
        <f>IFERROR(VLOOKUP(D:D,[1]Габариты!$A:$I,9,0),"")</f>
        <v>Вакансия</v>
      </c>
      <c r="AB545" s="6" t="str">
        <f>IFERROR(VLOOKUP(D:D,[1]Габариты!$A:$D,4,0),"")</f>
        <v>ТУМБЫ ПРИКРОВАТНЫЕ</v>
      </c>
      <c r="AC545" s="39" t="str">
        <f t="shared" si="93"/>
        <v>3920.07/01</v>
      </c>
      <c r="AD545" s="13" t="str">
        <f t="shared" ref="AD545" si="117">C545</f>
        <v>FBO</v>
      </c>
    </row>
    <row r="546" spans="1:30" s="6" customFormat="1" ht="20.100000000000001" customHeight="1" outlineLevel="1" x14ac:dyDescent="0.25">
      <c r="A546" s="631" t="s">
        <v>8546</v>
      </c>
      <c r="B546" s="29"/>
      <c r="C546" s="495" t="s">
        <v>2582</v>
      </c>
      <c r="D546" s="500" t="s">
        <v>8545</v>
      </c>
      <c r="E546" s="497">
        <v>24</v>
      </c>
      <c r="F546" s="498"/>
      <c r="G546" s="499"/>
      <c r="H546" s="497" t="s">
        <v>8544</v>
      </c>
      <c r="I546" s="497"/>
      <c r="J546" s="497"/>
      <c r="K546" s="498"/>
      <c r="L546" s="499"/>
      <c r="M546" s="499"/>
      <c r="N546" s="497" t="s">
        <v>8553</v>
      </c>
      <c r="O546" s="497">
        <v>1950238664</v>
      </c>
      <c r="P546" s="497">
        <v>1950238664</v>
      </c>
      <c r="Q546" s="791"/>
      <c r="R546" s="791"/>
      <c r="S546" s="497"/>
      <c r="T546" s="497"/>
      <c r="U546" s="497"/>
      <c r="V546" s="497"/>
      <c r="W546" s="497"/>
      <c r="X546" s="497"/>
      <c r="Y546" s="497"/>
      <c r="Z546" s="35"/>
      <c r="AA546" s="1" t="str">
        <f>IFERROR(VLOOKUP(D:D,[1]Габариты!$A:$I,9,0),"")</f>
        <v>Основной ассортимент</v>
      </c>
      <c r="AB546" s="6" t="str">
        <f>IFERROR(VLOOKUP(D:D,[1]Габариты!$A:$D,4,0),"")</f>
        <v>ТУМБЫ ПРИКРОВАТНЫЕ</v>
      </c>
      <c r="AC546" s="39" t="str">
        <f t="shared" ref="AC546:AC613" si="118">D546</f>
        <v>5200.17Ч/01</v>
      </c>
      <c r="AD546" s="361" t="str">
        <f t="shared" ref="AD546" si="119">C546</f>
        <v>FBO</v>
      </c>
    </row>
    <row r="547" spans="1:30" s="6" customFormat="1" ht="20.100000000000001" customHeight="1" outlineLevel="1" x14ac:dyDescent="0.25">
      <c r="A547" s="631" t="s">
        <v>8515</v>
      </c>
      <c r="B547" s="29"/>
      <c r="C547" s="488" t="s">
        <v>2582</v>
      </c>
      <c r="D547" s="494" t="s">
        <v>8516</v>
      </c>
      <c r="E547" s="490">
        <v>28</v>
      </c>
      <c r="F547" s="491"/>
      <c r="G547" s="492"/>
      <c r="H547" s="490" t="s">
        <v>8517</v>
      </c>
      <c r="I547" s="490"/>
      <c r="J547" s="490"/>
      <c r="K547" s="491"/>
      <c r="L547" s="492"/>
      <c r="M547" s="492"/>
      <c r="N547" s="490" t="s">
        <v>8540</v>
      </c>
      <c r="O547" s="490">
        <v>1946915160</v>
      </c>
      <c r="P547" s="490">
        <v>1946915160</v>
      </c>
      <c r="Q547" s="847"/>
      <c r="R547" s="847"/>
      <c r="S547" s="490"/>
      <c r="T547" s="490"/>
      <c r="U547" s="490"/>
      <c r="V547" s="490"/>
      <c r="W547" s="490"/>
      <c r="X547" s="490" t="s">
        <v>8540</v>
      </c>
      <c r="Y547" s="490"/>
      <c r="Z547" s="35"/>
      <c r="AA547" s="1" t="str">
        <f>IFERROR(VLOOKUP(D:D,[1]Габариты!$A:$I,9,0),"")</f>
        <v>Основной ассортимент</v>
      </c>
      <c r="AB547" s="6" t="str">
        <f>IFERROR(VLOOKUP(D:D,[1]Габариты!$A:$D,4,0),"")</f>
        <v>ТУМБЫ ПРИКРОВАТНЫЕ</v>
      </c>
      <c r="AC547" s="39" t="str">
        <f>D547</f>
        <v>9902.09.31/01</v>
      </c>
      <c r="AD547" s="361" t="str">
        <f t="shared" ref="AD547" si="120">C547</f>
        <v>FBO</v>
      </c>
    </row>
    <row r="548" spans="1:30" s="6" customFormat="1" ht="20.100000000000001" customHeight="1" outlineLevel="1" x14ac:dyDescent="0.2">
      <c r="A548" s="755" t="s">
        <v>3692</v>
      </c>
      <c r="B548" s="754" t="s">
        <v>7774</v>
      </c>
      <c r="C548" s="164"/>
      <c r="D548" s="165"/>
      <c r="E548" s="166"/>
      <c r="F548" s="167"/>
      <c r="G548" s="168"/>
      <c r="H548" s="166"/>
      <c r="I548" s="166"/>
      <c r="J548" s="166"/>
      <c r="K548" s="167"/>
      <c r="L548" s="168"/>
      <c r="M548" s="168"/>
      <c r="N548" s="848"/>
      <c r="O548" s="166"/>
      <c r="P548" s="166"/>
      <c r="Q548" s="793"/>
      <c r="R548" s="793"/>
      <c r="S548" s="166"/>
      <c r="T548" s="166"/>
      <c r="U548" s="166"/>
      <c r="V548" s="166"/>
      <c r="W548" s="166"/>
      <c r="X548" s="166"/>
      <c r="Y548" s="166"/>
      <c r="Z548" s="35"/>
      <c r="AA548" s="1" t="str">
        <f>IFERROR(VLOOKUP(D:D,[1]Габариты!$A:$I,9,0),"")</f>
        <v/>
      </c>
      <c r="AB548" s="6" t="str">
        <f>IFERROR(VLOOKUP(D:D,[1]Габариты!$A:$D,4,0),"")</f>
        <v/>
      </c>
      <c r="AC548" s="39"/>
      <c r="AD548" s="3"/>
    </row>
    <row r="549" spans="1:30" s="6" customFormat="1" ht="20.100000000000001" customHeight="1" outlineLevel="1" x14ac:dyDescent="0.25">
      <c r="A549" s="698" t="s">
        <v>8073</v>
      </c>
      <c r="B549" s="294"/>
      <c r="C549" s="295" t="s">
        <v>2582</v>
      </c>
      <c r="D549" s="296" t="s">
        <v>8072</v>
      </c>
      <c r="E549" s="297">
        <v>22</v>
      </c>
      <c r="F549" s="298" t="s">
        <v>8199</v>
      </c>
      <c r="G549" s="299"/>
      <c r="H549" s="297" t="s">
        <v>8080</v>
      </c>
      <c r="I549" s="297"/>
      <c r="J549" s="297"/>
      <c r="K549" s="298"/>
      <c r="L549" s="299"/>
      <c r="M549" s="299"/>
      <c r="N549" s="849" t="s">
        <v>8093</v>
      </c>
      <c r="O549" s="297">
        <v>1787235705</v>
      </c>
      <c r="P549" s="297">
        <v>1787235705</v>
      </c>
      <c r="Q549" s="850"/>
      <c r="R549" s="850"/>
      <c r="S549" s="297"/>
      <c r="T549" s="297"/>
      <c r="U549" s="297"/>
      <c r="V549" s="297"/>
      <c r="W549" s="297"/>
      <c r="X549" s="297"/>
      <c r="Y549" s="297"/>
      <c r="Z549" s="35"/>
      <c r="AA549" s="1" t="str">
        <f>IFERROR(VLOOKUP(D:D,[1]Габариты!$A:$I,9,0),"")</f>
        <v>Вакансия</v>
      </c>
      <c r="AB549" s="6" t="str">
        <f>IFERROR(VLOOKUP(D:D,[1]Габариты!$A:$D,4,0),"")</f>
        <v>ТУМБЫ ПРИКРОВАТНЫЕ</v>
      </c>
      <c r="AC549" s="39" t="str">
        <f t="shared" si="118"/>
        <v>5003.05.09/01</v>
      </c>
      <c r="AD549" s="13" t="str">
        <f t="shared" si="116"/>
        <v>FBO</v>
      </c>
    </row>
    <row r="550" spans="1:30" s="6" customFormat="1" ht="20.100000000000001" customHeight="1" outlineLevel="1" x14ac:dyDescent="0.25">
      <c r="A550" s="699" t="s">
        <v>8141</v>
      </c>
      <c r="B550" s="332"/>
      <c r="C550" s="13" t="s">
        <v>2582</v>
      </c>
      <c r="D550" s="334" t="s">
        <v>8140</v>
      </c>
      <c r="E550" s="335">
        <v>30</v>
      </c>
      <c r="F550" s="336" t="s">
        <v>8140</v>
      </c>
      <c r="G550" s="337"/>
      <c r="H550" s="335" t="s">
        <v>8149</v>
      </c>
      <c r="I550" s="335"/>
      <c r="J550" s="335"/>
      <c r="K550" s="336"/>
      <c r="L550" s="337"/>
      <c r="M550" s="337"/>
      <c r="N550" s="851" t="s">
        <v>8177</v>
      </c>
      <c r="O550" s="335">
        <v>1823104664</v>
      </c>
      <c r="P550" s="335">
        <v>1823104664</v>
      </c>
      <c r="Q550" s="852"/>
      <c r="R550" s="852"/>
      <c r="S550" s="335"/>
      <c r="T550" s="335"/>
      <c r="U550" s="335"/>
      <c r="V550" s="335"/>
      <c r="W550" s="335"/>
      <c r="X550" s="335" t="s">
        <v>8177</v>
      </c>
      <c r="Y550" s="335"/>
      <c r="Z550" s="35"/>
      <c r="AA550" s="1" t="str">
        <f>IFERROR(VLOOKUP(D:D,[1]Габариты!$A:$I,9,0),"")</f>
        <v>Основной ассортимент</v>
      </c>
      <c r="AB550" s="6" t="str">
        <f>IFERROR(VLOOKUP(D:D,[1]Габариты!$A:$D,4,0),"")</f>
        <v>ТУМБЫ ПРИКРОВАТНЫЕ</v>
      </c>
      <c r="AC550" s="39" t="str">
        <f t="shared" si="118"/>
        <v>13002.17/01</v>
      </c>
      <c r="AD550" s="13" t="str">
        <f t="shared" ref="AD550" si="121">C550</f>
        <v>FBO</v>
      </c>
    </row>
    <row r="551" spans="1:30" s="6" customFormat="1" ht="20.100000000000001" customHeight="1" outlineLevel="1" x14ac:dyDescent="0.25">
      <c r="A551" s="700" t="s">
        <v>8514</v>
      </c>
      <c r="B551" s="486"/>
      <c r="C551" s="13" t="s">
        <v>2582</v>
      </c>
      <c r="D551" s="493" t="s">
        <v>8512</v>
      </c>
      <c r="E551" s="335">
        <v>30</v>
      </c>
      <c r="F551" s="491"/>
      <c r="G551" s="492"/>
      <c r="H551" s="490" t="s">
        <v>8513</v>
      </c>
      <c r="I551" s="490"/>
      <c r="J551" s="490"/>
      <c r="K551" s="491"/>
      <c r="L551" s="492"/>
      <c r="M551" s="492"/>
      <c r="N551" s="853" t="s">
        <v>8537</v>
      </c>
      <c r="O551" s="490">
        <v>1946735601</v>
      </c>
      <c r="P551" s="490">
        <v>1946735601</v>
      </c>
      <c r="Q551" s="847"/>
      <c r="R551" s="847"/>
      <c r="S551" s="490"/>
      <c r="T551" s="490"/>
      <c r="U551" s="490"/>
      <c r="V551" s="490"/>
      <c r="W551" s="490"/>
      <c r="X551" s="490"/>
      <c r="Y551" s="490"/>
      <c r="Z551" s="35"/>
      <c r="AA551" s="1" t="str">
        <f>IFERROR(VLOOKUP(D:D,[1]Габариты!$A:$I,9,0),"")</f>
        <v>Основной ассортимент</v>
      </c>
      <c r="AB551" s="6" t="str">
        <f>IFERROR(VLOOKUP(D:D,[1]Габариты!$A:$D,4,0),"")</f>
        <v>ТУМБЫ ПРИКРОВАТНЫЕ</v>
      </c>
      <c r="AC551" s="39" t="str">
        <f t="shared" si="118"/>
        <v>13002.09/01</v>
      </c>
      <c r="AD551" s="13" t="str">
        <f t="shared" ref="AD551" si="122">C551</f>
        <v>FBO</v>
      </c>
    </row>
    <row r="552" spans="1:30" s="6" customFormat="1" ht="20.100000000000001" customHeight="1" outlineLevel="1" x14ac:dyDescent="0.25">
      <c r="A552" s="701" t="s">
        <v>8447</v>
      </c>
      <c r="B552" s="446"/>
      <c r="C552" s="441" t="s">
        <v>2582</v>
      </c>
      <c r="D552" s="442" t="s">
        <v>8446</v>
      </c>
      <c r="E552" s="443">
        <v>32</v>
      </c>
      <c r="F552" s="444"/>
      <c r="G552" s="445"/>
      <c r="H552" s="443" t="s">
        <v>8445</v>
      </c>
      <c r="I552" s="443"/>
      <c r="J552" s="443"/>
      <c r="K552" s="444"/>
      <c r="L552" s="445"/>
      <c r="M552" s="445"/>
      <c r="N552" s="854" t="s">
        <v>8519</v>
      </c>
      <c r="O552" s="443">
        <v>1922779147</v>
      </c>
      <c r="P552" s="443">
        <v>1922779147</v>
      </c>
      <c r="Q552" s="843"/>
      <c r="R552" s="843"/>
      <c r="S552" s="443"/>
      <c r="T552" s="443"/>
      <c r="U552" s="443"/>
      <c r="V552" s="443"/>
      <c r="W552" s="443"/>
      <c r="X552" s="443"/>
      <c r="Y552" s="443"/>
      <c r="Z552" s="35"/>
      <c r="AA552" s="1" t="str">
        <f>IFERROR(VLOOKUP(D:D,[1]Габариты!$A:$I,9,0),"")</f>
        <v>Основной ассортимент</v>
      </c>
      <c r="AB552" s="6" t="str">
        <f>IFERROR(VLOOKUP(D:D,[1]Габариты!$A:$D,4,0),"")</f>
        <v>ТУМБЫ ПРИКРОВАТНЫЕ</v>
      </c>
      <c r="AC552" s="39" t="str">
        <f t="shared" si="118"/>
        <v>5050.17Ч/01</v>
      </c>
      <c r="AD552" s="13" t="str">
        <f t="shared" ref="AD552" si="123">C552</f>
        <v>FBO</v>
      </c>
    </row>
    <row r="553" spans="1:30" s="6" customFormat="1" ht="20.100000000000001" customHeight="1" outlineLevel="1" x14ac:dyDescent="0.25">
      <c r="A553" s="650" t="s">
        <v>8484</v>
      </c>
      <c r="B553" s="462"/>
      <c r="C553" s="463" t="s">
        <v>2582</v>
      </c>
      <c r="D553" s="464" t="s">
        <v>8482</v>
      </c>
      <c r="E553" s="465">
        <v>28</v>
      </c>
      <c r="F553" s="466"/>
      <c r="G553" s="467"/>
      <c r="H553" s="465" t="s">
        <v>8483</v>
      </c>
      <c r="I553" s="465"/>
      <c r="J553" s="465"/>
      <c r="K553" s="466"/>
      <c r="L553" s="467"/>
      <c r="M553" s="467"/>
      <c r="N553" s="855" t="s">
        <v>8529</v>
      </c>
      <c r="O553" s="465">
        <v>1934787897</v>
      </c>
      <c r="P553" s="465">
        <v>1934787897</v>
      </c>
      <c r="Q553" s="790"/>
      <c r="R553" s="790"/>
      <c r="S553" s="465"/>
      <c r="T553" s="465"/>
      <c r="U553" s="465"/>
      <c r="V553" s="465"/>
      <c r="W553" s="465"/>
      <c r="X553" s="465"/>
      <c r="Y553" s="465"/>
      <c r="Z553" s="35"/>
      <c r="AA553" s="1" t="str">
        <f>IFERROR(VLOOKUP(D:D,[1]Габариты!$A:$I,9,0),"")</f>
        <v>Основной ассортимент</v>
      </c>
      <c r="AB553" s="6" t="str">
        <f>IFERROR(VLOOKUP(D:D,[1]Габариты!$A:$D,4,0),"")</f>
        <v>ТУМБЫ ПРИКРОВАТНЫЕ</v>
      </c>
      <c r="AC553" s="39" t="str">
        <f t="shared" si="118"/>
        <v>5068.17Ч/01</v>
      </c>
      <c r="AD553" s="13" t="str">
        <f t="shared" ref="AD553:AD554" si="124">C553</f>
        <v>FBO</v>
      </c>
    </row>
    <row r="554" spans="1:30" s="6" customFormat="1" ht="20.100000000000001" customHeight="1" outlineLevel="1" x14ac:dyDescent="0.25">
      <c r="A554" s="696" t="s">
        <v>8490</v>
      </c>
      <c r="B554" s="476"/>
      <c r="C554" s="470" t="s">
        <v>2582</v>
      </c>
      <c r="D554" s="471" t="s">
        <v>8488</v>
      </c>
      <c r="E554" s="472">
        <v>64</v>
      </c>
      <c r="F554" s="473"/>
      <c r="G554" s="474"/>
      <c r="H554" s="472" t="s">
        <v>8489</v>
      </c>
      <c r="I554" s="472"/>
      <c r="J554" s="472"/>
      <c r="K554" s="473"/>
      <c r="L554" s="474"/>
      <c r="M554" s="474"/>
      <c r="N554" s="472" t="s">
        <v>8530</v>
      </c>
      <c r="O554" s="472">
        <v>1937417063</v>
      </c>
      <c r="P554" s="472">
        <v>1937417063</v>
      </c>
      <c r="Q554" s="844"/>
      <c r="R554" s="844"/>
      <c r="S554" s="472"/>
      <c r="T554" s="472"/>
      <c r="U554" s="472"/>
      <c r="V554" s="472"/>
      <c r="W554" s="472"/>
      <c r="X554" s="472"/>
      <c r="Y554" s="472"/>
      <c r="Z554" s="35"/>
      <c r="AA554" s="1" t="str">
        <f>IFERROR(VLOOKUP(D:D,[1]Габариты!$A:$I,9,0),"")</f>
        <v>Основной ассортимент</v>
      </c>
      <c r="AB554" s="6" t="str">
        <f>IFERROR(VLOOKUP(D:D,[1]Габариты!$A:$D,4,0),"")</f>
        <v>ТУМБЫ ПРИКРОВАТНЫЕ</v>
      </c>
      <c r="AC554" s="39" t="str">
        <f t="shared" si="118"/>
        <v>5069.17Ч/01</v>
      </c>
      <c r="AD554" s="13" t="str">
        <f t="shared" si="124"/>
        <v>FBO</v>
      </c>
    </row>
    <row r="555" spans="1:30" s="6" customFormat="1" ht="20.100000000000001" customHeight="1" outlineLevel="1" x14ac:dyDescent="0.25">
      <c r="A555" s="698" t="s">
        <v>8075</v>
      </c>
      <c r="B555" s="294"/>
      <c r="C555" s="295" t="s">
        <v>2582</v>
      </c>
      <c r="D555" s="296" t="s">
        <v>8074</v>
      </c>
      <c r="E555" s="297">
        <v>44</v>
      </c>
      <c r="F555" s="298" t="s">
        <v>8188</v>
      </c>
      <c r="G555" s="299"/>
      <c r="H555" s="297" t="s">
        <v>8150</v>
      </c>
      <c r="I555" s="297"/>
      <c r="J555" s="297"/>
      <c r="K555" s="298"/>
      <c r="L555" s="299"/>
      <c r="M555" s="299"/>
      <c r="N555" s="849" t="s">
        <v>8175</v>
      </c>
      <c r="O555" s="297">
        <v>1822756866</v>
      </c>
      <c r="P555" s="297">
        <v>1822756866</v>
      </c>
      <c r="Q555" s="850"/>
      <c r="R555" s="850"/>
      <c r="S555" s="297"/>
      <c r="T555" s="297"/>
      <c r="U555" s="297"/>
      <c r="V555" s="297"/>
      <c r="W555" s="297"/>
      <c r="X555" s="297" t="s">
        <v>8175</v>
      </c>
      <c r="Y555" s="297"/>
      <c r="Z555" s="35"/>
      <c r="AA555" s="1" t="str">
        <f>IFERROR(VLOOKUP(D:D,[1]Габариты!$A:$I,9,0),"")</f>
        <v>Вакансия</v>
      </c>
      <c r="AB555" s="6" t="str">
        <f>IFERROR(VLOOKUP(D:D,[1]Габариты!$A:$D,4,0),"")</f>
        <v>ТУМБЫ ПРИКРОВАТНЫЕ</v>
      </c>
      <c r="AC555" s="39" t="str">
        <f>D555</f>
        <v>MK189010151</v>
      </c>
      <c r="AD555" s="13" t="str">
        <f>C555</f>
        <v>FBO</v>
      </c>
    </row>
    <row r="556" spans="1:30" s="1" customFormat="1" ht="20.100000000000001" customHeight="1" outlineLevel="1" x14ac:dyDescent="0.2">
      <c r="A556" s="753" t="s">
        <v>439</v>
      </c>
      <c r="B556" s="753" t="s">
        <v>3877</v>
      </c>
      <c r="C556" s="13"/>
      <c r="D556" s="42"/>
      <c r="E556" s="4"/>
      <c r="F556" s="101"/>
      <c r="G556" s="57"/>
      <c r="H556" s="4"/>
      <c r="I556" s="4"/>
      <c r="J556" s="4"/>
      <c r="K556" s="54"/>
      <c r="L556" s="57"/>
      <c r="M556" s="57"/>
      <c r="N556" s="766"/>
      <c r="O556" s="4"/>
      <c r="P556" s="4"/>
      <c r="Q556" s="767"/>
      <c r="R556" s="767"/>
      <c r="S556" s="4"/>
      <c r="T556" s="4"/>
      <c r="U556" s="4"/>
      <c r="V556" s="4"/>
      <c r="W556" s="4"/>
      <c r="X556" s="166"/>
      <c r="Y556" s="4" t="s">
        <v>4066</v>
      </c>
      <c r="Z556" s="35"/>
      <c r="AA556" s="1" t="str">
        <f>IFERROR(VLOOKUP(D:D,[1]Габариты!$A:$I,9,0),"")</f>
        <v/>
      </c>
      <c r="AB556" s="6" t="str">
        <f>IFERROR(VLOOKUP(D:D,[1]Габариты!$A:$D,4,0),"")</f>
        <v/>
      </c>
      <c r="AC556" s="39"/>
      <c r="AD556" s="3"/>
    </row>
    <row r="557" spans="1:30" s="6" customFormat="1" ht="20.100000000000001" customHeight="1" outlineLevel="1" x14ac:dyDescent="0.25">
      <c r="A557" s="631" t="s">
        <v>1568</v>
      </c>
      <c r="B557" s="29"/>
      <c r="C557" s="13" t="s">
        <v>4050</v>
      </c>
      <c r="D557" s="40">
        <v>14013</v>
      </c>
      <c r="E557" s="4">
        <v>7</v>
      </c>
      <c r="F557" s="101">
        <v>14013</v>
      </c>
      <c r="G557" s="57"/>
      <c r="H557" s="4" t="s">
        <v>6979</v>
      </c>
      <c r="I557" s="4"/>
      <c r="J557" s="4" t="s">
        <v>4164</v>
      </c>
      <c r="K557" s="54"/>
      <c r="L557" s="57"/>
      <c r="M557" s="57"/>
      <c r="N557" s="4" t="s">
        <v>1654</v>
      </c>
      <c r="O557" s="4">
        <v>774071099</v>
      </c>
      <c r="P557" s="4">
        <v>774071098</v>
      </c>
      <c r="Q557" s="767"/>
      <c r="R557" s="767"/>
      <c r="S557" s="4"/>
      <c r="T557" s="4"/>
      <c r="U557" s="4"/>
      <c r="V557" s="4"/>
      <c r="W557" s="4"/>
      <c r="X557" s="4" t="s">
        <v>1654</v>
      </c>
      <c r="Y557" s="4" t="s">
        <v>4066</v>
      </c>
      <c r="Z557" s="35"/>
      <c r="AA557" s="1" t="str">
        <f>IFERROR(VLOOKUP(D:D,[1]Габариты!$A:$I,9,0),"")</f>
        <v>Основной ассортимент</v>
      </c>
      <c r="AB557" s="6" t="str">
        <f>IFERROR(VLOOKUP(D:D,[1]Габариты!$A:$D,4,0),"")</f>
        <v>ШКАФЫ</v>
      </c>
      <c r="AC557" s="39">
        <f t="shared" si="118"/>
        <v>14013</v>
      </c>
      <c r="AD557" s="13" t="str">
        <f t="shared" si="116"/>
        <v>СКГТ (ОЗОН)</v>
      </c>
    </row>
    <row r="558" spans="1:30" s="6" customFormat="1" ht="20.100000000000001" customHeight="1" outlineLevel="1" x14ac:dyDescent="0.25">
      <c r="A558" s="743" t="s">
        <v>3376</v>
      </c>
      <c r="B558" s="21"/>
      <c r="C558" s="13" t="s">
        <v>4050</v>
      </c>
      <c r="D558" s="39">
        <v>14116</v>
      </c>
      <c r="E558" s="4">
        <v>7</v>
      </c>
      <c r="F558" s="101">
        <v>14116</v>
      </c>
      <c r="G558" s="57"/>
      <c r="H558" s="4" t="s">
        <v>6980</v>
      </c>
      <c r="I558" s="4"/>
      <c r="J558" s="4" t="s">
        <v>4166</v>
      </c>
      <c r="K558" s="54"/>
      <c r="L558" s="57"/>
      <c r="M558" s="57"/>
      <c r="N558" s="4" t="s">
        <v>3465</v>
      </c>
      <c r="O558" s="4">
        <v>1046099626</v>
      </c>
      <c r="P558" s="4">
        <v>1046099627</v>
      </c>
      <c r="Q558" s="767"/>
      <c r="R558" s="767"/>
      <c r="S558" s="4"/>
      <c r="T558" s="4"/>
      <c r="U558" s="4"/>
      <c r="V558" s="4"/>
      <c r="W558" s="4"/>
      <c r="X558" s="4" t="s">
        <v>3465</v>
      </c>
      <c r="Y558" s="4">
        <v>14116</v>
      </c>
      <c r="Z558" s="35"/>
      <c r="AA558" s="1" t="str">
        <f>IFERROR(VLOOKUP(D:D,[1]Габариты!$A:$I,9,0),"")</f>
        <v>Основной ассортимент</v>
      </c>
      <c r="AB558" s="6" t="str">
        <f>IFERROR(VLOOKUP(D:D,[1]Габариты!$A:$D,4,0),"")</f>
        <v>ШКАФЫ</v>
      </c>
      <c r="AC558" s="39">
        <f t="shared" si="118"/>
        <v>14116</v>
      </c>
      <c r="AD558" s="13" t="str">
        <f t="shared" si="116"/>
        <v>СКГТ (ОЗОН)</v>
      </c>
    </row>
    <row r="559" spans="1:30" s="6" customFormat="1" ht="20.100000000000001" customHeight="1" outlineLevel="1" x14ac:dyDescent="0.25">
      <c r="A559" s="631" t="s">
        <v>8640</v>
      </c>
      <c r="B559" s="544"/>
      <c r="C559" s="13" t="s">
        <v>4050</v>
      </c>
      <c r="D559" s="545">
        <v>14113</v>
      </c>
      <c r="E559" s="4">
        <v>7</v>
      </c>
      <c r="F559" s="541"/>
      <c r="G559" s="542"/>
      <c r="H559" s="540" t="s">
        <v>8641</v>
      </c>
      <c r="I559" s="540"/>
      <c r="J559" s="540"/>
      <c r="K559" s="541"/>
      <c r="L559" s="542"/>
      <c r="M559" s="542"/>
      <c r="N559" s="540" t="s">
        <v>8644</v>
      </c>
      <c r="O559" s="540">
        <v>2082252811</v>
      </c>
      <c r="P559" s="540">
        <v>2082252811</v>
      </c>
      <c r="Q559" s="828"/>
      <c r="R559" s="828"/>
      <c r="S559" s="540"/>
      <c r="T559" s="540"/>
      <c r="U559" s="540"/>
      <c r="V559" s="540"/>
      <c r="W559" s="540"/>
      <c r="X559" s="540"/>
      <c r="Y559" s="540"/>
      <c r="Z559" s="35"/>
      <c r="AA559" s="1" t="str">
        <f>IFERROR(VLOOKUP(D:D,[1]Габариты!$A:$I,9,0),"")</f>
        <v>Основной ассортимент</v>
      </c>
      <c r="AB559" s="6" t="str">
        <f>IFERROR(VLOOKUP(D:D,[1]Габариты!$A:$D,4,0),"")</f>
        <v>ШКАФЫ</v>
      </c>
      <c r="AC559" s="39">
        <f t="shared" ref="AC559" si="125">D559</f>
        <v>14113</v>
      </c>
      <c r="AD559" s="13" t="str">
        <f t="shared" ref="AD559" si="126">C559</f>
        <v>СКГТ (ОЗОН)</v>
      </c>
    </row>
    <row r="560" spans="1:30" s="6" customFormat="1" ht="20.100000000000001" customHeight="1" outlineLevel="1" x14ac:dyDescent="0.25">
      <c r="A560" s="743" t="s">
        <v>3510</v>
      </c>
      <c r="B560" s="21"/>
      <c r="C560" s="13" t="s">
        <v>4050</v>
      </c>
      <c r="D560" s="39">
        <v>14114</v>
      </c>
      <c r="E560" s="4">
        <v>7</v>
      </c>
      <c r="F560" s="101">
        <v>14114</v>
      </c>
      <c r="G560" s="57"/>
      <c r="H560" s="4" t="s">
        <v>6981</v>
      </c>
      <c r="I560" s="4"/>
      <c r="J560" s="4" t="s">
        <v>4165</v>
      </c>
      <c r="K560" s="54"/>
      <c r="L560" s="57"/>
      <c r="M560" s="57"/>
      <c r="N560" s="4" t="s">
        <v>3644</v>
      </c>
      <c r="O560" s="4">
        <v>1101626097</v>
      </c>
      <c r="P560" s="4">
        <v>1101626094</v>
      </c>
      <c r="Q560" s="767"/>
      <c r="R560" s="767"/>
      <c r="S560" s="4"/>
      <c r="T560" s="4"/>
      <c r="U560" s="4"/>
      <c r="V560" s="4"/>
      <c r="W560" s="4"/>
      <c r="X560" s="4" t="s">
        <v>3644</v>
      </c>
      <c r="Y560" s="4">
        <v>14114</v>
      </c>
      <c r="Z560" s="35"/>
      <c r="AA560" s="1" t="str">
        <f>IFERROR(VLOOKUP(D:D,[1]Габариты!$A:$I,9,0),"")</f>
        <v>Основной ассортимент</v>
      </c>
      <c r="AB560" s="6" t="str">
        <f>IFERROR(VLOOKUP(D:D,[1]Габариты!$A:$D,4,0),"")</f>
        <v>ШКАФЫ</v>
      </c>
      <c r="AC560" s="39">
        <f t="shared" si="118"/>
        <v>14114</v>
      </c>
      <c r="AD560" s="13" t="str">
        <f t="shared" si="116"/>
        <v>СКГТ (ОЗОН)</v>
      </c>
    </row>
    <row r="561" spans="1:30" s="6" customFormat="1" ht="20.100000000000001" customHeight="1" outlineLevel="1" x14ac:dyDescent="0.25">
      <c r="A561" s="743" t="s">
        <v>3511</v>
      </c>
      <c r="B561" s="21"/>
      <c r="C561" s="13" t="s">
        <v>4050</v>
      </c>
      <c r="D561" s="39">
        <v>14115</v>
      </c>
      <c r="E561" s="4">
        <v>7</v>
      </c>
      <c r="F561" s="101">
        <v>14115</v>
      </c>
      <c r="G561" s="57"/>
      <c r="H561" s="4" t="s">
        <v>6982</v>
      </c>
      <c r="I561" s="4"/>
      <c r="J561" s="4" t="s">
        <v>4019</v>
      </c>
      <c r="K561" s="54"/>
      <c r="L561" s="57"/>
      <c r="M561" s="57"/>
      <c r="N561" s="4" t="s">
        <v>3621</v>
      </c>
      <c r="O561" s="4">
        <v>1089584576</v>
      </c>
      <c r="P561" s="4">
        <v>1089584577</v>
      </c>
      <c r="Q561" s="767"/>
      <c r="R561" s="767"/>
      <c r="S561" s="4"/>
      <c r="T561" s="4"/>
      <c r="U561" s="4"/>
      <c r="V561" s="4"/>
      <c r="W561" s="4"/>
      <c r="X561" s="4" t="s">
        <v>3621</v>
      </c>
      <c r="Y561" s="4" t="s">
        <v>4066</v>
      </c>
      <c r="Z561" s="35"/>
      <c r="AA561" s="1" t="str">
        <f>IFERROR(VLOOKUP(D:D,[1]Габариты!$A:$I,9,0),"")</f>
        <v>Основной ассортимент</v>
      </c>
      <c r="AB561" s="6" t="str">
        <f>IFERROR(VLOOKUP(D:D,[1]Габариты!$A:$D,4,0),"")</f>
        <v>ШКАФЫ</v>
      </c>
      <c r="AC561" s="39">
        <f t="shared" si="118"/>
        <v>14115</v>
      </c>
      <c r="AD561" s="13" t="str">
        <f t="shared" si="116"/>
        <v>СКГТ (ОЗОН)</v>
      </c>
    </row>
    <row r="562" spans="1:30" s="6" customFormat="1" ht="20.100000000000001" customHeight="1" outlineLevel="1" x14ac:dyDescent="0.25">
      <c r="A562" s="743" t="s">
        <v>3728</v>
      </c>
      <c r="B562" s="21"/>
      <c r="C562" s="13" t="s">
        <v>4050</v>
      </c>
      <c r="D562" s="39">
        <v>14110</v>
      </c>
      <c r="E562" s="4">
        <v>7</v>
      </c>
      <c r="F562" s="101">
        <v>14110</v>
      </c>
      <c r="G562" s="57"/>
      <c r="H562" s="4" t="s">
        <v>6983</v>
      </c>
      <c r="I562" s="4"/>
      <c r="J562" s="4" t="s">
        <v>7602</v>
      </c>
      <c r="K562" s="54"/>
      <c r="L562" s="57"/>
      <c r="M562" s="57"/>
      <c r="N562" s="4" t="s">
        <v>3742</v>
      </c>
      <c r="O562" s="4">
        <v>1199254553</v>
      </c>
      <c r="P562" s="4">
        <v>1199254560</v>
      </c>
      <c r="Q562" s="767"/>
      <c r="R562" s="767"/>
      <c r="S562" s="4"/>
      <c r="T562" s="4"/>
      <c r="U562" s="4"/>
      <c r="V562" s="4"/>
      <c r="W562" s="4"/>
      <c r="X562" s="4" t="s">
        <v>3742</v>
      </c>
      <c r="Y562" s="4">
        <v>14110</v>
      </c>
      <c r="Z562" s="35"/>
      <c r="AA562" s="1" t="str">
        <f>IFERROR(VLOOKUP(D:D,[1]Габариты!$A:$I,9,0),"")</f>
        <v>Основной ассортимент</v>
      </c>
      <c r="AB562" s="6" t="str">
        <f>IFERROR(VLOOKUP(D:D,[1]Габариты!$A:$D,4,0),"")</f>
        <v>ШКАФЫ</v>
      </c>
      <c r="AC562" s="39">
        <f t="shared" si="118"/>
        <v>14110</v>
      </c>
      <c r="AD562" s="13" t="str">
        <f t="shared" si="116"/>
        <v>СКГТ (ОЗОН)</v>
      </c>
    </row>
    <row r="563" spans="1:30" s="6" customFormat="1" ht="20.100000000000001" customHeight="1" outlineLevel="1" x14ac:dyDescent="0.25">
      <c r="A563" s="743" t="s">
        <v>3759</v>
      </c>
      <c r="B563" s="21"/>
      <c r="C563" s="13" t="s">
        <v>4050</v>
      </c>
      <c r="D563" s="39">
        <v>14111</v>
      </c>
      <c r="E563" s="4">
        <v>7</v>
      </c>
      <c r="F563" s="101">
        <v>14111</v>
      </c>
      <c r="G563" s="57"/>
      <c r="H563" s="4" t="s">
        <v>6984</v>
      </c>
      <c r="I563" s="4"/>
      <c r="J563" s="4" t="s">
        <v>4005</v>
      </c>
      <c r="K563" s="54"/>
      <c r="L563" s="57"/>
      <c r="M563" s="57"/>
      <c r="N563" s="4" t="s">
        <v>3761</v>
      </c>
      <c r="O563" s="4">
        <v>1221463832</v>
      </c>
      <c r="P563" s="4">
        <v>1221463834</v>
      </c>
      <c r="Q563" s="767"/>
      <c r="R563" s="767"/>
      <c r="S563" s="4"/>
      <c r="T563" s="4"/>
      <c r="U563" s="4"/>
      <c r="V563" s="4"/>
      <c r="W563" s="4"/>
      <c r="X563" s="4" t="s">
        <v>3761</v>
      </c>
      <c r="Y563" s="4" t="s">
        <v>4066</v>
      </c>
      <c r="Z563" s="35"/>
      <c r="AA563" s="1" t="str">
        <f>IFERROR(VLOOKUP(D:D,[1]Габариты!$A:$I,9,0),"")</f>
        <v>Основной ассортимент</v>
      </c>
      <c r="AB563" s="6" t="str">
        <f>IFERROR(VLOOKUP(D:D,[1]Габариты!$A:$D,4,0),"")</f>
        <v>ШКАФЫ</v>
      </c>
      <c r="AC563" s="39">
        <f t="shared" si="118"/>
        <v>14111</v>
      </c>
      <c r="AD563" s="13" t="str">
        <f t="shared" si="116"/>
        <v>СКГТ (ОЗОН)</v>
      </c>
    </row>
    <row r="564" spans="1:30" s="6" customFormat="1" ht="20.100000000000001" customHeight="1" outlineLevel="1" x14ac:dyDescent="0.25">
      <c r="A564" s="631" t="s">
        <v>3336</v>
      </c>
      <c r="B564" s="29"/>
      <c r="C564" s="13" t="s">
        <v>4050</v>
      </c>
      <c r="D564" s="40">
        <v>14012</v>
      </c>
      <c r="E564" s="4">
        <v>10</v>
      </c>
      <c r="F564" s="101">
        <v>3556</v>
      </c>
      <c r="G564" s="57" t="s">
        <v>7986</v>
      </c>
      <c r="H564" s="4" t="s">
        <v>6985</v>
      </c>
      <c r="I564" s="4"/>
      <c r="J564" s="4" t="s">
        <v>4021</v>
      </c>
      <c r="K564" s="54" t="s">
        <v>7767</v>
      </c>
      <c r="L564" s="57">
        <v>946516541</v>
      </c>
      <c r="M564" s="57">
        <v>946516541</v>
      </c>
      <c r="N564" s="4" t="s">
        <v>3341</v>
      </c>
      <c r="O564" s="4">
        <v>964591767</v>
      </c>
      <c r="P564" s="4">
        <v>964591768</v>
      </c>
      <c r="Q564" s="767" t="s">
        <v>3419</v>
      </c>
      <c r="R564" s="767">
        <v>964630212</v>
      </c>
      <c r="S564" s="4">
        <v>964630211</v>
      </c>
      <c r="T564" s="4" t="s">
        <v>3335</v>
      </c>
      <c r="U564" s="4">
        <v>964614663</v>
      </c>
      <c r="V564" s="4">
        <v>964614663</v>
      </c>
      <c r="W564" s="4"/>
      <c r="X564" s="4" t="s">
        <v>3341</v>
      </c>
      <c r="Y564" s="4" t="s">
        <v>4066</v>
      </c>
      <c r="Z564" s="35"/>
      <c r="AA564" s="1" t="str">
        <f>IFERROR(VLOOKUP(D:D,[1]Габариты!$A:$I,9,0),"")</f>
        <v>Основной ассортимент</v>
      </c>
      <c r="AB564" s="6" t="str">
        <f>IFERROR(VLOOKUP(D:D,[1]Габариты!$A:$D,4,0),"")</f>
        <v>ШКАФЫ</v>
      </c>
      <c r="AC564" s="39">
        <f t="shared" si="118"/>
        <v>14012</v>
      </c>
      <c r="AD564" s="13" t="str">
        <f t="shared" si="116"/>
        <v>СКГТ (ОЗОН)</v>
      </c>
    </row>
    <row r="565" spans="1:30" s="6" customFormat="1" ht="20.100000000000001" customHeight="1" outlineLevel="1" x14ac:dyDescent="0.25">
      <c r="A565" s="633" t="s">
        <v>3934</v>
      </c>
      <c r="B565" s="21"/>
      <c r="C565" s="13" t="s">
        <v>4050</v>
      </c>
      <c r="D565" s="39">
        <v>3838</v>
      </c>
      <c r="E565" s="4">
        <v>10</v>
      </c>
      <c r="F565" s="101">
        <v>3838</v>
      </c>
      <c r="G565" s="57" t="s">
        <v>6101</v>
      </c>
      <c r="H565" s="4" t="s">
        <v>6986</v>
      </c>
      <c r="I565" s="4"/>
      <c r="J565" s="4"/>
      <c r="K565" s="54" t="s">
        <v>7929</v>
      </c>
      <c r="L565" s="57">
        <v>1317357921</v>
      </c>
      <c r="M565" s="57">
        <v>1317357921</v>
      </c>
      <c r="N565" s="4" t="s">
        <v>4065</v>
      </c>
      <c r="O565" s="4">
        <v>1525230270</v>
      </c>
      <c r="P565" s="4">
        <v>1525230270</v>
      </c>
      <c r="Q565" s="767"/>
      <c r="R565" s="767"/>
      <c r="S565" s="4"/>
      <c r="T565" s="4"/>
      <c r="U565" s="4"/>
      <c r="V565" s="4"/>
      <c r="W565" s="4"/>
      <c r="X565" s="4" t="s">
        <v>4065</v>
      </c>
      <c r="Y565" s="4" t="s">
        <v>4066</v>
      </c>
      <c r="Z565" s="35"/>
      <c r="AA565" s="1" t="str">
        <f>IFERROR(VLOOKUP(D:D,[1]Габариты!$A:$I,9,0),"")</f>
        <v>Основной ассортимент</v>
      </c>
      <c r="AB565" s="6" t="str">
        <f>IFERROR(VLOOKUP(D:D,[1]Габариты!$A:$D,4,0),"")</f>
        <v>ШКАФЫ</v>
      </c>
      <c r="AC565" s="39">
        <f t="shared" si="118"/>
        <v>3838</v>
      </c>
      <c r="AD565" s="13" t="str">
        <f t="shared" si="116"/>
        <v>СКГТ (ОЗОН)</v>
      </c>
    </row>
    <row r="566" spans="1:30" s="6" customFormat="1" ht="20.100000000000001" customHeight="1" outlineLevel="1" x14ac:dyDescent="0.25">
      <c r="A566" s="633" t="s">
        <v>4044</v>
      </c>
      <c r="B566" s="21"/>
      <c r="C566" s="13" t="s">
        <v>4050</v>
      </c>
      <c r="D566" s="39">
        <v>3740</v>
      </c>
      <c r="E566" s="4">
        <v>10</v>
      </c>
      <c r="F566" s="101">
        <v>3740</v>
      </c>
      <c r="G566" s="57" t="s">
        <v>5990</v>
      </c>
      <c r="H566" s="4" t="s">
        <v>6987</v>
      </c>
      <c r="I566" s="4"/>
      <c r="J566" s="4" t="s">
        <v>4054</v>
      </c>
      <c r="K566" s="54" t="s">
        <v>7930</v>
      </c>
      <c r="L566" s="57">
        <v>1545971745</v>
      </c>
      <c r="M566" s="57">
        <v>1545971745</v>
      </c>
      <c r="N566" s="4" t="s">
        <v>4060</v>
      </c>
      <c r="O566" s="4">
        <v>1519616825</v>
      </c>
      <c r="P566" s="4">
        <v>1519616825</v>
      </c>
      <c r="Q566" s="767"/>
      <c r="R566" s="767"/>
      <c r="S566" s="4"/>
      <c r="T566" s="4"/>
      <c r="U566" s="4"/>
      <c r="V566" s="4"/>
      <c r="W566" s="4"/>
      <c r="X566" s="4" t="s">
        <v>4060</v>
      </c>
      <c r="Y566" s="4" t="s">
        <v>4066</v>
      </c>
      <c r="Z566" s="35"/>
      <c r="AA566" s="1" t="str">
        <f>IFERROR(VLOOKUP(D:D,[1]Габариты!$A:$I,9,0),"")</f>
        <v>Основной ассортимент</v>
      </c>
      <c r="AB566" s="6" t="str">
        <f>IFERROR(VLOOKUP(D:D,[1]Габариты!$A:$D,4,0),"")</f>
        <v>ШКАФЫ</v>
      </c>
      <c r="AC566" s="39">
        <f t="shared" si="118"/>
        <v>3740</v>
      </c>
      <c r="AD566" s="13" t="str">
        <f t="shared" si="116"/>
        <v>СКГТ (ОЗОН)</v>
      </c>
    </row>
    <row r="567" spans="1:30" s="6" customFormat="1" ht="20.100000000000001" customHeight="1" outlineLevel="1" x14ac:dyDescent="0.25">
      <c r="A567" s="633" t="s">
        <v>4043</v>
      </c>
      <c r="B567" s="21"/>
      <c r="C567" s="13" t="s">
        <v>4050</v>
      </c>
      <c r="D567" s="39">
        <v>3741</v>
      </c>
      <c r="E567" s="4">
        <v>10</v>
      </c>
      <c r="F567" s="101">
        <v>3741</v>
      </c>
      <c r="G567" s="57" t="s">
        <v>5988</v>
      </c>
      <c r="H567" s="4" t="s">
        <v>6988</v>
      </c>
      <c r="I567" s="4"/>
      <c r="J567" s="4" t="s">
        <v>4053</v>
      </c>
      <c r="K567" s="54" t="s">
        <v>7931</v>
      </c>
      <c r="L567" s="57">
        <v>1503297139</v>
      </c>
      <c r="M567" s="57">
        <v>1503297139</v>
      </c>
      <c r="N567" s="4" t="s">
        <v>4062</v>
      </c>
      <c r="O567" s="4">
        <v>1519630674</v>
      </c>
      <c r="P567" s="4">
        <v>1519630674</v>
      </c>
      <c r="Q567" s="767"/>
      <c r="R567" s="767"/>
      <c r="S567" s="4"/>
      <c r="T567" s="4"/>
      <c r="U567" s="4"/>
      <c r="V567" s="4"/>
      <c r="W567" s="4"/>
      <c r="X567" s="4" t="s">
        <v>4062</v>
      </c>
      <c r="Y567" s="4" t="s">
        <v>4066</v>
      </c>
      <c r="Z567" s="35"/>
      <c r="AA567" s="1" t="str">
        <f>IFERROR(VLOOKUP(D:D,[1]Габариты!$A:$I,9,0),"")</f>
        <v>Основной ассортимент</v>
      </c>
      <c r="AB567" s="6" t="str">
        <f>IFERROR(VLOOKUP(D:D,[1]Габариты!$A:$D,4,0),"")</f>
        <v>ШКАФЫ</v>
      </c>
      <c r="AC567" s="39">
        <f t="shared" si="118"/>
        <v>3741</v>
      </c>
      <c r="AD567" s="13" t="str">
        <f t="shared" si="116"/>
        <v>СКГТ (ОЗОН)</v>
      </c>
    </row>
    <row r="568" spans="1:30" s="6" customFormat="1" ht="20.100000000000001" customHeight="1" outlineLevel="1" x14ac:dyDescent="0.25">
      <c r="A568" s="633" t="s">
        <v>4045</v>
      </c>
      <c r="B568" s="21"/>
      <c r="C568" s="13" t="s">
        <v>4050</v>
      </c>
      <c r="D568" s="39">
        <v>3739</v>
      </c>
      <c r="E568" s="4">
        <v>10</v>
      </c>
      <c r="F568" s="101">
        <v>3739</v>
      </c>
      <c r="G568" s="57" t="s">
        <v>5989</v>
      </c>
      <c r="H568" s="4" t="s">
        <v>6989</v>
      </c>
      <c r="I568" s="4"/>
      <c r="J568" s="4" t="s">
        <v>4055</v>
      </c>
      <c r="K568" s="54" t="s">
        <v>7932</v>
      </c>
      <c r="L568" s="57">
        <v>1524539255</v>
      </c>
      <c r="M568" s="57">
        <v>1524539255</v>
      </c>
      <c r="N568" s="4" t="s">
        <v>4061</v>
      </c>
      <c r="O568" s="4">
        <v>1526837936</v>
      </c>
      <c r="P568" s="4">
        <v>1526837936</v>
      </c>
      <c r="Q568" s="767"/>
      <c r="R568" s="767"/>
      <c r="S568" s="4"/>
      <c r="T568" s="4"/>
      <c r="U568" s="4"/>
      <c r="V568" s="4"/>
      <c r="W568" s="4"/>
      <c r="X568" s="4" t="s">
        <v>4061</v>
      </c>
      <c r="Y568" s="4" t="s">
        <v>4066</v>
      </c>
      <c r="Z568" s="35"/>
      <c r="AA568" s="1" t="str">
        <f>IFERROR(VLOOKUP(D:D,[1]Габариты!$A:$I,9,0),"")</f>
        <v>Основной ассортимент</v>
      </c>
      <c r="AB568" s="6" t="str">
        <f>IFERROR(VLOOKUP(D:D,[1]Габариты!$A:$D,4,0),"")</f>
        <v>ШКАФЫ</v>
      </c>
      <c r="AC568" s="39">
        <f t="shared" si="118"/>
        <v>3739</v>
      </c>
      <c r="AD568" s="13" t="str">
        <f t="shared" si="116"/>
        <v>СКГТ (ОЗОН)</v>
      </c>
    </row>
    <row r="569" spans="1:30" s="6" customFormat="1" ht="20.100000000000001" customHeight="1" outlineLevel="1" x14ac:dyDescent="0.25">
      <c r="A569" s="743" t="s">
        <v>3906</v>
      </c>
      <c r="B569" s="21"/>
      <c r="C569" s="13" t="s">
        <v>2582</v>
      </c>
      <c r="D569" s="39">
        <v>3748</v>
      </c>
      <c r="E569" s="4">
        <v>21</v>
      </c>
      <c r="F569" s="101">
        <v>3748</v>
      </c>
      <c r="G569" s="57"/>
      <c r="H569" s="4" t="s">
        <v>6995</v>
      </c>
      <c r="I569" s="4"/>
      <c r="J569" s="4" t="s">
        <v>4176</v>
      </c>
      <c r="K569" s="54"/>
      <c r="L569" s="57"/>
      <c r="M569" s="57"/>
      <c r="N569" s="4" t="s">
        <v>4008</v>
      </c>
      <c r="O569" s="4">
        <v>1470819894</v>
      </c>
      <c r="P569" s="4">
        <v>1470819894</v>
      </c>
      <c r="Q569" s="767"/>
      <c r="R569" s="767"/>
      <c r="S569" s="4"/>
      <c r="T569" s="4"/>
      <c r="U569" s="4"/>
      <c r="V569" s="4"/>
      <c r="W569" s="4"/>
      <c r="X569" s="4" t="s">
        <v>4008</v>
      </c>
      <c r="Y569" s="4">
        <v>3748</v>
      </c>
      <c r="Z569" s="35"/>
      <c r="AA569" s="1" t="str">
        <f>IFERROR(VLOOKUP(D:D,[1]Габариты!$A:$I,9,0),"")</f>
        <v>Основной ассортимент</v>
      </c>
      <c r="AB569" s="6" t="str">
        <f>IFERROR(VLOOKUP(D:D,[1]Габариты!$A:$D,4,0),"")</f>
        <v>ШКАФЫ</v>
      </c>
      <c r="AC569" s="39">
        <f t="shared" si="118"/>
        <v>3748</v>
      </c>
      <c r="AD569" s="13" t="str">
        <f t="shared" ref="AD569:AD623" si="127">C569</f>
        <v>FBO</v>
      </c>
    </row>
    <row r="570" spans="1:30" s="6" customFormat="1" ht="20.100000000000001" customHeight="1" outlineLevel="1" x14ac:dyDescent="0.25">
      <c r="A570" s="743" t="s">
        <v>4270</v>
      </c>
      <c r="B570" s="21"/>
      <c r="C570" s="13" t="s">
        <v>2582</v>
      </c>
      <c r="D570" s="45" t="s">
        <v>4266</v>
      </c>
      <c r="E570" s="4">
        <v>21</v>
      </c>
      <c r="F570" s="101" t="s">
        <v>7630</v>
      </c>
      <c r="G570" s="57"/>
      <c r="H570" s="4" t="s">
        <v>6996</v>
      </c>
      <c r="I570" s="4"/>
      <c r="J570" s="4"/>
      <c r="K570" s="54"/>
      <c r="L570" s="57"/>
      <c r="M570" s="57"/>
      <c r="N570" s="4" t="s">
        <v>4319</v>
      </c>
      <c r="O570" s="4">
        <v>1607519261</v>
      </c>
      <c r="P570" s="4">
        <v>1607519261</v>
      </c>
      <c r="Q570" s="767"/>
      <c r="R570" s="767"/>
      <c r="S570" s="4"/>
      <c r="T570" s="4"/>
      <c r="U570" s="4"/>
      <c r="V570" s="4"/>
      <c r="W570" s="4"/>
      <c r="X570" s="4" t="s">
        <v>4319</v>
      </c>
      <c r="Y570" s="4" t="s">
        <v>4266</v>
      </c>
      <c r="Z570" s="35"/>
      <c r="AA570" s="1" t="str">
        <f>IFERROR(VLOOKUP(D:D,[1]Габариты!$A:$I,9,0),"")</f>
        <v>Основной ассортимент</v>
      </c>
      <c r="AB570" s="6" t="str">
        <f>IFERROR(VLOOKUP(D:D,[1]Габариты!$A:$D,4,0),"")</f>
        <v>ШКАФЫ</v>
      </c>
      <c r="AC570" s="39" t="str">
        <f t="shared" si="118"/>
        <v>3748.03/01</v>
      </c>
      <c r="AD570" s="13" t="str">
        <f t="shared" si="127"/>
        <v>FBO</v>
      </c>
    </row>
    <row r="571" spans="1:30" s="6" customFormat="1" ht="20.100000000000001" customHeight="1" outlineLevel="1" x14ac:dyDescent="0.25">
      <c r="A571" s="743" t="s">
        <v>4271</v>
      </c>
      <c r="B571" s="21"/>
      <c r="C571" s="13" t="s">
        <v>2582</v>
      </c>
      <c r="D571" s="39" t="s">
        <v>4267</v>
      </c>
      <c r="E571" s="4">
        <v>21</v>
      </c>
      <c r="F571" s="101" t="s">
        <v>7631</v>
      </c>
      <c r="G571" s="57"/>
      <c r="H571" s="4" t="s">
        <v>6997</v>
      </c>
      <c r="I571" s="4"/>
      <c r="J571" s="4"/>
      <c r="K571" s="54"/>
      <c r="L571" s="57"/>
      <c r="M571" s="57"/>
      <c r="N571" s="4" t="s">
        <v>4320</v>
      </c>
      <c r="O571" s="4">
        <v>1607523776</v>
      </c>
      <c r="P571" s="4">
        <v>1607523776</v>
      </c>
      <c r="Q571" s="767"/>
      <c r="R571" s="767"/>
      <c r="S571" s="4"/>
      <c r="T571" s="4"/>
      <c r="U571" s="4"/>
      <c r="V571" s="4"/>
      <c r="W571" s="4"/>
      <c r="X571" s="4" t="s">
        <v>4320</v>
      </c>
      <c r="Y571" s="4" t="s">
        <v>4267</v>
      </c>
      <c r="Z571" s="35"/>
      <c r="AA571" s="1" t="str">
        <f>IFERROR(VLOOKUP(D:D,[1]Габариты!$A:$I,9,0),"")</f>
        <v>Основной ассортимент</v>
      </c>
      <c r="AB571" s="6" t="str">
        <f>IFERROR(VLOOKUP(D:D,[1]Габариты!$A:$D,4,0),"")</f>
        <v>ШКАФЫ</v>
      </c>
      <c r="AC571" s="39" t="str">
        <f t="shared" si="118"/>
        <v>3748.06/01</v>
      </c>
      <c r="AD571" s="13" t="str">
        <f t="shared" si="127"/>
        <v>FBO</v>
      </c>
    </row>
    <row r="572" spans="1:30" s="6" customFormat="1" ht="20.100000000000001" customHeight="1" outlineLevel="1" x14ac:dyDescent="0.25">
      <c r="A572" s="633" t="s">
        <v>3998</v>
      </c>
      <c r="B572" s="21"/>
      <c r="C572" s="13" t="s">
        <v>2582</v>
      </c>
      <c r="D572" s="39">
        <v>3749</v>
      </c>
      <c r="E572" s="4">
        <v>42</v>
      </c>
      <c r="F572" s="101">
        <v>3749</v>
      </c>
      <c r="G572" s="57"/>
      <c r="H572" s="4" t="s">
        <v>6998</v>
      </c>
      <c r="I572" s="4"/>
      <c r="J572" s="4" t="s">
        <v>4175</v>
      </c>
      <c r="K572" s="54"/>
      <c r="L572" s="57"/>
      <c r="M572" s="57"/>
      <c r="N572" s="4" t="s">
        <v>4027</v>
      </c>
      <c r="O572" s="4">
        <v>1485137693</v>
      </c>
      <c r="P572" s="4">
        <v>1485137693</v>
      </c>
      <c r="Q572" s="767"/>
      <c r="R572" s="767"/>
      <c r="S572" s="4"/>
      <c r="T572" s="4"/>
      <c r="U572" s="4"/>
      <c r="V572" s="4"/>
      <c r="W572" s="4"/>
      <c r="X572" s="4" t="s">
        <v>4027</v>
      </c>
      <c r="Y572" s="4" t="s">
        <v>4066</v>
      </c>
      <c r="Z572" s="35"/>
      <c r="AA572" s="1" t="str">
        <f>IFERROR(VLOOKUP(D:D,[1]Габариты!$A:$I,9,0),"")</f>
        <v>Основной ассортимент</v>
      </c>
      <c r="AB572" s="6" t="str">
        <f>IFERROR(VLOOKUP(D:D,[1]Габариты!$A:$D,4,0),"")</f>
        <v>ШКАФЫ</v>
      </c>
      <c r="AC572" s="39">
        <f t="shared" si="118"/>
        <v>3749</v>
      </c>
      <c r="AD572" s="13" t="str">
        <f t="shared" si="127"/>
        <v>FBO</v>
      </c>
    </row>
    <row r="573" spans="1:30" s="6" customFormat="1" ht="20.100000000000001" customHeight="1" outlineLevel="1" x14ac:dyDescent="0.25">
      <c r="A573" s="633" t="s">
        <v>4264</v>
      </c>
      <c r="B573" s="21"/>
      <c r="C573" s="13" t="s">
        <v>2582</v>
      </c>
      <c r="D573" s="39" t="s">
        <v>4268</v>
      </c>
      <c r="E573" s="4">
        <v>42</v>
      </c>
      <c r="F573" s="101" t="s">
        <v>7632</v>
      </c>
      <c r="G573" s="57"/>
      <c r="H573" s="4" t="s">
        <v>6999</v>
      </c>
      <c r="I573" s="4"/>
      <c r="J573" s="4"/>
      <c r="K573" s="54"/>
      <c r="L573" s="57"/>
      <c r="M573" s="57"/>
      <c r="N573" s="4" t="s">
        <v>4321</v>
      </c>
      <c r="O573" s="4">
        <v>1607537604</v>
      </c>
      <c r="P573" s="4">
        <v>1607537604</v>
      </c>
      <c r="Q573" s="767"/>
      <c r="R573" s="767"/>
      <c r="S573" s="4"/>
      <c r="T573" s="4"/>
      <c r="U573" s="4"/>
      <c r="V573" s="4"/>
      <c r="W573" s="4"/>
      <c r="X573" s="889" t="s">
        <v>4321</v>
      </c>
      <c r="Y573" s="4"/>
      <c r="Z573" s="35"/>
      <c r="AA573" s="1" t="str">
        <f>IFERROR(VLOOKUP(D:D,[1]Габариты!$A:$I,9,0),"")</f>
        <v>Основной ассортимент</v>
      </c>
      <c r="AB573" s="6" t="str">
        <f>IFERROR(VLOOKUP(D:D,[1]Габариты!$A:$D,4,0),"")</f>
        <v>ШКАФЫ</v>
      </c>
      <c r="AC573" s="39" t="str">
        <f t="shared" si="118"/>
        <v>3749.03/01</v>
      </c>
      <c r="AD573" s="13" t="str">
        <f t="shared" si="127"/>
        <v>FBO</v>
      </c>
    </row>
    <row r="574" spans="1:30" s="6" customFormat="1" ht="20.100000000000001" customHeight="1" outlineLevel="1" x14ac:dyDescent="0.25">
      <c r="A574" s="633" t="s">
        <v>4265</v>
      </c>
      <c r="B574" s="21"/>
      <c r="C574" s="13" t="s">
        <v>2582</v>
      </c>
      <c r="D574" s="39" t="s">
        <v>4269</v>
      </c>
      <c r="E574" s="4">
        <v>42</v>
      </c>
      <c r="F574" s="101" t="s">
        <v>6243</v>
      </c>
      <c r="G574" s="57"/>
      <c r="H574" s="4" t="s">
        <v>7000</v>
      </c>
      <c r="I574" s="4"/>
      <c r="J574" s="4"/>
      <c r="K574" s="54"/>
      <c r="L574" s="57"/>
      <c r="M574" s="57"/>
      <c r="N574" s="4" t="s">
        <v>4322</v>
      </c>
      <c r="O574" s="4">
        <v>1607539082</v>
      </c>
      <c r="P574" s="4">
        <v>1607539082</v>
      </c>
      <c r="Q574" s="767"/>
      <c r="R574" s="767"/>
      <c r="S574" s="4"/>
      <c r="T574" s="4"/>
      <c r="U574" s="4"/>
      <c r="V574" s="4"/>
      <c r="W574" s="4"/>
      <c r="X574" s="4" t="s">
        <v>4322</v>
      </c>
      <c r="Y574" s="4"/>
      <c r="Z574" s="35"/>
      <c r="AA574" s="1" t="str">
        <f>IFERROR(VLOOKUP(D:D,[1]Габариты!$A:$I,9,0),"")</f>
        <v>Основной ассортимент</v>
      </c>
      <c r="AB574" s="6" t="str">
        <f>IFERROR(VLOOKUP(D:D,[1]Габариты!$A:$D,4,0),"")</f>
        <v>ШКАФЫ</v>
      </c>
      <c r="AC574" s="39" t="str">
        <f t="shared" si="118"/>
        <v>3749.06/01</v>
      </c>
      <c r="AD574" s="13" t="str">
        <f t="shared" si="127"/>
        <v>FBO</v>
      </c>
    </row>
    <row r="575" spans="1:30" s="6" customFormat="1" ht="20.100000000000001" customHeight="1" outlineLevel="1" x14ac:dyDescent="0.25">
      <c r="A575" s="633" t="s">
        <v>3960</v>
      </c>
      <c r="B575" s="21"/>
      <c r="C575" s="13" t="s">
        <v>4050</v>
      </c>
      <c r="D575" s="39">
        <v>3715</v>
      </c>
      <c r="E575" s="4">
        <v>18</v>
      </c>
      <c r="F575" s="101">
        <v>3715</v>
      </c>
      <c r="G575" s="57"/>
      <c r="H575" s="4" t="s">
        <v>8315</v>
      </c>
      <c r="I575" s="4"/>
      <c r="J575" s="4"/>
      <c r="K575" s="54"/>
      <c r="L575" s="57"/>
      <c r="M575" s="57"/>
      <c r="N575" s="4" t="s">
        <v>4059</v>
      </c>
      <c r="O575" s="4">
        <v>1508690220</v>
      </c>
      <c r="P575" s="4">
        <v>1508690220</v>
      </c>
      <c r="Q575" s="767"/>
      <c r="R575" s="767"/>
      <c r="S575" s="4"/>
      <c r="T575" s="4"/>
      <c r="U575" s="4"/>
      <c r="V575" s="4"/>
      <c r="W575" s="4"/>
      <c r="X575" s="4" t="s">
        <v>4059</v>
      </c>
      <c r="Y575" s="4" t="s">
        <v>4066</v>
      </c>
      <c r="Z575" s="35"/>
      <c r="AA575" s="1" t="str">
        <f>IFERROR(VLOOKUP(D:D,[1]Габариты!$A:$I,9,0),"")</f>
        <v>Основной ассортимент</v>
      </c>
      <c r="AB575" s="6" t="str">
        <f>IFERROR(VLOOKUP(D:D,[1]Габариты!$A:$D,4,0),"")</f>
        <v>ШКАФЫ</v>
      </c>
      <c r="AC575" s="39">
        <f t="shared" si="118"/>
        <v>3715</v>
      </c>
      <c r="AD575" s="13" t="str">
        <f t="shared" si="127"/>
        <v>СКГТ (ОЗОН)</v>
      </c>
    </row>
    <row r="576" spans="1:30" s="6" customFormat="1" ht="20.100000000000001" customHeight="1" outlineLevel="1" x14ac:dyDescent="0.25">
      <c r="A576" s="633" t="s">
        <v>3960</v>
      </c>
      <c r="B576" s="21"/>
      <c r="C576" s="13" t="s">
        <v>4050</v>
      </c>
      <c r="D576" s="39">
        <v>3716</v>
      </c>
      <c r="E576" s="4">
        <v>18</v>
      </c>
      <c r="F576" s="101">
        <v>3716</v>
      </c>
      <c r="G576" s="57"/>
      <c r="H576" s="4"/>
      <c r="I576" s="4"/>
      <c r="J576" s="4"/>
      <c r="K576" s="54"/>
      <c r="L576" s="57"/>
      <c r="M576" s="57"/>
      <c r="N576" s="766"/>
      <c r="O576" s="4"/>
      <c r="P576" s="4"/>
      <c r="Q576" s="767"/>
      <c r="R576" s="767"/>
      <c r="S576" s="4"/>
      <c r="T576" s="4"/>
      <c r="U576" s="4"/>
      <c r="V576" s="4"/>
      <c r="W576" s="4"/>
      <c r="X576" s="4"/>
      <c r="Y576" s="4" t="s">
        <v>4066</v>
      </c>
      <c r="Z576" s="35"/>
      <c r="AA576" s="1" t="str">
        <f>IFERROR(VLOOKUP(D:D,[1]Габариты!$A:$I,9,0),"")</f>
        <v>Основной ассортимент</v>
      </c>
      <c r="AB576" s="6" t="str">
        <f>IFERROR(VLOOKUP(D:D,[1]Габариты!$A:$D,4,0),"")</f>
        <v>ШКАФЫ</v>
      </c>
      <c r="AC576" s="39">
        <f t="shared" si="118"/>
        <v>3716</v>
      </c>
      <c r="AD576" s="13" t="str">
        <f t="shared" si="127"/>
        <v>СКГТ (ОЗОН)</v>
      </c>
    </row>
    <row r="577" spans="1:30" s="6" customFormat="1" ht="20.100000000000001" customHeight="1" outlineLevel="1" x14ac:dyDescent="0.25">
      <c r="A577" s="633" t="s">
        <v>4239</v>
      </c>
      <c r="B577" s="21"/>
      <c r="C577" s="13" t="s">
        <v>4050</v>
      </c>
      <c r="D577" s="39">
        <v>3717</v>
      </c>
      <c r="E577" s="4">
        <v>18</v>
      </c>
      <c r="F577" s="101">
        <v>3717</v>
      </c>
      <c r="G577" s="57"/>
      <c r="H577" s="4" t="s">
        <v>8298</v>
      </c>
      <c r="I577" s="4"/>
      <c r="J577" s="4"/>
      <c r="K577" s="54"/>
      <c r="L577" s="57"/>
      <c r="M577" s="57"/>
      <c r="N577" s="4" t="s">
        <v>4361</v>
      </c>
      <c r="O577" s="4">
        <v>1619286786</v>
      </c>
      <c r="P577" s="4">
        <v>1619286786</v>
      </c>
      <c r="Q577" s="767"/>
      <c r="R577" s="767"/>
      <c r="S577" s="4"/>
      <c r="T577" s="4"/>
      <c r="U577" s="4"/>
      <c r="V577" s="4"/>
      <c r="W577" s="4"/>
      <c r="X577" s="4" t="s">
        <v>8115</v>
      </c>
      <c r="Y577" s="4"/>
      <c r="Z577" s="35"/>
      <c r="AA577" s="1" t="str">
        <f>IFERROR(VLOOKUP(D:D,[1]Габариты!$A:$I,9,0),"")</f>
        <v>Основной ассортимент</v>
      </c>
      <c r="AB577" s="6" t="str">
        <f>IFERROR(VLOOKUP(D:D,[1]Габариты!$A:$D,4,0),"")</f>
        <v>ШКАФЫ</v>
      </c>
      <c r="AC577" s="39">
        <f t="shared" si="118"/>
        <v>3717</v>
      </c>
      <c r="AD577" s="13" t="str">
        <f t="shared" si="127"/>
        <v>СКГТ (ОЗОН)</v>
      </c>
    </row>
    <row r="578" spans="1:30" s="6" customFormat="1" ht="20.100000000000001" customHeight="1" outlineLevel="1" x14ac:dyDescent="0.25">
      <c r="A578" s="633" t="s">
        <v>4240</v>
      </c>
      <c r="B578" s="21"/>
      <c r="C578" s="13" t="s">
        <v>4050</v>
      </c>
      <c r="D578" s="39">
        <v>3718</v>
      </c>
      <c r="E578" s="4">
        <v>18</v>
      </c>
      <c r="F578" s="101">
        <v>3718</v>
      </c>
      <c r="G578" s="57"/>
      <c r="H578" s="4"/>
      <c r="I578" s="4"/>
      <c r="J578" s="4"/>
      <c r="K578" s="54"/>
      <c r="L578" s="57"/>
      <c r="M578" s="57"/>
      <c r="N578" s="766"/>
      <c r="O578" s="4"/>
      <c r="P578" s="4"/>
      <c r="Q578" s="767"/>
      <c r="R578" s="767"/>
      <c r="S578" s="4"/>
      <c r="T578" s="4"/>
      <c r="U578" s="4"/>
      <c r="V578" s="4"/>
      <c r="W578" s="4"/>
      <c r="X578" s="4"/>
      <c r="Y578" s="4"/>
      <c r="Z578" s="35"/>
      <c r="AA578" s="1" t="str">
        <f>IFERROR(VLOOKUP(D:D,[1]Габариты!$A:$I,9,0),"")</f>
        <v>Основной ассортимент</v>
      </c>
      <c r="AB578" s="6" t="str">
        <f>IFERROR(VLOOKUP(D:D,[1]Габариты!$A:$D,4,0),"")</f>
        <v>ШКАФЫ</v>
      </c>
      <c r="AC578" s="39">
        <f t="shared" si="118"/>
        <v>3718</v>
      </c>
      <c r="AD578" s="13" t="str">
        <f t="shared" si="127"/>
        <v>СКГТ (ОЗОН)</v>
      </c>
    </row>
    <row r="579" spans="1:30" s="6" customFormat="1" ht="20.100000000000001" customHeight="1" outlineLevel="1" x14ac:dyDescent="0.25">
      <c r="A579" s="633" t="s">
        <v>4239</v>
      </c>
      <c r="B579" s="21"/>
      <c r="C579" s="13" t="s">
        <v>4050</v>
      </c>
      <c r="D579" s="39">
        <v>3719</v>
      </c>
      <c r="E579" s="4">
        <v>18</v>
      </c>
      <c r="F579" s="101">
        <v>3719</v>
      </c>
      <c r="G579" s="57"/>
      <c r="H579" s="4"/>
      <c r="I579" s="4"/>
      <c r="J579" s="4"/>
      <c r="K579" s="54"/>
      <c r="L579" s="57"/>
      <c r="M579" s="57"/>
      <c r="N579" s="766"/>
      <c r="O579" s="4"/>
      <c r="P579" s="4"/>
      <c r="Q579" s="767"/>
      <c r="R579" s="767"/>
      <c r="S579" s="4"/>
      <c r="T579" s="4"/>
      <c r="U579" s="4"/>
      <c r="V579" s="4"/>
      <c r="W579" s="4"/>
      <c r="X579" s="4"/>
      <c r="Y579" s="4"/>
      <c r="Z579" s="35"/>
      <c r="AA579" s="1" t="str">
        <f>IFERROR(VLOOKUP(D:D,[1]Габариты!$A:$I,9,0),"")</f>
        <v>Основной ассортимент</v>
      </c>
      <c r="AB579" s="6" t="str">
        <f>IFERROR(VLOOKUP(D:D,[1]Габариты!$A:$D,4,0),"")</f>
        <v>ШКАФЫ</v>
      </c>
      <c r="AC579" s="39">
        <f t="shared" si="118"/>
        <v>3719</v>
      </c>
      <c r="AD579" s="13" t="str">
        <f t="shared" si="127"/>
        <v>СКГТ (ОЗОН)</v>
      </c>
    </row>
    <row r="580" spans="1:30" s="6" customFormat="1" ht="20.100000000000001" customHeight="1" x14ac:dyDescent="0.25">
      <c r="A580" s="631" t="s">
        <v>5581</v>
      </c>
      <c r="B580" s="3"/>
      <c r="C580" s="13" t="s">
        <v>2582</v>
      </c>
      <c r="D580" s="39" t="s">
        <v>5443</v>
      </c>
      <c r="E580" s="4">
        <v>21</v>
      </c>
      <c r="F580" s="101" t="s">
        <v>5485</v>
      </c>
      <c r="G580" s="57" t="s">
        <v>5718</v>
      </c>
      <c r="H580" s="4" t="s">
        <v>8287</v>
      </c>
      <c r="I580" s="4"/>
      <c r="J580" s="4"/>
      <c r="K580" s="54" t="s">
        <v>5485</v>
      </c>
      <c r="L580" s="57">
        <v>1618517527</v>
      </c>
      <c r="M580" s="57">
        <v>1618517527</v>
      </c>
      <c r="N580" s="4" t="s">
        <v>8351</v>
      </c>
      <c r="O580" s="4">
        <v>1967280269</v>
      </c>
      <c r="P580" s="4">
        <v>1967280269</v>
      </c>
      <c r="Q580" s="4"/>
      <c r="R580" s="4"/>
      <c r="S580" s="4"/>
      <c r="T580" s="4"/>
      <c r="U580" s="4"/>
      <c r="V580" s="4"/>
      <c r="W580" s="4"/>
      <c r="X580" s="4" t="s">
        <v>8351</v>
      </c>
      <c r="Y580" s="4"/>
      <c r="Z580" s="3"/>
      <c r="AA580" s="1" t="str">
        <f>IFERROR(VLOOKUP(D:D,[1]Габариты!$A:$I,9,0),"")</f>
        <v>Основной ассортимент</v>
      </c>
      <c r="AB580" s="6" t="str">
        <f>IFERROR(VLOOKUP(D:D,[1]Габариты!$A:$D,4,0),"")</f>
        <v>ШКАФЫ</v>
      </c>
      <c r="AC580" s="39" t="str">
        <f>D580</f>
        <v>3925.05/01</v>
      </c>
      <c r="AD580" s="361" t="str">
        <f>C580</f>
        <v>FBO</v>
      </c>
    </row>
    <row r="581" spans="1:30" s="6" customFormat="1" ht="20.100000000000001" customHeight="1" x14ac:dyDescent="0.25">
      <c r="A581" s="631" t="s">
        <v>5582</v>
      </c>
      <c r="B581" s="3"/>
      <c r="C581" s="13" t="s">
        <v>2582</v>
      </c>
      <c r="D581" s="39" t="s">
        <v>5445</v>
      </c>
      <c r="E581" s="4">
        <v>21</v>
      </c>
      <c r="F581" s="101" t="s">
        <v>5486</v>
      </c>
      <c r="G581" s="57" t="s">
        <v>5719</v>
      </c>
      <c r="H581" s="4" t="s">
        <v>8288</v>
      </c>
      <c r="I581" s="4"/>
      <c r="J581" s="4"/>
      <c r="K581" s="54" t="s">
        <v>5486</v>
      </c>
      <c r="L581" s="57">
        <v>1621490465</v>
      </c>
      <c r="M581" s="57">
        <v>1621490465</v>
      </c>
      <c r="N581" s="4" t="s">
        <v>8297</v>
      </c>
      <c r="O581" s="4">
        <v>1851896267</v>
      </c>
      <c r="P581" s="4">
        <v>1851896267</v>
      </c>
      <c r="Q581" s="4"/>
      <c r="R581" s="4"/>
      <c r="S581" s="4"/>
      <c r="T581" s="4"/>
      <c r="U581" s="4"/>
      <c r="V581" s="4"/>
      <c r="W581" s="4"/>
      <c r="X581" s="4" t="s">
        <v>8297</v>
      </c>
      <c r="Y581" s="4"/>
      <c r="Z581" s="3"/>
      <c r="AA581" s="1" t="str">
        <f>IFERROR(VLOOKUP(D:D,[1]Габариты!$A:$I,9,0),"")</f>
        <v>Основной ассортимент</v>
      </c>
      <c r="AB581" s="6" t="str">
        <f>IFERROR(VLOOKUP(D:D,[1]Габариты!$A:$D,4,0),"")</f>
        <v>ШКАФЫ</v>
      </c>
      <c r="AC581" s="39" t="str">
        <f>D581</f>
        <v>3925.06/01</v>
      </c>
      <c r="AD581" s="361" t="str">
        <f>C581</f>
        <v>FBO</v>
      </c>
    </row>
    <row r="582" spans="1:30" s="6" customFormat="1" ht="20.100000000000001" customHeight="1" x14ac:dyDescent="0.25">
      <c r="A582" s="631" t="s">
        <v>5583</v>
      </c>
      <c r="B582" s="3"/>
      <c r="C582" s="13" t="s">
        <v>2582</v>
      </c>
      <c r="D582" s="39" t="s">
        <v>5444</v>
      </c>
      <c r="E582" s="4">
        <v>21</v>
      </c>
      <c r="F582" s="101" t="s">
        <v>5487</v>
      </c>
      <c r="G582" s="57" t="s">
        <v>5720</v>
      </c>
      <c r="H582" s="4" t="s">
        <v>8286</v>
      </c>
      <c r="I582" s="4"/>
      <c r="J582" s="4"/>
      <c r="K582" s="54" t="s">
        <v>5487</v>
      </c>
      <c r="L582" s="57">
        <v>1621490077</v>
      </c>
      <c r="M582" s="57">
        <v>1621490077</v>
      </c>
      <c r="N582" s="4" t="s">
        <v>8352</v>
      </c>
      <c r="O582" s="4">
        <v>1967314793</v>
      </c>
      <c r="P582" s="4">
        <v>1967314793</v>
      </c>
      <c r="Q582" s="4"/>
      <c r="R582" s="4"/>
      <c r="S582" s="4"/>
      <c r="T582" s="4"/>
      <c r="U582" s="4"/>
      <c r="V582" s="4"/>
      <c r="W582" s="4"/>
      <c r="X582" s="4" t="s">
        <v>8352</v>
      </c>
      <c r="Y582" s="4"/>
      <c r="Z582" s="3"/>
      <c r="AA582" s="1" t="str">
        <f>IFERROR(VLOOKUP(D:D,[1]Габариты!$A:$I,9,0),"")</f>
        <v>Основной ассортимент</v>
      </c>
      <c r="AB582" s="6" t="str">
        <f>IFERROR(VLOOKUP(D:D,[1]Габариты!$A:$D,4,0),"")</f>
        <v>ШКАФЫ</v>
      </c>
      <c r="AC582" s="39" t="str">
        <f>D582</f>
        <v>3925.09/01</v>
      </c>
      <c r="AD582" s="361" t="str">
        <f>C582</f>
        <v>FBO</v>
      </c>
    </row>
    <row r="583" spans="1:30" s="6" customFormat="1" ht="20.100000000000001" customHeight="1" outlineLevel="1" x14ac:dyDescent="0.25">
      <c r="A583" s="633" t="s">
        <v>4273</v>
      </c>
      <c r="B583" s="21"/>
      <c r="C583" s="13" t="s">
        <v>2582</v>
      </c>
      <c r="D583" s="39" t="s">
        <v>4272</v>
      </c>
      <c r="E583" s="4">
        <v>21</v>
      </c>
      <c r="F583" s="101" t="s">
        <v>6332</v>
      </c>
      <c r="G583" s="57" t="s">
        <v>5152</v>
      </c>
      <c r="H583" s="4" t="s">
        <v>7003</v>
      </c>
      <c r="I583" s="4"/>
      <c r="J583" s="4"/>
      <c r="K583" s="54" t="s">
        <v>6332</v>
      </c>
      <c r="L583" s="57">
        <v>1621489757</v>
      </c>
      <c r="M583" s="57">
        <v>1621489757</v>
      </c>
      <c r="N583" s="4" t="s">
        <v>4325</v>
      </c>
      <c r="O583" s="4">
        <v>1608215782</v>
      </c>
      <c r="P583" s="4">
        <v>1608215782</v>
      </c>
      <c r="Q583" s="767"/>
      <c r="R583" s="767"/>
      <c r="S583" s="4"/>
      <c r="T583" s="4"/>
      <c r="U583" s="4"/>
      <c r="V583" s="4"/>
      <c r="W583" s="4"/>
      <c r="X583" s="4" t="s">
        <v>4325</v>
      </c>
      <c r="Y583" s="4"/>
      <c r="Z583" s="35"/>
      <c r="AA583" s="1" t="str">
        <f>IFERROR(VLOOKUP(D:D,[1]Габариты!$A:$I,9,0),"")</f>
        <v>Основной ассортимент</v>
      </c>
      <c r="AB583" s="6" t="str">
        <f>IFERROR(VLOOKUP(D:D,[1]Габариты!$A:$D,4,0),"")</f>
        <v>ШКАФЫ</v>
      </c>
      <c r="AC583" s="39" t="str">
        <f t="shared" si="118"/>
        <v>3925.17/01</v>
      </c>
      <c r="AD583" s="13" t="str">
        <f t="shared" si="127"/>
        <v>FBO</v>
      </c>
    </row>
    <row r="584" spans="1:30" s="6" customFormat="1" ht="20.100000000000001" customHeight="1" x14ac:dyDescent="0.25">
      <c r="A584" s="631" t="s">
        <v>5584</v>
      </c>
      <c r="B584" s="3"/>
      <c r="C584" s="13" t="s">
        <v>2582</v>
      </c>
      <c r="D584" s="39" t="s">
        <v>5446</v>
      </c>
      <c r="E584" s="4">
        <v>21</v>
      </c>
      <c r="F584" s="101" t="s">
        <v>5488</v>
      </c>
      <c r="G584" s="57" t="s">
        <v>5721</v>
      </c>
      <c r="H584" s="4" t="s">
        <v>8285</v>
      </c>
      <c r="I584" s="4"/>
      <c r="J584" s="4"/>
      <c r="K584" s="54" t="s">
        <v>5488</v>
      </c>
      <c r="L584" s="57">
        <v>1621489458</v>
      </c>
      <c r="M584" s="57">
        <v>1621489458</v>
      </c>
      <c r="N584" s="4" t="s">
        <v>8350</v>
      </c>
      <c r="O584" s="4">
        <v>1967319326</v>
      </c>
      <c r="P584" s="4">
        <v>1967319326</v>
      </c>
      <c r="Q584" s="4"/>
      <c r="R584" s="4"/>
      <c r="S584" s="4"/>
      <c r="T584" s="4"/>
      <c r="U584" s="4"/>
      <c r="V584" s="4"/>
      <c r="W584" s="4"/>
      <c r="X584" s="4" t="s">
        <v>8350</v>
      </c>
      <c r="Y584" s="4"/>
      <c r="Z584" s="3"/>
      <c r="AA584" s="1" t="str">
        <f>IFERROR(VLOOKUP(D:D,[1]Габариты!$A:$I,9,0),"")</f>
        <v>Основной ассортимент</v>
      </c>
      <c r="AB584" s="6" t="str">
        <f>IFERROR(VLOOKUP(D:D,[1]Габариты!$A:$D,4,0),"")</f>
        <v>ШКАФЫ</v>
      </c>
      <c r="AC584" s="39" t="str">
        <f t="shared" si="118"/>
        <v>3925.20/01</v>
      </c>
      <c r="AD584" s="361" t="str">
        <f>C584</f>
        <v>FBO</v>
      </c>
    </row>
    <row r="585" spans="1:30" s="6" customFormat="1" ht="20.100000000000001" customHeight="1" outlineLevel="1" x14ac:dyDescent="0.25">
      <c r="A585" s="633" t="s">
        <v>4383</v>
      </c>
      <c r="B585" s="21"/>
      <c r="C585" s="13" t="s">
        <v>4050</v>
      </c>
      <c r="D585" s="39">
        <v>3867</v>
      </c>
      <c r="E585" s="4">
        <v>12</v>
      </c>
      <c r="F585" s="101">
        <v>3867</v>
      </c>
      <c r="G585" s="57" t="s">
        <v>5124</v>
      </c>
      <c r="H585" s="4"/>
      <c r="I585" s="4"/>
      <c r="J585" s="4"/>
      <c r="K585" s="54" t="s">
        <v>7933</v>
      </c>
      <c r="L585" s="57">
        <v>1317314805</v>
      </c>
      <c r="M585" s="57">
        <v>1317314805</v>
      </c>
      <c r="N585" s="4" t="s">
        <v>4397</v>
      </c>
      <c r="O585" s="4">
        <v>1615341223</v>
      </c>
      <c r="P585" s="4">
        <v>1615341223</v>
      </c>
      <c r="Q585" s="767"/>
      <c r="R585" s="767"/>
      <c r="S585" s="4"/>
      <c r="T585" s="4"/>
      <c r="U585" s="4"/>
      <c r="V585" s="4"/>
      <c r="W585" s="4"/>
      <c r="X585" s="4"/>
      <c r="Y585" s="4"/>
      <c r="Z585" s="35"/>
      <c r="AA585" s="1" t="str">
        <f>IFERROR(VLOOKUP(D:D,[1]Габариты!$A:$I,9,0),"")</f>
        <v>Основной ассортимент</v>
      </c>
      <c r="AB585" s="6" t="str">
        <f>IFERROR(VLOOKUP(D:D,[1]Габариты!$A:$D,4,0),"")</f>
        <v>ШКАФЫ</v>
      </c>
      <c r="AC585" s="39">
        <f t="shared" si="118"/>
        <v>3867</v>
      </c>
      <c r="AD585" s="361" t="str">
        <f t="shared" ref="AD585" si="128">C585</f>
        <v>СКГТ (ОЗОН)</v>
      </c>
    </row>
    <row r="586" spans="1:30" s="6" customFormat="1" ht="20.100000000000001" customHeight="1" outlineLevel="1" x14ac:dyDescent="0.25">
      <c r="A586" s="633" t="s">
        <v>4385</v>
      </c>
      <c r="B586" s="21"/>
      <c r="C586" s="13" t="s">
        <v>4050</v>
      </c>
      <c r="D586" s="39" t="s">
        <v>4384</v>
      </c>
      <c r="E586" s="4">
        <v>12</v>
      </c>
      <c r="F586" s="101" t="s">
        <v>6331</v>
      </c>
      <c r="G586" s="57" t="s">
        <v>5147</v>
      </c>
      <c r="H586" s="4" t="s">
        <v>7570</v>
      </c>
      <c r="I586" s="4"/>
      <c r="J586" s="4"/>
      <c r="K586" s="54" t="s">
        <v>6331</v>
      </c>
      <c r="L586" s="57">
        <v>1564167817</v>
      </c>
      <c r="M586" s="57">
        <v>1564167817</v>
      </c>
      <c r="N586" s="4" t="s">
        <v>4398</v>
      </c>
      <c r="O586" s="4">
        <v>1618512930</v>
      </c>
      <c r="P586" s="4">
        <v>1618512930</v>
      </c>
      <c r="Q586" s="767"/>
      <c r="R586" s="767"/>
      <c r="S586" s="4"/>
      <c r="T586" s="4"/>
      <c r="U586" s="4"/>
      <c r="V586" s="4"/>
      <c r="W586" s="4"/>
      <c r="X586" s="4" t="s">
        <v>4398</v>
      </c>
      <c r="Y586" s="4"/>
      <c r="Z586" s="35"/>
      <c r="AA586" s="1" t="str">
        <f>IFERROR(VLOOKUP(D:D,[1]Габариты!$A:$I,9,0),"")</f>
        <v>Основной ассортимент</v>
      </c>
      <c r="AB586" s="6" t="str">
        <f>IFERROR(VLOOKUP(D:D,[1]Габариты!$A:$D,4,0),"")</f>
        <v>ШКАФЫ</v>
      </c>
      <c r="AC586" s="39" t="str">
        <f t="shared" si="118"/>
        <v>3867.25/01</v>
      </c>
      <c r="AD586" s="13" t="str">
        <f t="shared" si="127"/>
        <v>СКГТ (ОЗОН)</v>
      </c>
    </row>
    <row r="587" spans="1:30" s="6" customFormat="1" ht="20.100000000000001" customHeight="1" outlineLevel="1" x14ac:dyDescent="0.25">
      <c r="A587" s="702" t="s">
        <v>7579</v>
      </c>
      <c r="B587" s="174"/>
      <c r="C587" s="13" t="s">
        <v>2582</v>
      </c>
      <c r="D587" s="170" t="s">
        <v>7578</v>
      </c>
      <c r="E587" s="4">
        <v>34</v>
      </c>
      <c r="F587" s="167" t="s">
        <v>7618</v>
      </c>
      <c r="G587" s="168" t="s">
        <v>7620</v>
      </c>
      <c r="H587" s="166" t="s">
        <v>7616</v>
      </c>
      <c r="I587" s="166"/>
      <c r="J587" s="166"/>
      <c r="K587" s="167"/>
      <c r="L587" s="168"/>
      <c r="M587" s="168"/>
      <c r="N587" s="166" t="s">
        <v>7650</v>
      </c>
      <c r="O587" s="166">
        <v>1736852759</v>
      </c>
      <c r="P587" s="166">
        <v>1736852759</v>
      </c>
      <c r="Q587" s="793"/>
      <c r="R587" s="793"/>
      <c r="S587" s="166"/>
      <c r="T587" s="166"/>
      <c r="U587" s="166"/>
      <c r="V587" s="166"/>
      <c r="W587" s="166"/>
      <c r="X587" s="166" t="s">
        <v>7650</v>
      </c>
      <c r="Y587" s="166" t="s">
        <v>7578</v>
      </c>
      <c r="Z587" s="35"/>
      <c r="AA587" s="1" t="str">
        <f>IFERROR(VLOOKUP(D:D,[1]Габариты!$A:$I,9,0),"")</f>
        <v>Основной ассортимент</v>
      </c>
      <c r="AB587" s="6" t="str">
        <f>IFERROR(VLOOKUP(D:D,[1]Габариты!$A:$D,4,0),"")</f>
        <v>ШКАФЫ</v>
      </c>
      <c r="AC587" s="39" t="str">
        <f>D587</f>
        <v>3893.09/01</v>
      </c>
      <c r="AD587" s="13" t="str">
        <f>C587</f>
        <v>FBO</v>
      </c>
    </row>
    <row r="588" spans="1:30" s="6" customFormat="1" ht="20.100000000000001" customHeight="1" outlineLevel="1" x14ac:dyDescent="0.25">
      <c r="A588" s="633" t="s">
        <v>4395</v>
      </c>
      <c r="B588" s="21"/>
      <c r="C588" s="13" t="s">
        <v>2582</v>
      </c>
      <c r="D588" s="39" t="s">
        <v>4392</v>
      </c>
      <c r="E588" s="4">
        <v>34</v>
      </c>
      <c r="F588" s="101" t="s">
        <v>7617</v>
      </c>
      <c r="G588" s="57" t="s">
        <v>7619</v>
      </c>
      <c r="H588" s="4" t="s">
        <v>7006</v>
      </c>
      <c r="I588" s="4"/>
      <c r="J588" s="4" t="s">
        <v>7587</v>
      </c>
      <c r="K588" s="54"/>
      <c r="L588" s="57"/>
      <c r="M588" s="57"/>
      <c r="N588" s="4" t="s">
        <v>4389</v>
      </c>
      <c r="O588" s="4">
        <v>1627185860</v>
      </c>
      <c r="P588" s="4">
        <v>1627185860</v>
      </c>
      <c r="Q588" s="767"/>
      <c r="R588" s="767"/>
      <c r="S588" s="4"/>
      <c r="T588" s="4"/>
      <c r="U588" s="4"/>
      <c r="V588" s="4"/>
      <c r="W588" s="4"/>
      <c r="X588" s="4" t="s">
        <v>4389</v>
      </c>
      <c r="Y588" s="4" t="s">
        <v>4392</v>
      </c>
      <c r="Z588" s="35"/>
      <c r="AA588" s="1" t="str">
        <f>IFERROR(VLOOKUP(D:D,[1]Габариты!$A:$I,9,0),"")</f>
        <v>Основной ассортимент</v>
      </c>
      <c r="AB588" s="6" t="str">
        <f>IFERROR(VLOOKUP(D:D,[1]Габариты!$A:$D,4,0),"")</f>
        <v>ШКАФЫ</v>
      </c>
      <c r="AC588" s="39" t="str">
        <f>D588</f>
        <v>3893.17/01</v>
      </c>
      <c r="AD588" s="13" t="str">
        <f>C588</f>
        <v>FBO</v>
      </c>
    </row>
    <row r="589" spans="1:30" s="6" customFormat="1" ht="20.100000000000001" customHeight="1" outlineLevel="1" x14ac:dyDescent="0.25">
      <c r="A589" s="893" t="s">
        <v>8826</v>
      </c>
      <c r="B589" s="894"/>
      <c r="C589" s="13" t="s">
        <v>2582</v>
      </c>
      <c r="D589" s="625" t="s">
        <v>8824</v>
      </c>
      <c r="E589" s="4">
        <v>34</v>
      </c>
      <c r="F589" s="627"/>
      <c r="G589" s="628"/>
      <c r="H589" s="626" t="s">
        <v>8825</v>
      </c>
      <c r="I589" s="626"/>
      <c r="J589" s="626"/>
      <c r="K589" s="627"/>
      <c r="L589" s="628"/>
      <c r="M589" s="628"/>
      <c r="N589" s="626" t="s">
        <v>8836</v>
      </c>
      <c r="O589" s="626">
        <v>2489660967</v>
      </c>
      <c r="P589" s="626">
        <v>2489660967</v>
      </c>
      <c r="Q589" s="895"/>
      <c r="R589" s="895"/>
      <c r="S589" s="626"/>
      <c r="T589" s="626"/>
      <c r="U589" s="626"/>
      <c r="V589" s="626"/>
      <c r="W589" s="626"/>
      <c r="X589" s="626" t="s">
        <v>8836</v>
      </c>
      <c r="Y589" s="626"/>
      <c r="Z589" s="35"/>
      <c r="AA589" s="1" t="str">
        <f>IFERROR(VLOOKUP(D:D,[1]Габариты!$A:$I,9,0),"")</f>
        <v>Основной ассортимент</v>
      </c>
      <c r="AB589" s="6" t="str">
        <f>IFERROR(VLOOKUP(D:D,[1]Габариты!$A:$D,4,0),"")</f>
        <v>ШКАФЫ</v>
      </c>
      <c r="AC589" s="39" t="str">
        <f>D589</f>
        <v>3893.20/01</v>
      </c>
      <c r="AD589" s="13" t="str">
        <f>C589</f>
        <v>FBO</v>
      </c>
    </row>
    <row r="590" spans="1:30" s="6" customFormat="1" ht="20.100000000000001" customHeight="1" outlineLevel="1" x14ac:dyDescent="0.25">
      <c r="A590" s="633" t="s">
        <v>4393</v>
      </c>
      <c r="B590" s="21"/>
      <c r="C590" s="13" t="s">
        <v>2582</v>
      </c>
      <c r="D590" s="39" t="s">
        <v>4390</v>
      </c>
      <c r="E590" s="4">
        <v>20</v>
      </c>
      <c r="F590" s="101" t="s">
        <v>8262</v>
      </c>
      <c r="G590" s="57"/>
      <c r="H590" s="4" t="s">
        <v>7004</v>
      </c>
      <c r="I590" s="4"/>
      <c r="J590" s="4" t="s">
        <v>7588</v>
      </c>
      <c r="K590" s="54"/>
      <c r="L590" s="57"/>
      <c r="M590" s="57"/>
      <c r="N590" s="4" t="s">
        <v>4388</v>
      </c>
      <c r="O590" s="4">
        <v>1627266141</v>
      </c>
      <c r="P590" s="4">
        <v>1627266141</v>
      </c>
      <c r="Q590" s="767"/>
      <c r="R590" s="767"/>
      <c r="S590" s="4"/>
      <c r="T590" s="4"/>
      <c r="U590" s="4"/>
      <c r="V590" s="4"/>
      <c r="W590" s="4"/>
      <c r="X590" s="4" t="s">
        <v>4388</v>
      </c>
      <c r="Y590" s="4" t="s">
        <v>4390</v>
      </c>
      <c r="Z590" s="35"/>
      <c r="AA590" s="1" t="str">
        <f>IFERROR(VLOOKUP(D:D,[1]Габариты!$A:$I,9,0),"")</f>
        <v>Основной ассортимент</v>
      </c>
      <c r="AB590" s="6" t="str">
        <f>IFERROR(VLOOKUP(D:D,[1]Габариты!$A:$D,4,0),"")</f>
        <v>ШКАФЫ</v>
      </c>
      <c r="AC590" s="39" t="str">
        <f t="shared" si="118"/>
        <v>3894.17/01</v>
      </c>
      <c r="AD590" s="13" t="str">
        <f t="shared" si="127"/>
        <v>FBO</v>
      </c>
    </row>
    <row r="591" spans="1:30" s="6" customFormat="1" ht="20.100000000000001" customHeight="1" outlineLevel="1" x14ac:dyDescent="0.25">
      <c r="A591" s="697" t="s">
        <v>8790</v>
      </c>
      <c r="B591" s="623"/>
      <c r="C591" s="13" t="s">
        <v>2582</v>
      </c>
      <c r="D591" s="621" t="s">
        <v>8786</v>
      </c>
      <c r="E591" s="4">
        <v>20</v>
      </c>
      <c r="F591" s="618"/>
      <c r="G591" s="619"/>
      <c r="H591" s="617" t="s">
        <v>8788</v>
      </c>
      <c r="I591" s="617"/>
      <c r="J591" s="617"/>
      <c r="K591" s="618"/>
      <c r="L591" s="619"/>
      <c r="M591" s="619"/>
      <c r="N591" s="617" t="s">
        <v>8837</v>
      </c>
      <c r="O591" s="617">
        <v>2489562108</v>
      </c>
      <c r="P591" s="617">
        <v>2489562108</v>
      </c>
      <c r="Q591" s="845"/>
      <c r="R591" s="845"/>
      <c r="S591" s="617"/>
      <c r="T591" s="617"/>
      <c r="U591" s="617"/>
      <c r="V591" s="617"/>
      <c r="W591" s="617"/>
      <c r="X591" s="617" t="s">
        <v>8837</v>
      </c>
      <c r="Y591" s="617"/>
      <c r="Z591" s="35"/>
      <c r="AA591" s="1" t="str">
        <f>IFERROR(VLOOKUP(D:D,[1]Габариты!$A:$I,9,0),"")</f>
        <v>Основной ассортимент</v>
      </c>
      <c r="AB591" s="6" t="str">
        <f>IFERROR(VLOOKUP(D:D,[1]Габариты!$A:$D,4,0),"")</f>
        <v>ШКАФЫ</v>
      </c>
      <c r="AC591" s="39" t="str">
        <f>D591</f>
        <v>3894.20/01</v>
      </c>
      <c r="AD591" s="13" t="str">
        <f>C591</f>
        <v>FBO</v>
      </c>
    </row>
    <row r="592" spans="1:30" s="6" customFormat="1" ht="20.100000000000001" customHeight="1" outlineLevel="1" x14ac:dyDescent="0.25">
      <c r="A592" s="630" t="s">
        <v>7705</v>
      </c>
      <c r="B592" s="197"/>
      <c r="C592" s="13" t="s">
        <v>2582</v>
      </c>
      <c r="D592" s="196" t="s">
        <v>7703</v>
      </c>
      <c r="E592" s="4">
        <v>24</v>
      </c>
      <c r="F592" s="194" t="s">
        <v>7708</v>
      </c>
      <c r="G592" s="195"/>
      <c r="H592" s="193" t="s">
        <v>7712</v>
      </c>
      <c r="I592" s="193"/>
      <c r="J592" s="193"/>
      <c r="K592" s="194"/>
      <c r="L592" s="195"/>
      <c r="M592" s="195"/>
      <c r="N592" s="193" t="s">
        <v>7737</v>
      </c>
      <c r="O592" s="193">
        <v>1744723674</v>
      </c>
      <c r="P592" s="193">
        <v>1744723674</v>
      </c>
      <c r="Q592" s="768"/>
      <c r="R592" s="768"/>
      <c r="S592" s="193"/>
      <c r="T592" s="193"/>
      <c r="U592" s="193"/>
      <c r="V592" s="193"/>
      <c r="W592" s="193"/>
      <c r="X592" s="193" t="s">
        <v>7737</v>
      </c>
      <c r="Y592" s="193"/>
      <c r="Z592" s="35"/>
      <c r="AA592" s="1" t="str">
        <f>IFERROR(VLOOKUP(D:D,[1]Габариты!$A:$I,9,0),"")</f>
        <v>Основной ассортимент</v>
      </c>
      <c r="AB592" s="6" t="str">
        <f>IFERROR(VLOOKUP(D:D,[1]Габариты!$A:$D,4,0),"")</f>
        <v>ШКАФЫ</v>
      </c>
      <c r="AC592" s="39" t="str">
        <f>D592</f>
        <v>3895.03/01</v>
      </c>
      <c r="AD592" s="13" t="str">
        <f>C592</f>
        <v>FBO</v>
      </c>
    </row>
    <row r="593" spans="1:30" s="6" customFormat="1" ht="20.100000000000001" customHeight="1" outlineLevel="1" x14ac:dyDescent="0.25">
      <c r="A593" s="630" t="s">
        <v>7706</v>
      </c>
      <c r="B593" s="197"/>
      <c r="C593" s="13" t="s">
        <v>2582</v>
      </c>
      <c r="D593" s="196" t="s">
        <v>7704</v>
      </c>
      <c r="E593" s="4">
        <v>24</v>
      </c>
      <c r="F593" s="194" t="s">
        <v>7709</v>
      </c>
      <c r="G593" s="195" t="s">
        <v>7715</v>
      </c>
      <c r="H593" s="193" t="s">
        <v>7713</v>
      </c>
      <c r="I593" s="193"/>
      <c r="J593" s="193"/>
      <c r="K593" s="194"/>
      <c r="L593" s="195"/>
      <c r="M593" s="195"/>
      <c r="N593" s="193" t="s">
        <v>7758</v>
      </c>
      <c r="O593" s="193">
        <v>1744729442</v>
      </c>
      <c r="P593" s="193">
        <v>1744729442</v>
      </c>
      <c r="Q593" s="768"/>
      <c r="R593" s="768"/>
      <c r="S593" s="193"/>
      <c r="T593" s="193"/>
      <c r="U593" s="193"/>
      <c r="V593" s="193"/>
      <c r="W593" s="193"/>
      <c r="X593" s="193" t="s">
        <v>7758</v>
      </c>
      <c r="Y593" s="193"/>
      <c r="Z593" s="35"/>
      <c r="AA593" s="1" t="str">
        <f>IFERROR(VLOOKUP(D:D,[1]Габариты!$A:$I,9,0),"")</f>
        <v>Основной ассортимент</v>
      </c>
      <c r="AB593" s="6" t="str">
        <f>IFERROR(VLOOKUP(D:D,[1]Габариты!$A:$D,4,0),"")</f>
        <v>ШКАФЫ</v>
      </c>
      <c r="AC593" s="39" t="str">
        <f>D593</f>
        <v>3895.09/01</v>
      </c>
      <c r="AD593" s="13" t="str">
        <f>C593</f>
        <v>FBO</v>
      </c>
    </row>
    <row r="594" spans="1:30" s="6" customFormat="1" ht="20.100000000000001" customHeight="1" outlineLevel="1" x14ac:dyDescent="0.25">
      <c r="A594" s="633" t="s">
        <v>4394</v>
      </c>
      <c r="B594" s="21"/>
      <c r="C594" s="13" t="s">
        <v>2582</v>
      </c>
      <c r="D594" s="39" t="s">
        <v>4391</v>
      </c>
      <c r="E594" s="4">
        <v>24</v>
      </c>
      <c r="F594" s="101" t="s">
        <v>7707</v>
      </c>
      <c r="G594" s="57" t="s">
        <v>7714</v>
      </c>
      <c r="H594" s="4" t="s">
        <v>7005</v>
      </c>
      <c r="I594" s="4"/>
      <c r="J594" s="4" t="s">
        <v>7589</v>
      </c>
      <c r="K594" s="54"/>
      <c r="L594" s="57"/>
      <c r="M594" s="57"/>
      <c r="N594" s="4" t="s">
        <v>4429</v>
      </c>
      <c r="O594" s="4">
        <v>1629470931</v>
      </c>
      <c r="P594" s="4">
        <v>1629470931</v>
      </c>
      <c r="Q594" s="767"/>
      <c r="R594" s="767"/>
      <c r="S594" s="4"/>
      <c r="T594" s="4"/>
      <c r="U594" s="4"/>
      <c r="V594" s="4"/>
      <c r="W594" s="4"/>
      <c r="X594" s="4" t="s">
        <v>4429</v>
      </c>
      <c r="Y594" s="4"/>
      <c r="Z594" s="35"/>
      <c r="AA594" s="1" t="str">
        <f>IFERROR(VLOOKUP(D:D,[1]Габариты!$A:$I,9,0),"")</f>
        <v>Основной ассортимент</v>
      </c>
      <c r="AB594" s="6" t="str">
        <f>IFERROR(VLOOKUP(D:D,[1]Габариты!$A:$D,4,0),"")</f>
        <v>ШКАФЫ</v>
      </c>
      <c r="AC594" s="39" t="str">
        <f>D594</f>
        <v>3895.17/01</v>
      </c>
      <c r="AD594" s="13" t="str">
        <f>C594</f>
        <v>FBO</v>
      </c>
    </row>
    <row r="595" spans="1:30" s="6" customFormat="1" ht="20.100000000000001" customHeight="1" outlineLevel="1" x14ac:dyDescent="0.25">
      <c r="A595" s="697" t="s">
        <v>8789</v>
      </c>
      <c r="B595" s="623"/>
      <c r="C595" s="13" t="s">
        <v>2582</v>
      </c>
      <c r="D595" s="621" t="s">
        <v>8448</v>
      </c>
      <c r="E595" s="4">
        <v>24</v>
      </c>
      <c r="F595" s="618" t="s">
        <v>8453</v>
      </c>
      <c r="G595" s="619"/>
      <c r="H595" s="617" t="s">
        <v>8787</v>
      </c>
      <c r="I595" s="617"/>
      <c r="J595" s="617"/>
      <c r="K595" s="618"/>
      <c r="L595" s="619"/>
      <c r="M595" s="619"/>
      <c r="N595" s="617" t="s">
        <v>8838</v>
      </c>
      <c r="O595" s="617">
        <v>2489893404</v>
      </c>
      <c r="P595" s="617">
        <v>2489893404</v>
      </c>
      <c r="Q595" s="845"/>
      <c r="R595" s="845"/>
      <c r="S595" s="617"/>
      <c r="T595" s="617"/>
      <c r="U595" s="617"/>
      <c r="V595" s="617"/>
      <c r="W595" s="617"/>
      <c r="X595" s="617" t="s">
        <v>8838</v>
      </c>
      <c r="Y595" s="617"/>
      <c r="Z595" s="35"/>
      <c r="AA595" s="1" t="str">
        <f>IFERROR(VLOOKUP(D:D,[1]Габариты!$A:$I,9,0),"")</f>
        <v>Основной ассортимент</v>
      </c>
      <c r="AB595" s="6" t="str">
        <f>IFERROR(VLOOKUP(D:D,[1]Габариты!$A:$D,4,0),"")</f>
        <v>ШКАФЫ</v>
      </c>
      <c r="AC595" s="39" t="str">
        <f t="shared" ref="AC595" si="129">D595</f>
        <v>3895.20/01</v>
      </c>
      <c r="AD595" s="13" t="str">
        <f t="shared" ref="AD595" si="130">C595</f>
        <v>FBO</v>
      </c>
    </row>
    <row r="596" spans="1:30" s="6" customFormat="1" ht="20.100000000000001" customHeight="1" outlineLevel="1" x14ac:dyDescent="0.25">
      <c r="A596" s="633" t="s">
        <v>4399</v>
      </c>
      <c r="B596" s="21"/>
      <c r="C596" s="13" t="s">
        <v>3172</v>
      </c>
      <c r="D596" s="39">
        <v>3737</v>
      </c>
      <c r="E596" s="4">
        <v>12</v>
      </c>
      <c r="F596" s="101">
        <v>3737</v>
      </c>
      <c r="G596" s="57" t="s">
        <v>5115</v>
      </c>
      <c r="H596" s="4"/>
      <c r="I596" s="4"/>
      <c r="J596" s="4"/>
      <c r="K596" s="54" t="s">
        <v>7934</v>
      </c>
      <c r="L596" s="57">
        <v>1130072634</v>
      </c>
      <c r="M596" s="57">
        <v>1130072634</v>
      </c>
      <c r="N596" s="4" t="s">
        <v>4400</v>
      </c>
      <c r="O596" s="4">
        <v>1618476573</v>
      </c>
      <c r="P596" s="4">
        <v>1618476573</v>
      </c>
      <c r="Q596" s="767"/>
      <c r="R596" s="767"/>
      <c r="S596" s="4"/>
      <c r="T596" s="4"/>
      <c r="U596" s="4"/>
      <c r="V596" s="4"/>
      <c r="W596" s="4"/>
      <c r="X596" s="4"/>
      <c r="Y596" s="4"/>
      <c r="Z596" s="35"/>
      <c r="AA596" s="1" t="str">
        <f>IFERROR(VLOOKUP(D:D,[1]Габариты!$A:$I,9,0),"")</f>
        <v>Основной ассортимент</v>
      </c>
      <c r="AB596" s="6" t="str">
        <f>IFERROR(VLOOKUP(D:D,[1]Габариты!$A:$D,4,0),"")</f>
        <v>ШКАФЫ</v>
      </c>
      <c r="AC596" s="39">
        <f t="shared" si="118"/>
        <v>3737</v>
      </c>
      <c r="AD596" s="13" t="str">
        <f t="shared" si="127"/>
        <v xml:space="preserve">СКГТ </v>
      </c>
    </row>
    <row r="597" spans="1:30" s="6" customFormat="1" ht="20.100000000000001" customHeight="1" outlineLevel="1" x14ac:dyDescent="0.25">
      <c r="A597" s="633" t="s">
        <v>4402</v>
      </c>
      <c r="B597" s="21"/>
      <c r="C597" s="13" t="s">
        <v>3172</v>
      </c>
      <c r="D597" s="39">
        <v>3735</v>
      </c>
      <c r="E597" s="4">
        <v>12</v>
      </c>
      <c r="F597" s="101">
        <v>3735</v>
      </c>
      <c r="G597" s="57" t="s">
        <v>5113</v>
      </c>
      <c r="H597" s="4"/>
      <c r="I597" s="4"/>
      <c r="J597" s="4"/>
      <c r="K597" s="54" t="s">
        <v>7935</v>
      </c>
      <c r="L597" s="57">
        <v>1130055990</v>
      </c>
      <c r="M597" s="57">
        <v>1130055990</v>
      </c>
      <c r="N597" s="4" t="s">
        <v>4401</v>
      </c>
      <c r="O597" s="4">
        <v>1618513087</v>
      </c>
      <c r="P597" s="4">
        <v>1618513087</v>
      </c>
      <c r="Q597" s="767"/>
      <c r="R597" s="767"/>
      <c r="S597" s="4"/>
      <c r="T597" s="4"/>
      <c r="U597" s="4"/>
      <c r="V597" s="4"/>
      <c r="W597" s="4"/>
      <c r="X597" s="4"/>
      <c r="Y597" s="4"/>
      <c r="Z597" s="35"/>
      <c r="AA597" s="1" t="str">
        <f>IFERROR(VLOOKUP(D:D,[1]Габариты!$A:$I,9,0),"")</f>
        <v>Основной ассортимент</v>
      </c>
      <c r="AB597" s="6" t="str">
        <f>IFERROR(VLOOKUP(D:D,[1]Габариты!$A:$D,4,0),"")</f>
        <v>ШКАФЫ</v>
      </c>
      <c r="AC597" s="39">
        <f t="shared" si="118"/>
        <v>3735</v>
      </c>
      <c r="AD597" s="13" t="str">
        <f t="shared" si="127"/>
        <v xml:space="preserve">СКГТ </v>
      </c>
    </row>
    <row r="598" spans="1:30" s="6" customFormat="1" ht="20.100000000000001" customHeight="1" outlineLevel="1" x14ac:dyDescent="0.25">
      <c r="A598" s="695" t="s">
        <v>7491</v>
      </c>
      <c r="B598" s="131"/>
      <c r="C598" s="13" t="s">
        <v>3172</v>
      </c>
      <c r="D598" s="123">
        <v>3738</v>
      </c>
      <c r="E598" s="4">
        <v>12</v>
      </c>
      <c r="F598" s="125">
        <v>3738</v>
      </c>
      <c r="G598" s="126" t="s">
        <v>7492</v>
      </c>
      <c r="H598" s="124"/>
      <c r="I598" s="124"/>
      <c r="J598" s="124"/>
      <c r="K598" s="54" t="s">
        <v>7936</v>
      </c>
      <c r="L598" s="126">
        <v>1130081706</v>
      </c>
      <c r="M598" s="126">
        <v>1130081706</v>
      </c>
      <c r="N598" s="124"/>
      <c r="O598" s="124"/>
      <c r="P598" s="124"/>
      <c r="Q598" s="840"/>
      <c r="R598" s="840"/>
      <c r="S598" s="124"/>
      <c r="T598" s="124"/>
      <c r="U598" s="124"/>
      <c r="V598" s="124"/>
      <c r="W598" s="124"/>
      <c r="X598" s="124"/>
      <c r="Y598" s="124"/>
      <c r="Z598" s="35"/>
      <c r="AA598" s="1" t="str">
        <f>IFERROR(VLOOKUP(D:D,[1]Габариты!$A:$I,9,0),"")</f>
        <v>Основной ассортимент</v>
      </c>
      <c r="AB598" s="6" t="str">
        <f>IFERROR(VLOOKUP(D:D,[1]Габариты!$A:$D,4,0),"")</f>
        <v>ШКАФЫ</v>
      </c>
      <c r="AC598" s="39">
        <f t="shared" si="118"/>
        <v>3738</v>
      </c>
      <c r="AD598" s="13" t="str">
        <f t="shared" si="127"/>
        <v xml:space="preserve">СКГТ </v>
      </c>
    </row>
    <row r="599" spans="1:30" s="6" customFormat="1" ht="20.100000000000001" customHeight="1" outlineLevel="1" x14ac:dyDescent="0.25">
      <c r="A599" s="633" t="s">
        <v>4408</v>
      </c>
      <c r="B599" s="21"/>
      <c r="C599" s="13" t="s">
        <v>4050</v>
      </c>
      <c r="D599" s="49" t="s">
        <v>4406</v>
      </c>
      <c r="E599" s="4">
        <v>12</v>
      </c>
      <c r="F599" s="101" t="s">
        <v>6326</v>
      </c>
      <c r="G599" s="57" t="s">
        <v>5713</v>
      </c>
      <c r="H599" s="4" t="s">
        <v>7443</v>
      </c>
      <c r="I599" s="4"/>
      <c r="J599" s="4"/>
      <c r="K599" s="54"/>
      <c r="L599" s="57"/>
      <c r="M599" s="57"/>
      <c r="N599" s="4" t="s">
        <v>4410</v>
      </c>
      <c r="O599" s="4">
        <v>1625461953</v>
      </c>
      <c r="P599" s="4">
        <v>1625461953</v>
      </c>
      <c r="Q599" s="767"/>
      <c r="R599" s="767"/>
      <c r="S599" s="4"/>
      <c r="T599" s="4"/>
      <c r="U599" s="4"/>
      <c r="V599" s="4"/>
      <c r="W599" s="4"/>
      <c r="X599" s="4"/>
      <c r="Y599" s="4"/>
      <c r="Z599" s="35"/>
      <c r="AA599" s="1" t="str">
        <f>IFERROR(VLOOKUP(D:D,[1]Габариты!$A:$I,9,0),"")</f>
        <v>Основной ассортимент</v>
      </c>
      <c r="AB599" s="6" t="str">
        <f>IFERROR(VLOOKUP(D:D,[1]Габариты!$A:$D,4,0),"")</f>
        <v>ШКАФЫ</v>
      </c>
      <c r="AC599" s="39" t="str">
        <f t="shared" si="118"/>
        <v>3942.01.09/01</v>
      </c>
      <c r="AD599" s="13" t="str">
        <f t="shared" si="127"/>
        <v>СКГТ (ОЗОН)</v>
      </c>
    </row>
    <row r="600" spans="1:30" s="6" customFormat="1" ht="20.100000000000001" customHeight="1" outlineLevel="1" x14ac:dyDescent="0.25">
      <c r="A600" s="633" t="s">
        <v>4409</v>
      </c>
      <c r="B600" s="21"/>
      <c r="C600" s="13" t="s">
        <v>4050</v>
      </c>
      <c r="D600" s="45" t="s">
        <v>4407</v>
      </c>
      <c r="E600" s="4">
        <v>12</v>
      </c>
      <c r="F600" s="101" t="s">
        <v>6325</v>
      </c>
      <c r="G600" s="57"/>
      <c r="H600" s="4"/>
      <c r="I600" s="4"/>
      <c r="J600" s="4"/>
      <c r="K600" s="54"/>
      <c r="L600" s="57"/>
      <c r="M600" s="57"/>
      <c r="N600" s="766"/>
      <c r="O600" s="4"/>
      <c r="P600" s="4"/>
      <c r="Q600" s="767"/>
      <c r="R600" s="767"/>
      <c r="S600" s="4"/>
      <c r="T600" s="4"/>
      <c r="U600" s="4"/>
      <c r="V600" s="4"/>
      <c r="W600" s="4"/>
      <c r="X600" s="4"/>
      <c r="Y600" s="4"/>
      <c r="Z600" s="35"/>
      <c r="AA600" s="1" t="str">
        <f>IFERROR(VLOOKUP(D:D,[1]Габариты!$A:$I,9,0),"")</f>
        <v>Основной ассортимент</v>
      </c>
      <c r="AB600" s="6" t="str">
        <f>IFERROR(VLOOKUP(D:D,[1]Габариты!$A:$D,4,0),"")</f>
        <v>ШКАФЫ</v>
      </c>
      <c r="AC600" s="39" t="str">
        <f t="shared" si="118"/>
        <v>3943.01/02</v>
      </c>
      <c r="AD600" s="13" t="str">
        <f t="shared" si="127"/>
        <v>СКГТ (ОЗОН)</v>
      </c>
    </row>
    <row r="601" spans="1:30" s="6" customFormat="1" ht="20.100000000000001" customHeight="1" outlineLevel="1" x14ac:dyDescent="0.25">
      <c r="A601" s="633" t="s">
        <v>4423</v>
      </c>
      <c r="B601" s="21"/>
      <c r="C601" s="13" t="s">
        <v>4050</v>
      </c>
      <c r="D601" s="45" t="s">
        <v>4421</v>
      </c>
      <c r="E601" s="4">
        <v>10</v>
      </c>
      <c r="F601" s="101" t="s">
        <v>6324</v>
      </c>
      <c r="G601" s="57" t="s">
        <v>6073</v>
      </c>
      <c r="H601" s="4" t="s">
        <v>7007</v>
      </c>
      <c r="I601" s="4"/>
      <c r="J601" s="4"/>
      <c r="K601" s="54"/>
      <c r="L601" s="57"/>
      <c r="M601" s="57"/>
      <c r="N601" s="4" t="s">
        <v>4464</v>
      </c>
      <c r="O601" s="4">
        <v>1657306233</v>
      </c>
      <c r="P601" s="4">
        <v>1657306233</v>
      </c>
      <c r="Q601" s="767"/>
      <c r="R601" s="767"/>
      <c r="S601" s="4"/>
      <c r="T601" s="4"/>
      <c r="U601" s="4"/>
      <c r="V601" s="4"/>
      <c r="W601" s="4"/>
      <c r="X601" s="4" t="s">
        <v>4464</v>
      </c>
      <c r="Y601" s="4"/>
      <c r="Z601" s="35"/>
      <c r="AA601" s="1" t="str">
        <f>IFERROR(VLOOKUP(D:D,[1]Габариты!$A:$I,9,0),"")</f>
        <v>Основной ассортимент</v>
      </c>
      <c r="AB601" s="6" t="str">
        <f>IFERROR(VLOOKUP(D:D,[1]Габариты!$A:$D,4,0),"")</f>
        <v>ШКАФЫ</v>
      </c>
      <c r="AC601" s="39" t="str">
        <f t="shared" si="118"/>
        <v>3556.01.09/01</v>
      </c>
      <c r="AD601" s="13" t="str">
        <f t="shared" si="127"/>
        <v>СКГТ (ОЗОН)</v>
      </c>
    </row>
    <row r="602" spans="1:30" s="6" customFormat="1" ht="20.100000000000001" customHeight="1" outlineLevel="1" x14ac:dyDescent="0.25">
      <c r="A602" s="633" t="s">
        <v>4424</v>
      </c>
      <c r="B602" s="21"/>
      <c r="C602" s="13" t="s">
        <v>4050</v>
      </c>
      <c r="D602" s="45" t="s">
        <v>4422</v>
      </c>
      <c r="E602" s="4">
        <v>7</v>
      </c>
      <c r="F602" s="101" t="s">
        <v>4422</v>
      </c>
      <c r="G602" s="57"/>
      <c r="H602" s="4" t="s">
        <v>7008</v>
      </c>
      <c r="I602" s="4"/>
      <c r="J602" s="4"/>
      <c r="K602" s="54"/>
      <c r="L602" s="57"/>
      <c r="M602" s="57"/>
      <c r="N602" s="806" t="s">
        <v>5319</v>
      </c>
      <c r="O602" s="4">
        <v>1664310745</v>
      </c>
      <c r="P602" s="4">
        <v>1664310745</v>
      </c>
      <c r="Q602" s="767"/>
      <c r="R602" s="767"/>
      <c r="S602" s="4"/>
      <c r="T602" s="4"/>
      <c r="U602" s="4"/>
      <c r="V602" s="4"/>
      <c r="W602" s="4"/>
      <c r="X602" s="4" t="s">
        <v>5319</v>
      </c>
      <c r="Y602" s="4"/>
      <c r="Z602" s="35"/>
      <c r="AA602" s="1" t="str">
        <f>IFERROR(VLOOKUP(D:D,[1]Габариты!$A:$I,9,0),"")</f>
        <v>Основной ассортимент</v>
      </c>
      <c r="AB602" s="6" t="str">
        <f>IFERROR(VLOOKUP(D:D,[1]Габариты!$A:$D,4,0),"")</f>
        <v>ШКАФЫ</v>
      </c>
      <c r="AC602" s="39" t="str">
        <f t="shared" si="118"/>
        <v>14115.01.09</v>
      </c>
      <c r="AD602" s="13" t="str">
        <f t="shared" si="127"/>
        <v>СКГТ (ОЗОН)</v>
      </c>
    </row>
    <row r="603" spans="1:30" s="6" customFormat="1" ht="20.100000000000001" customHeight="1" outlineLevel="1" x14ac:dyDescent="0.25">
      <c r="A603" s="633" t="s">
        <v>4439</v>
      </c>
      <c r="B603" s="21"/>
      <c r="C603" s="13" t="s">
        <v>4050</v>
      </c>
      <c r="D603" s="39">
        <v>6000</v>
      </c>
      <c r="E603" s="4">
        <v>12</v>
      </c>
      <c r="F603" s="101"/>
      <c r="G603" s="57"/>
      <c r="H603" s="4" t="s">
        <v>7009</v>
      </c>
      <c r="I603" s="4"/>
      <c r="J603" s="4" t="s">
        <v>7719</v>
      </c>
      <c r="K603" s="54"/>
      <c r="L603" s="57"/>
      <c r="M603" s="57"/>
      <c r="N603" s="4" t="s">
        <v>4457</v>
      </c>
      <c r="O603" s="4">
        <v>1646538108</v>
      </c>
      <c r="P603" s="4">
        <v>1646538108</v>
      </c>
      <c r="Q603" s="767"/>
      <c r="R603" s="767"/>
      <c r="S603" s="4"/>
      <c r="T603" s="4"/>
      <c r="U603" s="4"/>
      <c r="V603" s="4"/>
      <c r="W603" s="4"/>
      <c r="X603" s="4" t="s">
        <v>4457</v>
      </c>
      <c r="Y603" s="4"/>
      <c r="Z603" s="35"/>
      <c r="AA603" s="1" t="str">
        <f>IFERROR(VLOOKUP(D:D,[1]Габариты!$A:$I,9,0),"")</f>
        <v>Основной ассортимент</v>
      </c>
      <c r="AB603" s="6" t="str">
        <f>IFERROR(VLOOKUP(D:D,[1]Габариты!$A:$D,4,0),"")</f>
        <v>ШКАФЫ</v>
      </c>
      <c r="AC603" s="39">
        <f t="shared" si="118"/>
        <v>6000</v>
      </c>
      <c r="AD603" s="13" t="str">
        <f t="shared" si="127"/>
        <v>СКГТ (ОЗОН)</v>
      </c>
    </row>
    <row r="604" spans="1:30" s="6" customFormat="1" ht="20.100000000000001" customHeight="1" outlineLevel="1" x14ac:dyDescent="0.25">
      <c r="A604" s="704" t="s">
        <v>6082</v>
      </c>
      <c r="B604" s="97"/>
      <c r="C604" s="13" t="s">
        <v>4050</v>
      </c>
      <c r="D604" s="95">
        <v>6001</v>
      </c>
      <c r="E604" s="92">
        <v>6</v>
      </c>
      <c r="F604" s="101"/>
      <c r="G604" s="94"/>
      <c r="H604" s="92" t="s">
        <v>7010</v>
      </c>
      <c r="I604" s="92"/>
      <c r="J604" s="92"/>
      <c r="K604" s="93"/>
      <c r="L604" s="94"/>
      <c r="M604" s="94"/>
      <c r="N604" s="4" t="s">
        <v>7652</v>
      </c>
      <c r="O604" s="92">
        <v>1714022440</v>
      </c>
      <c r="P604" s="92">
        <v>1714022440</v>
      </c>
      <c r="Q604" s="781"/>
      <c r="R604" s="781"/>
      <c r="S604" s="92"/>
      <c r="T604" s="92"/>
      <c r="U604" s="92"/>
      <c r="V604" s="92"/>
      <c r="W604" s="92"/>
      <c r="X604" s="92" t="s">
        <v>7652</v>
      </c>
      <c r="Y604" s="92"/>
      <c r="Z604" s="35"/>
      <c r="AA604" s="1" t="str">
        <f>IFERROR(VLOOKUP(D:D,[1]Габариты!$A:$I,9,0),"")</f>
        <v>Основной ассортимент</v>
      </c>
      <c r="AB604" s="6" t="str">
        <f>IFERROR(VLOOKUP(D:D,[1]Габариты!$A:$D,4,0),"")</f>
        <v>ШКАФЫ</v>
      </c>
      <c r="AC604" s="39">
        <f>D604</f>
        <v>6001</v>
      </c>
      <c r="AD604" s="13" t="str">
        <f>C604</f>
        <v>СКГТ (ОЗОН)</v>
      </c>
    </row>
    <row r="605" spans="1:30" s="6" customFormat="1" ht="20.100000000000001" customHeight="1" outlineLevel="1" x14ac:dyDescent="0.25">
      <c r="A605" s="633" t="s">
        <v>4777</v>
      </c>
      <c r="B605" s="21"/>
      <c r="C605" s="13" t="s">
        <v>4050</v>
      </c>
      <c r="D605" s="39">
        <v>3713</v>
      </c>
      <c r="E605" s="4">
        <v>18</v>
      </c>
      <c r="F605" s="101">
        <v>3713</v>
      </c>
      <c r="G605" s="57" t="s">
        <v>5710</v>
      </c>
      <c r="H605" s="4" t="s">
        <v>7419</v>
      </c>
      <c r="I605" s="4"/>
      <c r="J605" s="4"/>
      <c r="K605" s="54"/>
      <c r="L605" s="57"/>
      <c r="M605" s="57"/>
      <c r="N605" s="392" t="s">
        <v>7648</v>
      </c>
      <c r="O605" s="4">
        <v>1731460303</v>
      </c>
      <c r="P605" s="4">
        <v>1731460303</v>
      </c>
      <c r="Q605" s="767"/>
      <c r="R605" s="767"/>
      <c r="S605" s="4"/>
      <c r="T605" s="4"/>
      <c r="U605" s="4"/>
      <c r="V605" s="4"/>
      <c r="W605" s="4"/>
      <c r="X605" s="4" t="s">
        <v>8097</v>
      </c>
      <c r="Y605" s="4"/>
      <c r="Z605" s="35"/>
      <c r="AA605" s="1" t="str">
        <f>IFERROR(VLOOKUP(D:D,[1]Габариты!$A:$I,9,0),"")</f>
        <v>Основной ассортимент</v>
      </c>
      <c r="AB605" s="6" t="str">
        <f>IFERROR(VLOOKUP(D:D,[1]Габариты!$A:$D,4,0),"")</f>
        <v>ШКАФЫ</v>
      </c>
      <c r="AC605" s="39">
        <f t="shared" si="118"/>
        <v>3713</v>
      </c>
      <c r="AD605" s="13" t="str">
        <f t="shared" si="127"/>
        <v>СКГТ (ОЗОН)</v>
      </c>
    </row>
    <row r="606" spans="1:30" s="6" customFormat="1" ht="20.100000000000001" customHeight="1" outlineLevel="1" x14ac:dyDescent="0.25">
      <c r="A606" s="633" t="s">
        <v>4778</v>
      </c>
      <c r="B606" s="21"/>
      <c r="C606" s="13" t="s">
        <v>4050</v>
      </c>
      <c r="D606" s="39">
        <v>3714</v>
      </c>
      <c r="E606" s="4">
        <v>18</v>
      </c>
      <c r="F606" s="101">
        <v>3714</v>
      </c>
      <c r="G606" s="57"/>
      <c r="H606" s="4"/>
      <c r="I606" s="4"/>
      <c r="J606" s="4"/>
      <c r="K606" s="54"/>
      <c r="L606" s="57"/>
      <c r="M606" s="57"/>
      <c r="N606" s="392"/>
      <c r="O606" s="4"/>
      <c r="P606" s="4"/>
      <c r="Q606" s="767"/>
      <c r="R606" s="767"/>
      <c r="S606" s="4"/>
      <c r="T606" s="4"/>
      <c r="U606" s="4"/>
      <c r="V606" s="4"/>
      <c r="W606" s="4"/>
      <c r="X606" s="4"/>
      <c r="Y606" s="4"/>
      <c r="Z606" s="35"/>
      <c r="AA606" s="1" t="str">
        <f>IFERROR(VLOOKUP(D:D,[1]Габариты!$A:$I,9,0),"")</f>
        <v>Основной ассортимент</v>
      </c>
      <c r="AB606" s="6" t="str">
        <f>IFERROR(VLOOKUP(D:D,[1]Габариты!$A:$D,4,0),"")</f>
        <v>ШКАФЫ</v>
      </c>
      <c r="AC606" s="39">
        <f t="shared" si="118"/>
        <v>3714</v>
      </c>
      <c r="AD606" s="13" t="str">
        <f t="shared" si="127"/>
        <v>СКГТ (ОЗОН)</v>
      </c>
    </row>
    <row r="607" spans="1:30" s="6" customFormat="1" ht="20.100000000000001" customHeight="1" outlineLevel="1" x14ac:dyDescent="0.25">
      <c r="A607" s="639" t="s">
        <v>5708</v>
      </c>
      <c r="B607" s="82"/>
      <c r="C607" s="13" t="s">
        <v>4050</v>
      </c>
      <c r="D607" s="80" t="s">
        <v>5707</v>
      </c>
      <c r="E607" s="4">
        <v>18</v>
      </c>
      <c r="F607" s="101" t="s">
        <v>6329</v>
      </c>
      <c r="G607" s="75" t="s">
        <v>5711</v>
      </c>
      <c r="H607" s="73" t="s">
        <v>5711</v>
      </c>
      <c r="I607" s="73"/>
      <c r="J607" s="73"/>
      <c r="K607" s="74"/>
      <c r="L607" s="57"/>
      <c r="M607" s="57"/>
      <c r="N607" s="392" t="s">
        <v>8134</v>
      </c>
      <c r="O607" s="73">
        <v>1829755265</v>
      </c>
      <c r="P607" s="73">
        <v>1829755265</v>
      </c>
      <c r="Q607" s="775"/>
      <c r="R607" s="775"/>
      <c r="S607" s="73"/>
      <c r="T607" s="73"/>
      <c r="U607" s="73"/>
      <c r="V607" s="73"/>
      <c r="W607" s="73"/>
      <c r="X607" s="73" t="s">
        <v>8283</v>
      </c>
      <c r="Y607" s="73"/>
      <c r="Z607" s="35"/>
      <c r="AA607" s="1" t="str">
        <f>IFERROR(VLOOKUP(D:D,[1]Габариты!$A:$I,9,0),"")</f>
        <v>Основной ассортимент</v>
      </c>
      <c r="AB607" s="6" t="str">
        <f>IFERROR(VLOOKUP(D:D,[1]Габариты!$A:$D,4,0),"")</f>
        <v>ШКАФЫ</v>
      </c>
      <c r="AC607" s="39" t="str">
        <f t="shared" si="118"/>
        <v>3713.06/01</v>
      </c>
      <c r="AD607" s="13" t="str">
        <f t="shared" si="127"/>
        <v>СКГТ (ОЗОН)</v>
      </c>
    </row>
    <row r="608" spans="1:30" s="6" customFormat="1" ht="20.100000000000001" customHeight="1" outlineLevel="1" x14ac:dyDescent="0.25">
      <c r="A608" s="705" t="s">
        <v>5708</v>
      </c>
      <c r="B608" s="85"/>
      <c r="C608" s="13" t="s">
        <v>4050</v>
      </c>
      <c r="D608" s="86" t="s">
        <v>6077</v>
      </c>
      <c r="E608" s="4">
        <v>18</v>
      </c>
      <c r="F608" s="101" t="s">
        <v>6330</v>
      </c>
      <c r="G608" s="89"/>
      <c r="H608" s="87"/>
      <c r="I608" s="87"/>
      <c r="J608" s="87"/>
      <c r="K608" s="88"/>
      <c r="L608" s="89"/>
      <c r="M608" s="89"/>
      <c r="N608" s="856"/>
      <c r="O608" s="87"/>
      <c r="P608" s="87"/>
      <c r="Q608" s="857"/>
      <c r="R608" s="857"/>
      <c r="S608" s="87"/>
      <c r="T608" s="87"/>
      <c r="U608" s="87"/>
      <c r="V608" s="87"/>
      <c r="W608" s="87"/>
      <c r="X608" s="87"/>
      <c r="Y608" s="87"/>
      <c r="Z608" s="35"/>
      <c r="AA608" s="1" t="str">
        <f>IFERROR(VLOOKUP(D:D,[1]Габариты!$A:$I,9,0),"")</f>
        <v>Основной ассортимент</v>
      </c>
      <c r="AB608" s="6" t="str">
        <f>IFERROR(VLOOKUP(D:D,[1]Габариты!$A:$D,4,0),"")</f>
        <v>ШКАФЫ</v>
      </c>
      <c r="AC608" s="39" t="str">
        <f t="shared" si="118"/>
        <v>3714.06/02</v>
      </c>
      <c r="AD608" s="13" t="str">
        <f t="shared" si="127"/>
        <v>СКГТ (ОЗОН)</v>
      </c>
    </row>
    <row r="609" spans="1:30" s="6" customFormat="1" ht="20.100000000000001" customHeight="1" outlineLevel="1" x14ac:dyDescent="0.25">
      <c r="A609" s="695" t="s">
        <v>7507</v>
      </c>
      <c r="B609" s="131"/>
      <c r="C609" s="13" t="s">
        <v>4050</v>
      </c>
      <c r="D609" s="132" t="s">
        <v>7505</v>
      </c>
      <c r="E609" s="4">
        <v>18</v>
      </c>
      <c r="F609" s="125" t="s">
        <v>7527</v>
      </c>
      <c r="G609" s="126"/>
      <c r="H609" s="124" t="s">
        <v>7526</v>
      </c>
      <c r="I609" s="73"/>
      <c r="J609" s="124"/>
      <c r="K609" s="125"/>
      <c r="L609" s="126"/>
      <c r="M609" s="126"/>
      <c r="N609" s="392" t="s">
        <v>7547</v>
      </c>
      <c r="O609" s="124">
        <v>1720807556</v>
      </c>
      <c r="P609" s="124">
        <v>1720807556</v>
      </c>
      <c r="Q609" s="840"/>
      <c r="R609" s="840"/>
      <c r="S609" s="124"/>
      <c r="T609" s="124"/>
      <c r="U609" s="124"/>
      <c r="V609" s="124"/>
      <c r="W609" s="124"/>
      <c r="X609" s="124" t="s">
        <v>7547</v>
      </c>
      <c r="Y609" s="124"/>
      <c r="Z609" s="35"/>
      <c r="AA609" s="1" t="str">
        <f>IFERROR(VLOOKUP(D:D,[1]Габариты!$A:$I,9,0),"")</f>
        <v>Основной ассортимент</v>
      </c>
      <c r="AB609" s="6" t="str">
        <f>IFERROR(VLOOKUP(D:D,[1]Габариты!$A:$D,4,0),"")</f>
        <v>ШКАФЫ</v>
      </c>
      <c r="AC609" s="39" t="str">
        <f t="shared" si="118"/>
        <v>3713.09/01</v>
      </c>
      <c r="AD609" s="13" t="str">
        <f t="shared" si="127"/>
        <v>СКГТ (ОЗОН)</v>
      </c>
    </row>
    <row r="610" spans="1:30" s="6" customFormat="1" ht="20.100000000000001" customHeight="1" outlineLevel="1" x14ac:dyDescent="0.25">
      <c r="A610" s="695" t="s">
        <v>7508</v>
      </c>
      <c r="B610" s="131"/>
      <c r="C610" s="13" t="s">
        <v>4050</v>
      </c>
      <c r="D610" s="128" t="s">
        <v>7506</v>
      </c>
      <c r="E610" s="4">
        <v>18</v>
      </c>
      <c r="F610" s="125" t="s">
        <v>8399</v>
      </c>
      <c r="G610" s="126"/>
      <c r="H610" s="124"/>
      <c r="I610" s="124"/>
      <c r="J610" s="124"/>
      <c r="K610" s="125"/>
      <c r="L610" s="126"/>
      <c r="M610" s="126"/>
      <c r="N610" s="811"/>
      <c r="O610" s="124"/>
      <c r="P610" s="124"/>
      <c r="Q610" s="840"/>
      <c r="R610" s="840"/>
      <c r="S610" s="124"/>
      <c r="T610" s="124"/>
      <c r="U610" s="124"/>
      <c r="V610" s="124"/>
      <c r="W610" s="124"/>
      <c r="X610" s="124"/>
      <c r="Y610" s="124"/>
      <c r="Z610" s="35"/>
      <c r="AA610" s="1" t="str">
        <f>IFERROR(VLOOKUP(D:D,[1]Габариты!$A:$I,9,0),"")</f>
        <v>Основной ассортимент</v>
      </c>
      <c r="AB610" s="6" t="str">
        <f>IFERROR(VLOOKUP(D:D,[1]Габариты!$A:$D,4,0),"")</f>
        <v>ШКАФЫ</v>
      </c>
      <c r="AC610" s="39" t="str">
        <f t="shared" si="118"/>
        <v>3714.09/02</v>
      </c>
      <c r="AD610" s="13" t="str">
        <f t="shared" si="127"/>
        <v>СКГТ (ОЗОН)</v>
      </c>
    </row>
    <row r="611" spans="1:30" s="6" customFormat="1" ht="20.100000000000001" customHeight="1" outlineLevel="1" x14ac:dyDescent="0.25">
      <c r="A611" s="639" t="s">
        <v>5709</v>
      </c>
      <c r="B611" s="82"/>
      <c r="C611" s="13" t="s">
        <v>4050</v>
      </c>
      <c r="D611" s="79" t="s">
        <v>5706</v>
      </c>
      <c r="E611" s="4">
        <v>18</v>
      </c>
      <c r="F611" s="101" t="s">
        <v>6327</v>
      </c>
      <c r="G611" s="75" t="s">
        <v>5712</v>
      </c>
      <c r="H611" s="73" t="s">
        <v>5712</v>
      </c>
      <c r="I611" s="73"/>
      <c r="J611" s="73"/>
      <c r="K611" s="74"/>
      <c r="L611" s="57"/>
      <c r="M611" s="57"/>
      <c r="N611" s="769"/>
      <c r="O611" s="73"/>
      <c r="P611" s="73"/>
      <c r="Q611" s="775"/>
      <c r="R611" s="775"/>
      <c r="S611" s="73"/>
      <c r="T611" s="73"/>
      <c r="U611" s="73"/>
      <c r="V611" s="73"/>
      <c r="W611" s="73"/>
      <c r="X611" s="73"/>
      <c r="Y611" s="73"/>
      <c r="Z611" s="35"/>
      <c r="AA611" s="1" t="str">
        <f>IFERROR(VLOOKUP(D:D,[1]Габариты!$A:$I,9,0),"")</f>
        <v>Основной ассортимент</v>
      </c>
      <c r="AB611" s="6" t="str">
        <f>IFERROR(VLOOKUP(D:D,[1]Габариты!$A:$D,4,0),"")</f>
        <v>ШКАФЫ</v>
      </c>
      <c r="AC611" s="39" t="str">
        <f t="shared" si="118"/>
        <v>3713.01.25/01</v>
      </c>
      <c r="AD611" s="13" t="str">
        <f t="shared" si="127"/>
        <v>СКГТ (ОЗОН)</v>
      </c>
    </row>
    <row r="612" spans="1:30" s="6" customFormat="1" ht="20.100000000000001" customHeight="1" outlineLevel="1" x14ac:dyDescent="0.25">
      <c r="A612" s="704" t="s">
        <v>6081</v>
      </c>
      <c r="B612" s="97"/>
      <c r="C612" s="13" t="s">
        <v>4050</v>
      </c>
      <c r="D612" s="95" t="s">
        <v>6080</v>
      </c>
      <c r="E612" s="4">
        <v>18</v>
      </c>
      <c r="F612" s="101" t="s">
        <v>6328</v>
      </c>
      <c r="G612" s="94"/>
      <c r="H612" s="92"/>
      <c r="I612" s="92"/>
      <c r="J612" s="92"/>
      <c r="K612" s="93"/>
      <c r="L612" s="94"/>
      <c r="M612" s="94"/>
      <c r="N612" s="858"/>
      <c r="O612" s="92"/>
      <c r="P612" s="92"/>
      <c r="Q612" s="781"/>
      <c r="R612" s="781"/>
      <c r="S612" s="92"/>
      <c r="T612" s="92"/>
      <c r="U612" s="92"/>
      <c r="V612" s="92"/>
      <c r="W612" s="92"/>
      <c r="X612" s="92"/>
      <c r="Y612" s="92"/>
      <c r="Z612" s="35"/>
      <c r="AA612" s="1" t="str">
        <f>IFERROR(VLOOKUP(D:D,[1]Габариты!$A:$I,9,0),"")</f>
        <v>Основной ассортимент</v>
      </c>
      <c r="AB612" s="6" t="str">
        <f>IFERROR(VLOOKUP(D:D,[1]Габариты!$A:$D,4,0),"")</f>
        <v>ШКАФЫ</v>
      </c>
      <c r="AC612" s="39" t="str">
        <f t="shared" si="118"/>
        <v>3714.01.25/02</v>
      </c>
      <c r="AD612" s="13" t="str">
        <f t="shared" si="127"/>
        <v>СКГТ (ОЗОН)</v>
      </c>
    </row>
    <row r="613" spans="1:30" s="6" customFormat="1" ht="20.100000000000001" customHeight="1" outlineLevel="1" x14ac:dyDescent="0.25">
      <c r="A613" s="653" t="s">
        <v>5709</v>
      </c>
      <c r="B613" s="423"/>
      <c r="C613" s="13" t="s">
        <v>4050</v>
      </c>
      <c r="D613" s="425" t="s">
        <v>8401</v>
      </c>
      <c r="E613" s="4">
        <v>18</v>
      </c>
      <c r="F613" s="427"/>
      <c r="G613" s="428"/>
      <c r="H613" s="426" t="s">
        <v>5712</v>
      </c>
      <c r="I613" s="426"/>
      <c r="J613" s="426"/>
      <c r="K613" s="427"/>
      <c r="L613" s="428"/>
      <c r="M613" s="428"/>
      <c r="N613" s="859" t="s">
        <v>8435</v>
      </c>
      <c r="O613" s="426">
        <v>2038601606</v>
      </c>
      <c r="P613" s="426">
        <v>2038601606</v>
      </c>
      <c r="Q613" s="794"/>
      <c r="R613" s="794"/>
      <c r="S613" s="426"/>
      <c r="T613" s="426"/>
      <c r="U613" s="426"/>
      <c r="V613" s="426"/>
      <c r="W613" s="426"/>
      <c r="X613" s="426" t="s">
        <v>8435</v>
      </c>
      <c r="Y613" s="426"/>
      <c r="Z613" s="35"/>
      <c r="AA613" s="1" t="str">
        <f>IFERROR(VLOOKUP(D:D,[1]Габариты!$A:$I,9,0),"")</f>
        <v>Основной ассортимент</v>
      </c>
      <c r="AB613" s="6" t="str">
        <f>IFERROR(VLOOKUP(D:D,[1]Габариты!$A:$D,4,0),"")</f>
        <v>ШКАФЫ</v>
      </c>
      <c r="AC613" s="39" t="str">
        <f t="shared" si="118"/>
        <v>3713.01.25/01к</v>
      </c>
      <c r="AD613" s="13" t="str">
        <f t="shared" ref="AD613" si="131">C613</f>
        <v>СКГТ (ОЗОН)</v>
      </c>
    </row>
    <row r="614" spans="1:30" s="6" customFormat="1" ht="20.100000000000001" customHeight="1" x14ac:dyDescent="0.25">
      <c r="A614" s="631" t="s">
        <v>6076</v>
      </c>
      <c r="B614" s="76"/>
      <c r="C614" s="13" t="s">
        <v>4050</v>
      </c>
      <c r="D614" s="95" t="s">
        <v>6075</v>
      </c>
      <c r="E614" s="73">
        <v>12</v>
      </c>
      <c r="F614" s="101" t="s">
        <v>6286</v>
      </c>
      <c r="G614" s="75" t="s">
        <v>6072</v>
      </c>
      <c r="H614" s="4"/>
      <c r="I614" s="73"/>
      <c r="J614" s="73"/>
      <c r="K614" s="74"/>
      <c r="L614" s="75"/>
      <c r="M614" s="75"/>
      <c r="N614" s="769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AA614" s="1" t="str">
        <f>IFERROR(VLOOKUP(D:D,[1]Габариты!$A:$I,9,0),"")</f>
        <v>Основной ассортимент</v>
      </c>
      <c r="AB614" s="6" t="str">
        <f>IFERROR(VLOOKUP(D:D,[1]Габариты!$A:$D,4,0),"")</f>
        <v>ШКАФЫ</v>
      </c>
      <c r="AC614" s="39" t="str">
        <f t="shared" ref="AC614:AC692" si="132">D614</f>
        <v>3807.20/01</v>
      </c>
      <c r="AD614" s="13" t="str">
        <f t="shared" si="127"/>
        <v>СКГТ (ОЗОН)</v>
      </c>
    </row>
    <row r="615" spans="1:30" s="6" customFormat="1" ht="20.100000000000001" customHeight="1" x14ac:dyDescent="0.25">
      <c r="A615" s="631" t="s">
        <v>7613</v>
      </c>
      <c r="B615" s="175"/>
      <c r="C615" s="13" t="s">
        <v>4050</v>
      </c>
      <c r="D615" s="176" t="s">
        <v>7612</v>
      </c>
      <c r="E615" s="73">
        <v>12</v>
      </c>
      <c r="F615" s="178" t="s">
        <v>8263</v>
      </c>
      <c r="G615" s="179"/>
      <c r="H615" s="177"/>
      <c r="I615" s="177"/>
      <c r="J615" s="177"/>
      <c r="K615" s="178"/>
      <c r="L615" s="179"/>
      <c r="M615" s="179"/>
      <c r="N615" s="860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AA615" s="1" t="str">
        <f>IFERROR(VLOOKUP(D:D,[1]Габариты!$A:$I,9,0),"")</f>
        <v>Основной ассортимент</v>
      </c>
      <c r="AB615" s="6" t="str">
        <f>IFERROR(VLOOKUP(D:D,[1]Габариты!$A:$D,4,0),"")</f>
        <v>ШКАФЫ</v>
      </c>
      <c r="AC615" s="39" t="str">
        <f t="shared" si="132"/>
        <v>3808.20/02</v>
      </c>
      <c r="AD615" s="13" t="str">
        <f t="shared" si="127"/>
        <v>СКГТ (ОЗОН)</v>
      </c>
    </row>
    <row r="616" spans="1:30" s="6" customFormat="1" ht="20.100000000000001" customHeight="1" x14ac:dyDescent="0.25">
      <c r="A616" s="638" t="s">
        <v>6131</v>
      </c>
      <c r="B616" s="103"/>
      <c r="C616" s="13" t="s">
        <v>4050</v>
      </c>
      <c r="D616" s="99" t="s">
        <v>6133</v>
      </c>
      <c r="E616" s="100">
        <v>12</v>
      </c>
      <c r="F616" s="101" t="s">
        <v>7633</v>
      </c>
      <c r="G616" s="102" t="s">
        <v>6135</v>
      </c>
      <c r="H616" s="100" t="s">
        <v>7444</v>
      </c>
      <c r="I616" s="100"/>
      <c r="J616" s="100"/>
      <c r="K616" s="101"/>
      <c r="L616" s="102"/>
      <c r="M616" s="102"/>
      <c r="N616" s="367" t="s">
        <v>8214</v>
      </c>
      <c r="O616" s="100">
        <v>1835503661</v>
      </c>
      <c r="P616" s="100">
        <v>1835503661</v>
      </c>
      <c r="Q616" s="100"/>
      <c r="R616" s="100"/>
      <c r="S616" s="100"/>
      <c r="T616" s="100"/>
      <c r="U616" s="100"/>
      <c r="V616" s="100"/>
      <c r="W616" s="100"/>
      <c r="X616" s="100" t="s">
        <v>8206</v>
      </c>
      <c r="Y616" s="100"/>
      <c r="AA616" s="1" t="str">
        <f>IFERROR(VLOOKUP(D:D,[1]Габариты!$A:$I,9,0),"")</f>
        <v>Основной ассортимент</v>
      </c>
      <c r="AB616" s="6" t="str">
        <f>IFERROR(VLOOKUP(D:D,[1]Габариты!$A:$D,4,0),"")</f>
        <v>ШКАФЫ</v>
      </c>
      <c r="AC616" s="39" t="str">
        <f t="shared" si="132"/>
        <v>3807.05/01</v>
      </c>
      <c r="AD616" s="13" t="str">
        <f t="shared" si="127"/>
        <v>СКГТ (ОЗОН)</v>
      </c>
    </row>
    <row r="617" spans="1:30" s="6" customFormat="1" ht="20.100000000000001" customHeight="1" x14ac:dyDescent="0.25">
      <c r="A617" s="638" t="s">
        <v>6132</v>
      </c>
      <c r="B617" s="103"/>
      <c r="C617" s="13" t="s">
        <v>4050</v>
      </c>
      <c r="D617" s="99" t="s">
        <v>6134</v>
      </c>
      <c r="E617" s="100">
        <v>12</v>
      </c>
      <c r="F617" s="101" t="s">
        <v>7634</v>
      </c>
      <c r="G617" s="102"/>
      <c r="H617" s="4"/>
      <c r="I617" s="100"/>
      <c r="J617" s="100"/>
      <c r="K617" s="101"/>
      <c r="L617" s="102"/>
      <c r="M617" s="102"/>
      <c r="N617" s="368" t="s">
        <v>8224</v>
      </c>
      <c r="O617" s="100"/>
      <c r="P617" s="100"/>
      <c r="Q617" s="100"/>
      <c r="R617" s="100"/>
      <c r="S617" s="100"/>
      <c r="T617" s="100"/>
      <c r="U617" s="100"/>
      <c r="V617" s="100"/>
      <c r="W617" s="100"/>
      <c r="X617" s="100" t="s">
        <v>8215</v>
      </c>
      <c r="Y617" s="100"/>
      <c r="AA617" s="1" t="str">
        <f>IFERROR(VLOOKUP(D:D,[1]Габариты!$A:$I,9,0),"")</f>
        <v>Основной ассортимент</v>
      </c>
      <c r="AB617" s="6" t="str">
        <f>IFERROR(VLOOKUP(D:D,[1]Габариты!$A:$D,4,0),"")</f>
        <v>ШКАФЫ</v>
      </c>
      <c r="AC617" s="39" t="str">
        <f t="shared" si="132"/>
        <v>3808.05/02</v>
      </c>
      <c r="AD617" s="13" t="str">
        <f t="shared" si="127"/>
        <v>СКГТ (ОЗОН)</v>
      </c>
    </row>
    <row r="618" spans="1:30" s="6" customFormat="1" ht="20.100000000000001" customHeight="1" x14ac:dyDescent="0.25">
      <c r="A618" s="638" t="s">
        <v>7446</v>
      </c>
      <c r="B618" s="103"/>
      <c r="C618" s="13" t="s">
        <v>4050</v>
      </c>
      <c r="D618" s="112" t="s">
        <v>7445</v>
      </c>
      <c r="E618" s="100">
        <v>12</v>
      </c>
      <c r="F618" s="101" t="s">
        <v>7635</v>
      </c>
      <c r="G618" s="102" t="s">
        <v>7465</v>
      </c>
      <c r="H618" s="100" t="s">
        <v>7479</v>
      </c>
      <c r="I618" s="100"/>
      <c r="J618" s="100"/>
      <c r="K618" s="101"/>
      <c r="L618" s="102"/>
      <c r="M618" s="102"/>
      <c r="N618" s="368" t="s">
        <v>8215</v>
      </c>
      <c r="O618" s="100">
        <v>1833384183</v>
      </c>
      <c r="P618" s="100">
        <v>1833384183</v>
      </c>
      <c r="Q618" s="100"/>
      <c r="R618" s="100"/>
      <c r="S618" s="100"/>
      <c r="T618" s="100"/>
      <c r="U618" s="100"/>
      <c r="V618" s="100"/>
      <c r="W618" s="100"/>
      <c r="X618" s="100" t="s">
        <v>8136</v>
      </c>
      <c r="Y618" s="100"/>
      <c r="AA618" s="1" t="str">
        <f>IFERROR(VLOOKUP(D:D,[1]Габариты!$A:$I,9,0),"")</f>
        <v>Основной ассортимент</v>
      </c>
      <c r="AB618" s="6" t="str">
        <f>IFERROR(VLOOKUP(D:D,[1]Габариты!$A:$D,4,0),"")</f>
        <v>ШКАФЫ</v>
      </c>
      <c r="AC618" s="39" t="str">
        <f t="shared" si="132"/>
        <v>3807.06/01</v>
      </c>
      <c r="AD618" s="13" t="str">
        <f t="shared" si="127"/>
        <v>СКГТ (ОЗОН)</v>
      </c>
    </row>
    <row r="619" spans="1:30" s="6" customFormat="1" ht="20.100000000000001" customHeight="1" x14ac:dyDescent="0.25">
      <c r="A619" s="706" t="s">
        <v>7452</v>
      </c>
      <c r="B619" s="113"/>
      <c r="C619" s="13" t="s">
        <v>4050</v>
      </c>
      <c r="D619" s="115" t="s">
        <v>7451</v>
      </c>
      <c r="E619" s="100">
        <v>12</v>
      </c>
      <c r="F619" s="117" t="s">
        <v>8264</v>
      </c>
      <c r="G619" s="118"/>
      <c r="H619" s="116"/>
      <c r="I619" s="116"/>
      <c r="J619" s="116"/>
      <c r="K619" s="117"/>
      <c r="L619" s="118"/>
      <c r="M619" s="118"/>
      <c r="N619" s="861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 t="s">
        <v>8137</v>
      </c>
      <c r="Y619" s="116"/>
      <c r="AA619" s="1" t="str">
        <f>IFERROR(VLOOKUP(D:D,[1]Габариты!$A:$I,9,0),"")</f>
        <v>Основной ассортимент</v>
      </c>
      <c r="AB619" s="6" t="str">
        <f>IFERROR(VLOOKUP(D:D,[1]Габариты!$A:$D,4,0),"")</f>
        <v>ШКАФЫ</v>
      </c>
      <c r="AC619" s="39" t="str">
        <f t="shared" si="132"/>
        <v>3808.06/02</v>
      </c>
      <c r="AD619" s="13" t="str">
        <f t="shared" si="127"/>
        <v>СКГТ (ОЗОН)</v>
      </c>
    </row>
    <row r="620" spans="1:30" s="6" customFormat="1" ht="20.100000000000001" customHeight="1" x14ac:dyDescent="0.25">
      <c r="A620" s="632" t="s">
        <v>7533</v>
      </c>
      <c r="B620" s="146"/>
      <c r="C620" s="13" t="s">
        <v>4050</v>
      </c>
      <c r="D620" s="148" t="s">
        <v>7531</v>
      </c>
      <c r="E620" s="100">
        <v>12</v>
      </c>
      <c r="F620" s="144" t="s">
        <v>7710</v>
      </c>
      <c r="G620" s="145" t="s">
        <v>7718</v>
      </c>
      <c r="H620" s="143" t="s">
        <v>7572</v>
      </c>
      <c r="I620" s="143"/>
      <c r="J620" s="143"/>
      <c r="K620" s="144"/>
      <c r="L620" s="145"/>
      <c r="M620" s="145"/>
      <c r="N620" s="862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AA620" s="1" t="str">
        <f>IFERROR(VLOOKUP(D:D,[1]Габариты!$A:$I,9,0),"")</f>
        <v>Основной ассортимент</v>
      </c>
      <c r="AB620" s="6" t="str">
        <f>IFERROR(VLOOKUP(D:D,[1]Габариты!$A:$D,4,0),"")</f>
        <v>ШКАФЫ</v>
      </c>
      <c r="AC620" s="39" t="str">
        <f t="shared" si="132"/>
        <v>3807.09/01</v>
      </c>
      <c r="AD620" s="13" t="str">
        <f t="shared" si="127"/>
        <v>СКГТ (ОЗОН)</v>
      </c>
    </row>
    <row r="621" spans="1:30" s="6" customFormat="1" ht="20.100000000000001" customHeight="1" x14ac:dyDescent="0.25">
      <c r="A621" s="632" t="s">
        <v>7532</v>
      </c>
      <c r="B621" s="146"/>
      <c r="C621" s="13" t="s">
        <v>4050</v>
      </c>
      <c r="D621" s="148" t="s">
        <v>7530</v>
      </c>
      <c r="E621" s="100">
        <v>12</v>
      </c>
      <c r="F621" s="144" t="s">
        <v>8265</v>
      </c>
      <c r="G621" s="145"/>
      <c r="H621" s="143"/>
      <c r="I621" s="143"/>
      <c r="J621" s="143"/>
      <c r="K621" s="144"/>
      <c r="L621" s="145"/>
      <c r="M621" s="145"/>
      <c r="N621" s="862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AA621" s="1" t="str">
        <f>IFERROR(VLOOKUP(D:D,[1]Габариты!$A:$I,9,0),"")</f>
        <v>Основной ассортимент</v>
      </c>
      <c r="AB621" s="6" t="str">
        <f>IFERROR(VLOOKUP(D:D,[1]Габариты!$A:$D,4,0),"")</f>
        <v>ШКАФЫ</v>
      </c>
      <c r="AC621" s="39" t="str">
        <f t="shared" si="132"/>
        <v>3808.09/02</v>
      </c>
      <c r="AD621" s="13" t="str">
        <f t="shared" si="127"/>
        <v>СКГТ (ОЗОН)</v>
      </c>
    </row>
    <row r="622" spans="1:30" s="6" customFormat="1" ht="20.100000000000001" customHeight="1" x14ac:dyDescent="0.25">
      <c r="A622" s="707" t="s">
        <v>7661</v>
      </c>
      <c r="B622" s="181"/>
      <c r="C622" s="13" t="s">
        <v>4050</v>
      </c>
      <c r="D622" s="183" t="s">
        <v>7659</v>
      </c>
      <c r="E622" s="100">
        <v>12</v>
      </c>
      <c r="F622" s="185" t="s">
        <v>7711</v>
      </c>
      <c r="G622" s="186" t="s">
        <v>7717</v>
      </c>
      <c r="H622" s="184" t="s">
        <v>7716</v>
      </c>
      <c r="I622" s="184"/>
      <c r="J622" s="184"/>
      <c r="K622" s="185"/>
      <c r="L622" s="186"/>
      <c r="M622" s="186"/>
      <c r="N622" s="369" t="s">
        <v>8216</v>
      </c>
      <c r="O622" s="184">
        <v>1835382723</v>
      </c>
      <c r="P622" s="184">
        <v>1835382723</v>
      </c>
      <c r="Q622" s="184"/>
      <c r="R622" s="184"/>
      <c r="S622" s="184"/>
      <c r="T622" s="184"/>
      <c r="U622" s="184"/>
      <c r="V622" s="184"/>
      <c r="W622" s="184"/>
      <c r="X622" s="184" t="s">
        <v>8137</v>
      </c>
      <c r="Y622" s="184"/>
      <c r="AA622" s="1" t="str">
        <f>IFERROR(VLOOKUP(D:D,[1]Габариты!$A:$I,9,0),"")</f>
        <v>Основной ассортимент</v>
      </c>
      <c r="AB622" s="6" t="str">
        <f>IFERROR(VLOOKUP(D:D,[1]Габариты!$A:$D,4,0),"")</f>
        <v>ШКАФЫ</v>
      </c>
      <c r="AC622" s="39" t="str">
        <f t="shared" si="132"/>
        <v>3807.17/01</v>
      </c>
      <c r="AD622" s="13" t="str">
        <f t="shared" si="127"/>
        <v>СКГТ (ОЗОН)</v>
      </c>
    </row>
    <row r="623" spans="1:30" s="6" customFormat="1" ht="20.100000000000001" customHeight="1" x14ac:dyDescent="0.25">
      <c r="A623" s="707" t="s">
        <v>7662</v>
      </c>
      <c r="B623" s="181"/>
      <c r="C623" s="13" t="s">
        <v>4050</v>
      </c>
      <c r="D623" s="183" t="s">
        <v>7660</v>
      </c>
      <c r="E623" s="100">
        <v>12</v>
      </c>
      <c r="F623" s="185" t="s">
        <v>8191</v>
      </c>
      <c r="G623" s="186"/>
      <c r="H623" s="184"/>
      <c r="I623" s="184"/>
      <c r="J623" s="184"/>
      <c r="K623" s="185"/>
      <c r="L623" s="186"/>
      <c r="M623" s="186"/>
      <c r="N623" s="863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AA623" s="1" t="str">
        <f>IFERROR(VLOOKUP(D:D,[1]Габариты!$A:$I,9,0),"")</f>
        <v>Основной ассортимент</v>
      </c>
      <c r="AB623" s="6" t="str">
        <f>IFERROR(VLOOKUP(D:D,[1]Габариты!$A:$D,4,0),"")</f>
        <v>ШКАФЫ</v>
      </c>
      <c r="AC623" s="39" t="str">
        <f t="shared" si="132"/>
        <v>3808.17/02</v>
      </c>
      <c r="AD623" s="13" t="str">
        <f t="shared" si="127"/>
        <v>СКГТ (ОЗОН)</v>
      </c>
    </row>
    <row r="624" spans="1:30" s="6" customFormat="1" ht="20.100000000000001" customHeight="1" x14ac:dyDescent="0.25">
      <c r="A624" s="708" t="s">
        <v>8068</v>
      </c>
      <c r="B624" s="284"/>
      <c r="C624" s="13" t="s">
        <v>4050</v>
      </c>
      <c r="D624" s="285" t="s">
        <v>8065</v>
      </c>
      <c r="E624" s="286"/>
      <c r="F624" s="287" t="s">
        <v>8266</v>
      </c>
      <c r="G624" s="288"/>
      <c r="H624" s="286"/>
      <c r="I624" s="286"/>
      <c r="J624" s="286"/>
      <c r="K624" s="287"/>
      <c r="L624" s="288"/>
      <c r="M624" s="288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AA624" s="1" t="str">
        <f>IFERROR(VLOOKUP(D:D,[1]Габариты!$A:$I,9,0),"")</f>
        <v>Основной ассортимент</v>
      </c>
      <c r="AB624" s="6" t="str">
        <f>IFERROR(VLOOKUP(D:D,[1]Габариты!$A:$D,4,0),"")</f>
        <v>ШКАФЫ</v>
      </c>
      <c r="AC624" s="39" t="str">
        <f t="shared" si="132"/>
        <v>10002.17/01К3</v>
      </c>
      <c r="AD624" s="13" t="str">
        <f t="shared" ref="AD624:AD637" si="133">C624</f>
        <v>СКГТ (ОЗОН)</v>
      </c>
    </row>
    <row r="625" spans="1:30" s="6" customFormat="1" ht="20.100000000000001" customHeight="1" x14ac:dyDescent="0.25">
      <c r="A625" s="708" t="s">
        <v>8069</v>
      </c>
      <c r="B625" s="284"/>
      <c r="C625" s="13" t="s">
        <v>4050</v>
      </c>
      <c r="D625" s="285" t="s">
        <v>8066</v>
      </c>
      <c r="E625" s="286"/>
      <c r="F625" s="287" t="s">
        <v>8267</v>
      </c>
      <c r="G625" s="288"/>
      <c r="H625" s="286"/>
      <c r="I625" s="286"/>
      <c r="J625" s="286"/>
      <c r="K625" s="287"/>
      <c r="L625" s="288"/>
      <c r="M625" s="288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AA625" s="1" t="str">
        <f>IFERROR(VLOOKUP(D:D,[1]Габариты!$A:$I,9,0),"")</f>
        <v>Основной ассортимент</v>
      </c>
      <c r="AB625" s="6" t="str">
        <f>IFERROR(VLOOKUP(D:D,[1]Габариты!$A:$D,4,0),"")</f>
        <v>ШКАФЫ</v>
      </c>
      <c r="AC625" s="39" t="str">
        <f t="shared" si="132"/>
        <v>10003.17/01К3</v>
      </c>
      <c r="AD625" s="13" t="str">
        <f t="shared" si="133"/>
        <v>СКГТ (ОЗОН)</v>
      </c>
    </row>
    <row r="626" spans="1:30" s="6" customFormat="1" ht="20.100000000000001" customHeight="1" x14ac:dyDescent="0.25">
      <c r="A626" s="708" t="s">
        <v>8070</v>
      </c>
      <c r="B626" s="284"/>
      <c r="C626" s="13" t="s">
        <v>4050</v>
      </c>
      <c r="D626" s="285" t="s">
        <v>8067</v>
      </c>
      <c r="E626" s="286"/>
      <c r="F626" s="287" t="s">
        <v>8268</v>
      </c>
      <c r="G626" s="288"/>
      <c r="H626" s="286"/>
      <c r="I626" s="286"/>
      <c r="J626" s="286"/>
      <c r="K626" s="287"/>
      <c r="L626" s="288"/>
      <c r="M626" s="288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AA626" s="1" t="str">
        <f>IFERROR(VLOOKUP(D:D,[1]Габариты!$A:$I,9,0),"")</f>
        <v>Основной ассортимент</v>
      </c>
      <c r="AB626" s="6" t="str">
        <f>IFERROR(VLOOKUP(D:D,[1]Габариты!$A:$D,4,0),"")</f>
        <v>ШКАФЫ</v>
      </c>
      <c r="AC626" s="39" t="str">
        <f t="shared" si="132"/>
        <v>11001.17/01</v>
      </c>
      <c r="AD626" s="13" t="str">
        <f t="shared" si="133"/>
        <v>СКГТ (ОЗОН)</v>
      </c>
    </row>
    <row r="627" spans="1:30" s="6" customFormat="1" ht="20.100000000000001" customHeight="1" x14ac:dyDescent="0.25">
      <c r="A627" s="709" t="s">
        <v>8095</v>
      </c>
      <c r="B627" s="311"/>
      <c r="C627" s="13" t="s">
        <v>4050</v>
      </c>
      <c r="D627" s="315" t="s">
        <v>8094</v>
      </c>
      <c r="E627" s="312"/>
      <c r="F627" s="313" t="s">
        <v>8269</v>
      </c>
      <c r="G627" s="314"/>
      <c r="H627" s="312"/>
      <c r="I627" s="312"/>
      <c r="J627" s="312"/>
      <c r="K627" s="313"/>
      <c r="L627" s="314"/>
      <c r="M627" s="314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AA627" s="1" t="str">
        <f>IFERROR(VLOOKUP(D:D,[1]Габариты!$A:$I,9,0),"")</f>
        <v>Основной ассортимент</v>
      </c>
      <c r="AB627" s="6" t="str">
        <f>IFERROR(VLOOKUP(D:D,[1]Габариты!$A:$D,4,0),"")</f>
        <v>ШКАФЫ</v>
      </c>
      <c r="AC627" s="39" t="str">
        <f t="shared" si="132"/>
        <v>11002.17/01</v>
      </c>
      <c r="AD627" s="13" t="str">
        <f t="shared" si="133"/>
        <v>СКГТ (ОЗОН)</v>
      </c>
    </row>
    <row r="628" spans="1:30" s="6" customFormat="1" ht="20.100000000000001" customHeight="1" x14ac:dyDescent="0.25">
      <c r="A628" s="710" t="s">
        <v>5708</v>
      </c>
      <c r="B628" s="390"/>
      <c r="C628" s="13" t="s">
        <v>4050</v>
      </c>
      <c r="D628" s="391" t="s">
        <v>8304</v>
      </c>
      <c r="E628" s="4">
        <v>18</v>
      </c>
      <c r="F628" s="393"/>
      <c r="G628" s="394"/>
      <c r="H628" s="392" t="s">
        <v>5711</v>
      </c>
      <c r="I628" s="392"/>
      <c r="J628" s="392"/>
      <c r="K628" s="393"/>
      <c r="L628" s="394"/>
      <c r="M628" s="394"/>
      <c r="N628" s="392" t="s">
        <v>8334</v>
      </c>
      <c r="O628" s="392">
        <v>1829755265</v>
      </c>
      <c r="P628" s="392">
        <v>1829755265</v>
      </c>
      <c r="Q628" s="392"/>
      <c r="R628" s="392"/>
      <c r="S628" s="392"/>
      <c r="T628" s="392"/>
      <c r="U628" s="392"/>
      <c r="V628" s="392"/>
      <c r="W628" s="392"/>
      <c r="X628" s="392" t="s">
        <v>8334</v>
      </c>
      <c r="Y628" s="392"/>
      <c r="AA628" s="1" t="str">
        <f>IFERROR(VLOOKUP(D:D,[1]Габариты!$A:$I,9,0),"")</f>
        <v>Основной ассортимент</v>
      </c>
      <c r="AB628" s="6" t="str">
        <f>IFERROR(VLOOKUP(D:D,[1]Габариты!$A:$D,4,0),"")</f>
        <v>ШКАФЫ</v>
      </c>
      <c r="AC628" s="39" t="str">
        <f t="shared" si="132"/>
        <v>3713.06/01к</v>
      </c>
      <c r="AD628" s="13" t="str">
        <f t="shared" si="133"/>
        <v>СКГТ (ОЗОН)</v>
      </c>
    </row>
    <row r="629" spans="1:30" s="6" customFormat="1" ht="20.100000000000001" customHeight="1" x14ac:dyDescent="0.25">
      <c r="A629" s="710" t="s">
        <v>7507</v>
      </c>
      <c r="B629" s="390"/>
      <c r="C629" s="13" t="s">
        <v>4050</v>
      </c>
      <c r="D629" s="391" t="s">
        <v>8305</v>
      </c>
      <c r="E629" s="4">
        <v>18</v>
      </c>
      <c r="F629" s="393"/>
      <c r="G629" s="394"/>
      <c r="H629" s="392" t="s">
        <v>8610</v>
      </c>
      <c r="I629" s="392"/>
      <c r="J629" s="392"/>
      <c r="K629" s="393"/>
      <c r="L629" s="394"/>
      <c r="M629" s="394"/>
      <c r="N629" s="392" t="s">
        <v>8335</v>
      </c>
      <c r="O629" s="392">
        <v>1720807556</v>
      </c>
      <c r="P629" s="392">
        <v>1720807556</v>
      </c>
      <c r="Q629" s="392"/>
      <c r="R629" s="392"/>
      <c r="S629" s="392"/>
      <c r="T629" s="392"/>
      <c r="U629" s="392"/>
      <c r="V629" s="392"/>
      <c r="W629" s="392"/>
      <c r="X629" s="392" t="s">
        <v>8335</v>
      </c>
      <c r="Y629" s="392"/>
      <c r="AA629" s="1" t="str">
        <f>IFERROR(VLOOKUP(D:D,[1]Габариты!$A:$I,9,0),"")</f>
        <v>Основной ассортимент</v>
      </c>
      <c r="AB629" s="6" t="str">
        <f>IFERROR(VLOOKUP(D:D,[1]Габариты!$A:$D,4,0),"")</f>
        <v>ШКАФЫ</v>
      </c>
      <c r="AC629" s="39" t="str">
        <f t="shared" si="132"/>
        <v>3713.09/01к</v>
      </c>
      <c r="AD629" s="13" t="str">
        <f t="shared" si="133"/>
        <v>СКГТ (ОЗОН)</v>
      </c>
    </row>
    <row r="630" spans="1:30" s="6" customFormat="1" ht="20.100000000000001" customHeight="1" x14ac:dyDescent="0.25">
      <c r="A630" s="711" t="s">
        <v>7507</v>
      </c>
      <c r="B630" s="518"/>
      <c r="C630" s="13" t="s">
        <v>4050</v>
      </c>
      <c r="D630" s="391" t="s">
        <v>8608</v>
      </c>
      <c r="E630" s="4">
        <v>18</v>
      </c>
      <c r="F630" s="520"/>
      <c r="G630" s="521"/>
      <c r="H630" s="519" t="s">
        <v>8609</v>
      </c>
      <c r="I630" s="519"/>
      <c r="J630" s="519"/>
      <c r="K630" s="520"/>
      <c r="L630" s="521"/>
      <c r="M630" s="521"/>
      <c r="N630" s="519"/>
      <c r="O630" s="519"/>
      <c r="P630" s="519"/>
      <c r="Q630" s="519"/>
      <c r="R630" s="519"/>
      <c r="S630" s="519"/>
      <c r="T630" s="519"/>
      <c r="U630" s="519"/>
      <c r="V630" s="519"/>
      <c r="W630" s="519"/>
      <c r="X630" s="519"/>
      <c r="Y630" s="519"/>
      <c r="AA630" s="1" t="str">
        <f>IFERROR(VLOOKUP(D:D,[1]Габариты!$A:$I,9,0),"")</f>
        <v>Основной ассортимент</v>
      </c>
      <c r="AB630" s="6" t="str">
        <f>IFERROR(VLOOKUP(D:D,[1]Габариты!$A:$D,4,0),"")</f>
        <v>ШКАФЫ</v>
      </c>
      <c r="AC630" s="39" t="str">
        <f t="shared" ref="AC630" si="134">D630</f>
        <v>3713.09/01кк</v>
      </c>
      <c r="AD630" s="13" t="str">
        <f t="shared" ref="AD630" si="135">C630</f>
        <v>СКГТ (ОЗОН)</v>
      </c>
    </row>
    <row r="631" spans="1:30" s="6" customFormat="1" ht="20.100000000000001" customHeight="1" x14ac:dyDescent="0.25">
      <c r="A631" s="710" t="s">
        <v>4777</v>
      </c>
      <c r="B631" s="390"/>
      <c r="C631" s="13" t="s">
        <v>4050</v>
      </c>
      <c r="D631" s="391" t="s">
        <v>8306</v>
      </c>
      <c r="E631" s="4">
        <v>18</v>
      </c>
      <c r="F631" s="393"/>
      <c r="G631" s="394"/>
      <c r="H631" s="392" t="s">
        <v>5710</v>
      </c>
      <c r="I631" s="392"/>
      <c r="J631" s="392"/>
      <c r="K631" s="393"/>
      <c r="L631" s="394"/>
      <c r="M631" s="394"/>
      <c r="N631" s="392" t="s">
        <v>8336</v>
      </c>
      <c r="O631" s="392">
        <v>1731460303</v>
      </c>
      <c r="P631" s="392">
        <v>1731460303</v>
      </c>
      <c r="Q631" s="392"/>
      <c r="R631" s="392"/>
      <c r="S631" s="392"/>
      <c r="T631" s="392"/>
      <c r="U631" s="392"/>
      <c r="V631" s="392"/>
      <c r="W631" s="392"/>
      <c r="X631" s="392" t="s">
        <v>8336</v>
      </c>
      <c r="Y631" s="392"/>
      <c r="AA631" s="1" t="str">
        <f>IFERROR(VLOOKUP(D:D,[1]Габариты!$A:$I,9,0),"")</f>
        <v>Основной ассортимент</v>
      </c>
      <c r="AB631" s="6" t="str">
        <f>IFERROR(VLOOKUP(D:D,[1]Габариты!$A:$D,4,0),"")</f>
        <v>ШКАФЫ</v>
      </c>
      <c r="AC631" s="39" t="str">
        <f t="shared" si="132"/>
        <v>3713к</v>
      </c>
      <c r="AD631" s="13" t="str">
        <f t="shared" si="133"/>
        <v>СКГТ (ОЗОН)</v>
      </c>
    </row>
    <row r="632" spans="1:30" s="6" customFormat="1" ht="20.100000000000001" customHeight="1" x14ac:dyDescent="0.25">
      <c r="A632" s="710" t="s">
        <v>3960</v>
      </c>
      <c r="B632" s="390"/>
      <c r="C632" s="13" t="s">
        <v>4050</v>
      </c>
      <c r="D632" s="391" t="s">
        <v>8307</v>
      </c>
      <c r="E632" s="4">
        <v>18</v>
      </c>
      <c r="F632" s="393"/>
      <c r="G632" s="394"/>
      <c r="H632" s="392" t="s">
        <v>8315</v>
      </c>
      <c r="I632" s="392"/>
      <c r="J632" s="392"/>
      <c r="K632" s="393"/>
      <c r="L632" s="394"/>
      <c r="M632" s="394"/>
      <c r="N632" s="4" t="s">
        <v>8332</v>
      </c>
      <c r="O632" s="4">
        <v>1508690220</v>
      </c>
      <c r="P632" s="4">
        <v>1508690220</v>
      </c>
      <c r="Q632" s="392"/>
      <c r="R632" s="392"/>
      <c r="S632" s="392"/>
      <c r="T632" s="392"/>
      <c r="U632" s="392"/>
      <c r="V632" s="392"/>
      <c r="W632" s="392"/>
      <c r="X632" s="392" t="s">
        <v>8332</v>
      </c>
      <c r="Y632" s="392"/>
      <c r="AA632" s="1" t="str">
        <f>IFERROR(VLOOKUP(D:D,[1]Габариты!$A:$I,9,0),"")</f>
        <v>Основной ассортимент</v>
      </c>
      <c r="AB632" s="6" t="str">
        <f>IFERROR(VLOOKUP(D:D,[1]Габариты!$A:$D,4,0),"")</f>
        <v>ШКАФЫ</v>
      </c>
      <c r="AC632" s="39" t="str">
        <f t="shared" si="132"/>
        <v>3715к</v>
      </c>
      <c r="AD632" s="13" t="str">
        <f t="shared" si="133"/>
        <v>СКГТ (ОЗОН)</v>
      </c>
    </row>
    <row r="633" spans="1:30" s="6" customFormat="1" ht="20.100000000000001" customHeight="1" x14ac:dyDescent="0.25">
      <c r="A633" s="710" t="s">
        <v>4239</v>
      </c>
      <c r="B633" s="390"/>
      <c r="C633" s="13" t="s">
        <v>4050</v>
      </c>
      <c r="D633" s="391" t="s">
        <v>8308</v>
      </c>
      <c r="E633" s="4">
        <v>18</v>
      </c>
      <c r="F633" s="393"/>
      <c r="G633" s="394"/>
      <c r="H633" s="392" t="s">
        <v>8298</v>
      </c>
      <c r="I633" s="392"/>
      <c r="J633" s="392"/>
      <c r="K633" s="393"/>
      <c r="L633" s="394"/>
      <c r="M633" s="394"/>
      <c r="N633" s="4" t="s">
        <v>8333</v>
      </c>
      <c r="O633" s="4">
        <v>1619286786</v>
      </c>
      <c r="P633" s="4">
        <v>1619286786</v>
      </c>
      <c r="Q633" s="392"/>
      <c r="R633" s="392"/>
      <c r="S633" s="392"/>
      <c r="T633" s="392"/>
      <c r="U633" s="392"/>
      <c r="V633" s="392"/>
      <c r="W633" s="392"/>
      <c r="X633" s="392" t="s">
        <v>8333</v>
      </c>
      <c r="Y633" s="392"/>
      <c r="AA633" s="1" t="str">
        <f>IFERROR(VLOOKUP(D:D,[1]Габариты!$A:$I,9,0),"")</f>
        <v>Основной ассортимент</v>
      </c>
      <c r="AB633" s="6" t="str">
        <f>IFERROR(VLOOKUP(D:D,[1]Габариты!$A:$D,4,0),"")</f>
        <v>ШКАФЫ</v>
      </c>
      <c r="AC633" s="39" t="str">
        <f t="shared" si="132"/>
        <v>3717к</v>
      </c>
      <c r="AD633" s="13" t="str">
        <f t="shared" si="133"/>
        <v>СКГТ (ОЗОН)</v>
      </c>
    </row>
    <row r="634" spans="1:30" s="6" customFormat="1" ht="20.100000000000001" customHeight="1" x14ac:dyDescent="0.25">
      <c r="A634" s="710" t="s">
        <v>6131</v>
      </c>
      <c r="B634" s="390"/>
      <c r="C634" s="13" t="s">
        <v>4050</v>
      </c>
      <c r="D634" s="391" t="s">
        <v>8309</v>
      </c>
      <c r="E634" s="100">
        <v>12</v>
      </c>
      <c r="F634" s="393"/>
      <c r="G634" s="394"/>
      <c r="H634" s="392" t="s">
        <v>6135</v>
      </c>
      <c r="I634" s="392"/>
      <c r="J634" s="392"/>
      <c r="K634" s="393"/>
      <c r="L634" s="394"/>
      <c r="M634" s="394"/>
      <c r="N634" s="392" t="s">
        <v>8344</v>
      </c>
      <c r="O634" s="392">
        <v>1835503661</v>
      </c>
      <c r="P634" s="392">
        <v>1835503661</v>
      </c>
      <c r="Q634" s="392"/>
      <c r="R634" s="392"/>
      <c r="S634" s="392"/>
      <c r="T634" s="392"/>
      <c r="U634" s="392"/>
      <c r="V634" s="392"/>
      <c r="W634" s="392"/>
      <c r="X634" s="392" t="s">
        <v>8344</v>
      </c>
      <c r="Y634" s="392"/>
      <c r="AA634" s="1" t="str">
        <f>IFERROR(VLOOKUP(D:D,[1]Габариты!$A:$I,9,0),"")</f>
        <v>Основной ассортимент</v>
      </c>
      <c r="AB634" s="6" t="str">
        <f>IFERROR(VLOOKUP(D:D,[1]Габариты!$A:$D,4,0),"")</f>
        <v>ШКАФЫ</v>
      </c>
      <c r="AC634" s="39" t="str">
        <f t="shared" si="132"/>
        <v>3807.05/01к</v>
      </c>
      <c r="AD634" s="13" t="str">
        <f t="shared" si="133"/>
        <v>СКГТ (ОЗОН)</v>
      </c>
    </row>
    <row r="635" spans="1:30" s="6" customFormat="1" ht="20.100000000000001" customHeight="1" x14ac:dyDescent="0.25">
      <c r="A635" s="710" t="s">
        <v>7446</v>
      </c>
      <c r="B635" s="390"/>
      <c r="C635" s="13" t="s">
        <v>4050</v>
      </c>
      <c r="D635" s="391" t="s">
        <v>8310</v>
      </c>
      <c r="E635" s="100">
        <v>12</v>
      </c>
      <c r="F635" s="393"/>
      <c r="G635" s="394"/>
      <c r="H635" s="392" t="s">
        <v>7465</v>
      </c>
      <c r="I635" s="392"/>
      <c r="J635" s="392"/>
      <c r="K635" s="393"/>
      <c r="L635" s="394"/>
      <c r="M635" s="394"/>
      <c r="N635" s="392" t="s">
        <v>8345</v>
      </c>
      <c r="O635" s="392">
        <v>1833384183</v>
      </c>
      <c r="P635" s="392">
        <v>1833384183</v>
      </c>
      <c r="Q635" s="392"/>
      <c r="R635" s="392"/>
      <c r="S635" s="392"/>
      <c r="T635" s="392"/>
      <c r="U635" s="392"/>
      <c r="V635" s="392"/>
      <c r="W635" s="392"/>
      <c r="X635" s="392" t="s">
        <v>8345</v>
      </c>
      <c r="Y635" s="392"/>
      <c r="AA635" s="1" t="str">
        <f>IFERROR(VLOOKUP(D:D,[1]Габариты!$A:$I,9,0),"")</f>
        <v>Основной ассортимент</v>
      </c>
      <c r="AB635" s="6" t="str">
        <f>IFERROR(VLOOKUP(D:D,[1]Габариты!$A:$D,4,0),"")</f>
        <v>ШКАФЫ</v>
      </c>
      <c r="AC635" s="39" t="str">
        <f t="shared" si="132"/>
        <v>3807.06/01к</v>
      </c>
      <c r="AD635" s="13" t="str">
        <f t="shared" si="133"/>
        <v>СКГТ (ОЗОН)</v>
      </c>
    </row>
    <row r="636" spans="1:30" s="6" customFormat="1" ht="20.100000000000001" customHeight="1" x14ac:dyDescent="0.25">
      <c r="A636" s="710" t="s">
        <v>7533</v>
      </c>
      <c r="B636" s="390"/>
      <c r="C636" s="13" t="s">
        <v>4050</v>
      </c>
      <c r="D636" s="391" t="s">
        <v>8311</v>
      </c>
      <c r="E636" s="100">
        <v>12</v>
      </c>
      <c r="F636" s="393"/>
      <c r="G636" s="394"/>
      <c r="H636" s="392" t="s">
        <v>7718</v>
      </c>
      <c r="I636" s="392"/>
      <c r="J636" s="392"/>
      <c r="K636" s="393"/>
      <c r="L636" s="394"/>
      <c r="M636" s="394"/>
      <c r="N636" s="392" t="s">
        <v>8603</v>
      </c>
      <c r="O636" s="392">
        <v>1967190790</v>
      </c>
      <c r="P636" s="392">
        <v>1967190790</v>
      </c>
      <c r="Q636" s="392"/>
      <c r="R636" s="392"/>
      <c r="S636" s="392"/>
      <c r="T636" s="392"/>
      <c r="U636" s="392"/>
      <c r="V636" s="392"/>
      <c r="W636" s="392"/>
      <c r="X636" s="392"/>
      <c r="Y636" s="392"/>
      <c r="AA636" s="1" t="str">
        <f>IFERROR(VLOOKUP(D:D,[1]Габариты!$A:$I,9,0),"")</f>
        <v>Основной ассортимент</v>
      </c>
      <c r="AB636" s="6" t="str">
        <f>IFERROR(VLOOKUP(D:D,[1]Габариты!$A:$D,4,0),"")</f>
        <v>ШКАФЫ</v>
      </c>
      <c r="AC636" s="39" t="str">
        <f t="shared" si="132"/>
        <v>3807.09/01к</v>
      </c>
      <c r="AD636" s="13" t="str">
        <f t="shared" si="133"/>
        <v>СКГТ (ОЗОН)</v>
      </c>
    </row>
    <row r="637" spans="1:30" s="6" customFormat="1" ht="20.100000000000001" customHeight="1" x14ac:dyDescent="0.25">
      <c r="A637" s="710" t="s">
        <v>7661</v>
      </c>
      <c r="B637" s="390"/>
      <c r="C637" s="13" t="s">
        <v>4050</v>
      </c>
      <c r="D637" s="391" t="s">
        <v>8312</v>
      </c>
      <c r="E637" s="100">
        <v>12</v>
      </c>
      <c r="F637" s="393"/>
      <c r="G637" s="394"/>
      <c r="H637" s="392" t="s">
        <v>7717</v>
      </c>
      <c r="I637" s="392"/>
      <c r="J637" s="392"/>
      <c r="K637" s="393"/>
      <c r="L637" s="394"/>
      <c r="M637" s="394"/>
      <c r="N637" s="392" t="s">
        <v>8326</v>
      </c>
      <c r="O637" s="392">
        <v>1835382723</v>
      </c>
      <c r="P637" s="392">
        <v>1835382723</v>
      </c>
      <c r="Q637" s="392"/>
      <c r="R637" s="392"/>
      <c r="S637" s="392"/>
      <c r="T637" s="392"/>
      <c r="U637" s="392"/>
      <c r="V637" s="392"/>
      <c r="W637" s="392"/>
      <c r="X637" s="392" t="s">
        <v>8326</v>
      </c>
      <c r="Y637" s="392"/>
      <c r="AA637" s="1" t="str">
        <f>IFERROR(VLOOKUP(D:D,[1]Габариты!$A:$I,9,0),"")</f>
        <v>Основной ассортимент</v>
      </c>
      <c r="AB637" s="6" t="str">
        <f>IFERROR(VLOOKUP(D:D,[1]Габариты!$A:$D,4,0),"")</f>
        <v>ШКАФЫ</v>
      </c>
      <c r="AC637" s="39" t="str">
        <f t="shared" si="132"/>
        <v>3807.17/01к</v>
      </c>
      <c r="AD637" s="13" t="str">
        <f t="shared" si="133"/>
        <v>СКГТ (ОЗОН)</v>
      </c>
    </row>
    <row r="638" spans="1:30" s="6" customFormat="1" ht="20.100000000000001" customHeight="1" x14ac:dyDescent="0.25">
      <c r="A638" s="710" t="s">
        <v>4408</v>
      </c>
      <c r="B638" s="390"/>
      <c r="C638" s="13" t="s">
        <v>4050</v>
      </c>
      <c r="D638" s="391" t="s">
        <v>8314</v>
      </c>
      <c r="E638" s="4">
        <v>12</v>
      </c>
      <c r="F638" s="393"/>
      <c r="G638" s="394"/>
      <c r="H638" s="392" t="s">
        <v>5713</v>
      </c>
      <c r="I638" s="392"/>
      <c r="J638" s="392"/>
      <c r="K638" s="393"/>
      <c r="L638" s="394"/>
      <c r="M638" s="394"/>
      <c r="N638" s="4" t="s">
        <v>8337</v>
      </c>
      <c r="O638" s="4">
        <v>1625461953</v>
      </c>
      <c r="P638" s="4">
        <v>1625461953</v>
      </c>
      <c r="Q638" s="392"/>
      <c r="R638" s="392"/>
      <c r="S638" s="392"/>
      <c r="T638" s="392"/>
      <c r="U638" s="392"/>
      <c r="V638" s="392"/>
      <c r="W638" s="392"/>
      <c r="X638" s="392" t="s">
        <v>8337</v>
      </c>
      <c r="Y638" s="392"/>
      <c r="AA638" s="1" t="str">
        <f>IFERROR(VLOOKUP(D:D,[1]Габариты!$A:$I,9,0),"")</f>
        <v>Основной ассортимент</v>
      </c>
      <c r="AB638" s="6" t="str">
        <f>IFERROR(VLOOKUP(D:D,[1]Габариты!$A:$D,4,0),"")</f>
        <v>ШКАФЫ</v>
      </c>
      <c r="AC638" s="39" t="str">
        <f t="shared" si="132"/>
        <v>3942.01.09/01к</v>
      </c>
      <c r="AD638" s="13" t="str">
        <f t="shared" ref="AD638" si="136">C638</f>
        <v>СКГТ (ОЗОН)</v>
      </c>
    </row>
    <row r="639" spans="1:30" s="6" customFormat="1" ht="20.100000000000001" customHeight="1" x14ac:dyDescent="0.25">
      <c r="A639" s="910" t="s">
        <v>8839</v>
      </c>
      <c r="B639" s="911"/>
      <c r="C639" s="912"/>
      <c r="D639" s="913" t="s">
        <v>8841</v>
      </c>
      <c r="E639" s="914"/>
      <c r="F639" s="915"/>
      <c r="G639" s="916"/>
      <c r="H639" s="914" t="s">
        <v>8859</v>
      </c>
      <c r="I639" s="914"/>
      <c r="J639" s="914"/>
      <c r="K639" s="915"/>
      <c r="L639" s="916"/>
      <c r="M639" s="916"/>
      <c r="N639" s="914" t="s">
        <v>8871</v>
      </c>
      <c r="O639" s="914">
        <v>2538478051</v>
      </c>
      <c r="P639" s="914">
        <v>2538478051</v>
      </c>
      <c r="Q639" s="914"/>
      <c r="R639" s="914"/>
      <c r="S639" s="914"/>
      <c r="T639" s="914"/>
      <c r="U639" s="914"/>
      <c r="V639" s="914"/>
      <c r="W639" s="914"/>
      <c r="X639" s="914"/>
      <c r="Y639" s="914"/>
      <c r="AA639" s="1" t="str">
        <f>IFERROR(VLOOKUP(D:D,[1]Габариты!$A:$I,9,0),"")</f>
        <v>Основной ассортимент</v>
      </c>
      <c r="AB639" s="6" t="str">
        <f>IFERROR(VLOOKUP(D:D,[1]Габариты!$A:$D,4,0),"")</f>
        <v>ШКАФЫ</v>
      </c>
      <c r="AC639" s="39" t="str">
        <f t="shared" ref="AC639:AC640" si="137">D639</f>
        <v>6017к</v>
      </c>
      <c r="AD639" s="13">
        <f t="shared" ref="AD639:AD640" si="138">C639</f>
        <v>0</v>
      </c>
    </row>
    <row r="640" spans="1:30" s="6" customFormat="1" ht="20.100000000000001" customHeight="1" x14ac:dyDescent="0.25">
      <c r="A640" s="910" t="s">
        <v>8840</v>
      </c>
      <c r="B640" s="911"/>
      <c r="C640" s="912"/>
      <c r="D640" s="913" t="s">
        <v>8842</v>
      </c>
      <c r="E640" s="914"/>
      <c r="F640" s="915"/>
      <c r="G640" s="916"/>
      <c r="H640" s="914" t="s">
        <v>8860</v>
      </c>
      <c r="I640" s="914"/>
      <c r="J640" s="914"/>
      <c r="K640" s="915"/>
      <c r="L640" s="916"/>
      <c r="M640" s="916"/>
      <c r="N640" s="914" t="s">
        <v>8870</v>
      </c>
      <c r="O640" s="914">
        <v>2538307083</v>
      </c>
      <c r="P640" s="914">
        <v>2538307083</v>
      </c>
      <c r="Q640" s="914"/>
      <c r="R640" s="914"/>
      <c r="S640" s="914"/>
      <c r="T640" s="914"/>
      <c r="U640" s="914"/>
      <c r="V640" s="914"/>
      <c r="W640" s="914"/>
      <c r="X640" s="914"/>
      <c r="Y640" s="914"/>
      <c r="AA640" s="1" t="str">
        <f>IFERROR(VLOOKUP(D:D,[1]Габариты!$A:$I,9,0),"")</f>
        <v>Основной ассортимент</v>
      </c>
      <c r="AB640" s="6" t="str">
        <f>IFERROR(VLOOKUP(D:D,[1]Габариты!$A:$D,4,0),"")</f>
        <v>ШКАФЫ</v>
      </c>
      <c r="AC640" s="39" t="str">
        <f t="shared" si="137"/>
        <v>6015к</v>
      </c>
      <c r="AD640" s="13">
        <f t="shared" si="138"/>
        <v>0</v>
      </c>
    </row>
    <row r="641" spans="1:30" s="6" customFormat="1" ht="20.100000000000001" customHeight="1" x14ac:dyDescent="0.2">
      <c r="A641" s="753" t="s">
        <v>439</v>
      </c>
      <c r="B641" s="754" t="s">
        <v>7774</v>
      </c>
      <c r="C641" s="122"/>
      <c r="D641" s="128"/>
      <c r="E641" s="124"/>
      <c r="F641" s="125"/>
      <c r="G641" s="126"/>
      <c r="H641" s="124"/>
      <c r="I641" s="124"/>
      <c r="J641" s="124"/>
      <c r="K641" s="125"/>
      <c r="L641" s="126"/>
      <c r="M641" s="126"/>
      <c r="N641" s="811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AA641" s="1" t="str">
        <f>IFERROR(VLOOKUP(D:D,[1]Габариты!$A:$I,9,0),"")</f>
        <v/>
      </c>
      <c r="AB641" s="6" t="str">
        <f>IFERROR(VLOOKUP(D:D,[1]Габариты!$A:$D,4,0),"")</f>
        <v/>
      </c>
      <c r="AC641" s="39"/>
      <c r="AD641" s="3"/>
    </row>
    <row r="642" spans="1:30" s="6" customFormat="1" ht="20.100000000000001" customHeight="1" x14ac:dyDescent="0.25">
      <c r="A642" s="680" t="s">
        <v>8083</v>
      </c>
      <c r="B642" s="306"/>
      <c r="C642" s="13" t="s">
        <v>4050</v>
      </c>
      <c r="D642" s="310" t="s">
        <v>8082</v>
      </c>
      <c r="E642" s="303">
        <v>11</v>
      </c>
      <c r="F642" s="304" t="s">
        <v>8192</v>
      </c>
      <c r="G642" s="305"/>
      <c r="H642" s="303" t="s">
        <v>8081</v>
      </c>
      <c r="I642" s="303"/>
      <c r="J642" s="303"/>
      <c r="K642" s="304"/>
      <c r="L642" s="305"/>
      <c r="M642" s="305"/>
      <c r="N642" s="303" t="s">
        <v>8091</v>
      </c>
      <c r="O642" s="303">
        <v>1785839358</v>
      </c>
      <c r="P642" s="303">
        <v>1785839358</v>
      </c>
      <c r="Q642" s="303"/>
      <c r="R642" s="303"/>
      <c r="S642" s="303"/>
      <c r="T642" s="303"/>
      <c r="U642" s="303"/>
      <c r="V642" s="303"/>
      <c r="W642" s="303"/>
      <c r="X642" s="303" t="s">
        <v>8091</v>
      </c>
      <c r="Y642" s="303"/>
      <c r="AA642" s="1" t="str">
        <f>IFERROR(VLOOKUP(D:D,[1]Габариты!$A:$I,9,0),"")</f>
        <v>Вакансия</v>
      </c>
      <c r="AB642" s="6" t="str">
        <f>IFERROR(VLOOKUP(D:D,[1]Габариты!$A:$D,4,0),"")</f>
        <v>ШКАФЫ</v>
      </c>
      <c r="AC642" s="39" t="str">
        <f t="shared" si="132"/>
        <v>5002.05.09/01</v>
      </c>
      <c r="AD642" s="13" t="str">
        <f t="shared" ref="AD642:AD766" si="139">C642</f>
        <v>СКГТ (ОЗОН)</v>
      </c>
    </row>
    <row r="643" spans="1:30" s="6" customFormat="1" ht="20.100000000000001" customHeight="1" x14ac:dyDescent="0.25">
      <c r="A643" s="636" t="s">
        <v>8111</v>
      </c>
      <c r="B643" s="325"/>
      <c r="C643" s="13" t="s">
        <v>4050</v>
      </c>
      <c r="D643" s="326" t="s">
        <v>8110</v>
      </c>
      <c r="E643" s="322"/>
      <c r="F643" s="323" t="s">
        <v>8273</v>
      </c>
      <c r="G643" s="324"/>
      <c r="H643" s="322"/>
      <c r="I643" s="322"/>
      <c r="J643" s="322"/>
      <c r="K643" s="323"/>
      <c r="L643" s="324"/>
      <c r="M643" s="324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AA643" s="1" t="str">
        <f>IFERROR(VLOOKUP(D:D,[1]Габариты!$A:$I,9,0),"")</f>
        <v>Основной ассортимент</v>
      </c>
      <c r="AB643" s="6" t="str">
        <f>IFERROR(VLOOKUP(D:D,[1]Габариты!$A:$D,4,0),"")</f>
        <v>ШКАФЫ</v>
      </c>
      <c r="AC643" s="39" t="str">
        <f t="shared" si="132"/>
        <v>10001.17/01К3</v>
      </c>
      <c r="AD643" s="13" t="str">
        <f t="shared" ref="AD643" si="140">C643</f>
        <v>СКГТ (ОЗОН)</v>
      </c>
    </row>
    <row r="644" spans="1:30" s="6" customFormat="1" ht="20.100000000000001" customHeight="1" x14ac:dyDescent="0.25">
      <c r="A644" s="643" t="s">
        <v>8161</v>
      </c>
      <c r="B644" s="348"/>
      <c r="C644" s="13" t="s">
        <v>4050</v>
      </c>
      <c r="D644" s="350" t="s">
        <v>8160</v>
      </c>
      <c r="E644" s="345">
        <v>6</v>
      </c>
      <c r="F644" s="346"/>
      <c r="G644" s="347"/>
      <c r="H644" s="345" t="s">
        <v>8171</v>
      </c>
      <c r="I644" s="345"/>
      <c r="J644" s="345"/>
      <c r="K644" s="346"/>
      <c r="L644" s="347"/>
      <c r="M644" s="347"/>
      <c r="N644" s="345" t="s">
        <v>8179</v>
      </c>
      <c r="O644" s="345">
        <v>1828999654</v>
      </c>
      <c r="P644" s="345">
        <v>1828999654</v>
      </c>
      <c r="Q644" s="345"/>
      <c r="R644" s="345"/>
      <c r="S644" s="345"/>
      <c r="T644" s="345"/>
      <c r="U644" s="345"/>
      <c r="V644" s="345"/>
      <c r="W644" s="345"/>
      <c r="X644" s="345" t="s">
        <v>8179</v>
      </c>
      <c r="Y644" s="345"/>
      <c r="AA644" s="1" t="str">
        <f>IFERROR(VLOOKUP(D:D,[1]Габариты!$A:$I,9,0),"")</f>
        <v>Основной ассортимент</v>
      </c>
      <c r="AB644" s="6" t="str">
        <f>IFERROR(VLOOKUP(D:D,[1]Габариты!$A:$D,4,0),"")</f>
        <v>ШКАФЫ</v>
      </c>
      <c r="AC644" s="39" t="str">
        <f t="shared" si="132"/>
        <v>5851.17/01.М</v>
      </c>
      <c r="AD644" s="13" t="str">
        <f t="shared" ref="AD644:AD646" si="141">C644</f>
        <v>СКГТ (ОЗОН)</v>
      </c>
    </row>
    <row r="645" spans="1:30" s="6" customFormat="1" ht="20.100000000000001" customHeight="1" x14ac:dyDescent="0.25">
      <c r="A645" s="712" t="s">
        <v>8169</v>
      </c>
      <c r="B645" s="357"/>
      <c r="C645" s="13" t="s">
        <v>4050</v>
      </c>
      <c r="D645" s="358" t="s">
        <v>8167</v>
      </c>
      <c r="E645" s="345">
        <v>6</v>
      </c>
      <c r="F645" s="355"/>
      <c r="G645" s="356"/>
      <c r="H645" s="354" t="s">
        <v>8172</v>
      </c>
      <c r="I645" s="354"/>
      <c r="J645" s="354"/>
      <c r="K645" s="355"/>
      <c r="L645" s="356"/>
      <c r="M645" s="356"/>
      <c r="N645" s="354" t="s">
        <v>8180</v>
      </c>
      <c r="O645" s="354">
        <v>1829240911</v>
      </c>
      <c r="P645" s="354">
        <v>1829240911</v>
      </c>
      <c r="Q645" s="354"/>
      <c r="R645" s="354"/>
      <c r="S645" s="354"/>
      <c r="T645" s="354"/>
      <c r="U645" s="354"/>
      <c r="V645" s="354"/>
      <c r="W645" s="354"/>
      <c r="X645" s="354" t="s">
        <v>8180</v>
      </c>
      <c r="Y645" s="354"/>
      <c r="AA645" s="1" t="str">
        <f>IFERROR(VLOOKUP(D:D,[1]Габариты!$A:$I,9,0),"")</f>
        <v>Основной ассортимент</v>
      </c>
      <c r="AB645" s="6" t="str">
        <f>IFERROR(VLOOKUP(D:D,[1]Габариты!$A:$D,4,0),"")</f>
        <v>ШКАФЫ</v>
      </c>
      <c r="AC645" s="39" t="str">
        <f t="shared" si="132"/>
        <v>5853.17/01.М</v>
      </c>
      <c r="AD645" s="13" t="str">
        <f t="shared" si="141"/>
        <v>СКГТ (ОЗОН)</v>
      </c>
    </row>
    <row r="646" spans="1:30" s="6" customFormat="1" ht="20.100000000000001" customHeight="1" x14ac:dyDescent="0.25">
      <c r="A646" s="712" t="s">
        <v>8170</v>
      </c>
      <c r="B646" s="357"/>
      <c r="C646" s="13" t="s">
        <v>4050</v>
      </c>
      <c r="D646" s="358" t="s">
        <v>8168</v>
      </c>
      <c r="E646" s="345">
        <v>6</v>
      </c>
      <c r="F646" s="355"/>
      <c r="G646" s="356"/>
      <c r="H646" s="354" t="s">
        <v>8173</v>
      </c>
      <c r="I646" s="354"/>
      <c r="J646" s="354"/>
      <c r="K646" s="355"/>
      <c r="L646" s="356"/>
      <c r="M646" s="356"/>
      <c r="N646" s="354" t="s">
        <v>8181</v>
      </c>
      <c r="O646" s="354">
        <v>1829148486</v>
      </c>
      <c r="P646" s="354">
        <v>1829148486</v>
      </c>
      <c r="Q646" s="354"/>
      <c r="R646" s="354"/>
      <c r="S646" s="354"/>
      <c r="T646" s="354"/>
      <c r="U646" s="354"/>
      <c r="V646" s="354"/>
      <c r="W646" s="354"/>
      <c r="X646" s="354" t="s">
        <v>8181</v>
      </c>
      <c r="Y646" s="354"/>
      <c r="AA646" s="1" t="str">
        <f>IFERROR(VLOOKUP(D:D,[1]Габариты!$A:$I,9,0),"")</f>
        <v>Основной ассортимент</v>
      </c>
      <c r="AB646" s="6" t="str">
        <f>IFERROR(VLOOKUP(D:D,[1]Габариты!$A:$D,4,0),"")</f>
        <v>ШКАФЫ</v>
      </c>
      <c r="AC646" s="39" t="str">
        <f t="shared" si="132"/>
        <v>05852.17/01.М</v>
      </c>
      <c r="AD646" s="13" t="str">
        <f t="shared" si="141"/>
        <v>СКГТ (ОЗОН)</v>
      </c>
    </row>
    <row r="647" spans="1:30" s="6" customFormat="1" ht="20.100000000000001" customHeight="1" x14ac:dyDescent="0.25">
      <c r="A647" s="713" t="s">
        <v>8039</v>
      </c>
      <c r="B647" s="275"/>
      <c r="C647" s="13" t="s">
        <v>2582</v>
      </c>
      <c r="D647" s="277" t="s">
        <v>8037</v>
      </c>
      <c r="E647" s="278">
        <v>27</v>
      </c>
      <c r="F647" s="279" t="s">
        <v>8037</v>
      </c>
      <c r="G647" s="280"/>
      <c r="H647" s="278" t="s">
        <v>8102</v>
      </c>
      <c r="I647" s="278"/>
      <c r="J647" s="278"/>
      <c r="K647" s="279"/>
      <c r="L647" s="280"/>
      <c r="M647" s="280"/>
      <c r="N647" s="278" t="s">
        <v>8105</v>
      </c>
      <c r="O647" s="278">
        <v>1801302246</v>
      </c>
      <c r="P647" s="278">
        <v>1801302246</v>
      </c>
      <c r="Q647" s="278"/>
      <c r="R647" s="278"/>
      <c r="S647" s="278"/>
      <c r="T647" s="278"/>
      <c r="U647" s="278"/>
      <c r="V647" s="278"/>
      <c r="W647" s="278"/>
      <c r="X647" s="278" t="s">
        <v>8105</v>
      </c>
      <c r="Y647" s="278"/>
      <c r="AA647" s="1" t="str">
        <f>IFERROR(VLOOKUP(D:D,[1]Габариты!$A:$I,9,0),"")</f>
        <v>Основной ассортимент</v>
      </c>
      <c r="AB647" s="6" t="str">
        <f>IFERROR(VLOOKUP(D:D,[1]Габариты!$A:$D,4,0),"")</f>
        <v>ШКАФЫ</v>
      </c>
      <c r="AC647" s="39" t="str">
        <f t="shared" si="132"/>
        <v>13003.17/01</v>
      </c>
      <c r="AD647" s="13" t="str">
        <f>C647</f>
        <v>FBO</v>
      </c>
    </row>
    <row r="648" spans="1:30" s="6" customFormat="1" ht="20.100000000000001" customHeight="1" x14ac:dyDescent="0.25">
      <c r="A648" s="713" t="s">
        <v>8040</v>
      </c>
      <c r="B648" s="275"/>
      <c r="C648" s="13" t="s">
        <v>4050</v>
      </c>
      <c r="D648" s="277" t="s">
        <v>8038</v>
      </c>
      <c r="E648" s="278">
        <v>20</v>
      </c>
      <c r="F648" s="279" t="s">
        <v>8038</v>
      </c>
      <c r="G648" s="280"/>
      <c r="H648" s="278" t="s">
        <v>8113</v>
      </c>
      <c r="I648" s="278"/>
      <c r="J648" s="278"/>
      <c r="K648" s="279"/>
      <c r="L648" s="280"/>
      <c r="M648" s="280"/>
      <c r="N648" s="278" t="s">
        <v>8174</v>
      </c>
      <c r="O648" s="278">
        <v>1802930120</v>
      </c>
      <c r="P648" s="278">
        <v>1802930120</v>
      </c>
      <c r="Q648" s="278"/>
      <c r="R648" s="278"/>
      <c r="S648" s="278"/>
      <c r="T648" s="278"/>
      <c r="U648" s="278"/>
      <c r="V648" s="278"/>
      <c r="W648" s="278"/>
      <c r="X648" s="278" t="s">
        <v>8174</v>
      </c>
      <c r="Y648" s="278"/>
      <c r="AA648" s="1" t="str">
        <f>IFERROR(VLOOKUP(D:D,[1]Габариты!$A:$I,9,0),"")</f>
        <v>Основной ассортимент</v>
      </c>
      <c r="AB648" s="6" t="str">
        <f>IFERROR(VLOOKUP(D:D,[1]Габариты!$A:$D,4,0),"")</f>
        <v>ШКАФЫ</v>
      </c>
      <c r="AC648" s="39" t="str">
        <f t="shared" si="132"/>
        <v>13004.17/01</v>
      </c>
      <c r="AD648" s="13" t="str">
        <f>C648</f>
        <v>СКГТ (ОЗОН)</v>
      </c>
    </row>
    <row r="649" spans="1:30" s="6" customFormat="1" ht="20.100000000000001" customHeight="1" x14ac:dyDescent="0.25">
      <c r="A649" s="700" t="s">
        <v>8510</v>
      </c>
      <c r="B649" s="487"/>
      <c r="C649" s="488" t="s">
        <v>2582</v>
      </c>
      <c r="D649" s="489" t="s">
        <v>8506</v>
      </c>
      <c r="E649" s="490">
        <v>27</v>
      </c>
      <c r="F649" s="491" t="s">
        <v>8506</v>
      </c>
      <c r="G649" s="492"/>
      <c r="H649" s="490" t="s">
        <v>8508</v>
      </c>
      <c r="I649" s="490"/>
      <c r="J649" s="490"/>
      <c r="K649" s="491"/>
      <c r="L649" s="492"/>
      <c r="M649" s="492"/>
      <c r="N649" s="490" t="s">
        <v>8538</v>
      </c>
      <c r="O649" s="490">
        <v>1946750017</v>
      </c>
      <c r="P649" s="490">
        <v>1946750017</v>
      </c>
      <c r="Q649" s="490"/>
      <c r="R649" s="490"/>
      <c r="S649" s="490"/>
      <c r="T649" s="490"/>
      <c r="U649" s="490"/>
      <c r="V649" s="490"/>
      <c r="W649" s="490"/>
      <c r="X649" s="490"/>
      <c r="Y649" s="490"/>
      <c r="AA649" s="1" t="str">
        <f>IFERROR(VLOOKUP(D:D,[1]Габариты!$A:$I,9,0),"")</f>
        <v>Основной ассортимент</v>
      </c>
      <c r="AB649" s="6" t="str">
        <f>IFERROR(VLOOKUP(D:D,[1]Габариты!$A:$D,4,0),"")</f>
        <v>ШКАФЫ</v>
      </c>
      <c r="AC649" s="39" t="str">
        <f t="shared" si="132"/>
        <v>13003.09/01</v>
      </c>
      <c r="AD649" s="13" t="str">
        <f t="shared" ref="AD649:AD650" si="142">C649</f>
        <v>FBO</v>
      </c>
    </row>
    <row r="650" spans="1:30" s="6" customFormat="1" ht="20.100000000000001" customHeight="1" x14ac:dyDescent="0.25">
      <c r="A650" s="700" t="s">
        <v>8511</v>
      </c>
      <c r="B650" s="487"/>
      <c r="C650" s="13" t="s">
        <v>4050</v>
      </c>
      <c r="D650" s="489" t="s">
        <v>8507</v>
      </c>
      <c r="E650" s="490">
        <v>20</v>
      </c>
      <c r="F650" s="491"/>
      <c r="G650" s="492"/>
      <c r="H650" s="490" t="s">
        <v>8509</v>
      </c>
      <c r="I650" s="490"/>
      <c r="J650" s="490"/>
      <c r="K650" s="491"/>
      <c r="L650" s="492"/>
      <c r="M650" s="492"/>
      <c r="N650" s="490" t="s">
        <v>8539</v>
      </c>
      <c r="O650" s="490">
        <v>1946914707</v>
      </c>
      <c r="P650" s="490">
        <v>1946914707</v>
      </c>
      <c r="Q650" s="490"/>
      <c r="R650" s="490"/>
      <c r="S650" s="490"/>
      <c r="T650" s="490"/>
      <c r="U650" s="490"/>
      <c r="V650" s="490"/>
      <c r="W650" s="490"/>
      <c r="X650" s="490"/>
      <c r="Y650" s="490"/>
      <c r="AA650" s="1" t="str">
        <f>IFERROR(VLOOKUP(D:D,[1]Габариты!$A:$I,9,0),"")</f>
        <v>Основной ассортимент</v>
      </c>
      <c r="AB650" s="6" t="str">
        <f>IFERROR(VLOOKUP(D:D,[1]Габариты!$A:$D,4,0),"")</f>
        <v>ШКАФЫ</v>
      </c>
      <c r="AC650" s="39" t="str">
        <f t="shared" si="132"/>
        <v>13004.09/01</v>
      </c>
      <c r="AD650" s="13" t="str">
        <f t="shared" si="142"/>
        <v>СКГТ (ОЗОН)</v>
      </c>
    </row>
    <row r="651" spans="1:30" s="6" customFormat="1" ht="20.100000000000001" customHeight="1" x14ac:dyDescent="0.25">
      <c r="A651" s="694" t="s">
        <v>8562</v>
      </c>
      <c r="B651" s="505"/>
      <c r="C651" s="13" t="s">
        <v>4050</v>
      </c>
      <c r="D651" s="506" t="s">
        <v>8558</v>
      </c>
      <c r="E651" s="502">
        <v>6</v>
      </c>
      <c r="F651" s="503"/>
      <c r="G651" s="504"/>
      <c r="H651" s="502" t="s">
        <v>8566</v>
      </c>
      <c r="I651" s="502"/>
      <c r="J651" s="502"/>
      <c r="K651" s="503"/>
      <c r="L651" s="504"/>
      <c r="M651" s="504"/>
      <c r="N651" s="502" t="s">
        <v>8591</v>
      </c>
      <c r="O651" s="502">
        <v>1952203784</v>
      </c>
      <c r="P651" s="502">
        <v>1952203784</v>
      </c>
      <c r="Q651" s="502"/>
      <c r="R651" s="502"/>
      <c r="S651" s="502"/>
      <c r="T651" s="502"/>
      <c r="U651" s="502"/>
      <c r="V651" s="502"/>
      <c r="W651" s="502"/>
      <c r="X651" s="502"/>
      <c r="Y651" s="502"/>
      <c r="AA651" s="1" t="str">
        <f>IFERROR(VLOOKUP(D:D,[1]Габариты!$A:$I,9,0),"")</f>
        <v>Основной ассортимент</v>
      </c>
      <c r="AB651" s="6" t="str">
        <f>IFERROR(VLOOKUP(D:D,[1]Габариты!$A:$D,4,0),"")</f>
        <v>ШКАФЫ</v>
      </c>
      <c r="AC651" s="39" t="str">
        <f t="shared" si="132"/>
        <v>16601.17Ч/01И</v>
      </c>
      <c r="AD651" s="13" t="str">
        <f t="shared" ref="AD651:AD654" si="143">C651</f>
        <v>СКГТ (ОЗОН)</v>
      </c>
    </row>
    <row r="652" spans="1:30" s="6" customFormat="1" ht="20.100000000000001" customHeight="1" x14ac:dyDescent="0.25">
      <c r="A652" s="694" t="s">
        <v>8563</v>
      </c>
      <c r="B652" s="505"/>
      <c r="C652" s="13" t="s">
        <v>4050</v>
      </c>
      <c r="D652" s="506" t="s">
        <v>8559</v>
      </c>
      <c r="E652" s="345">
        <v>6</v>
      </c>
      <c r="F652" s="503"/>
      <c r="G652" s="504"/>
      <c r="H652" s="502" t="s">
        <v>8567</v>
      </c>
      <c r="I652" s="502"/>
      <c r="J652" s="502"/>
      <c r="K652" s="503"/>
      <c r="L652" s="504"/>
      <c r="M652" s="504"/>
      <c r="N652" s="502" t="s">
        <v>8596</v>
      </c>
      <c r="O652" s="502">
        <v>1952263407</v>
      </c>
      <c r="P652" s="502">
        <v>1952263407</v>
      </c>
      <c r="Q652" s="502"/>
      <c r="R652" s="502"/>
      <c r="S652" s="502"/>
      <c r="T652" s="502"/>
      <c r="U652" s="502"/>
      <c r="V652" s="502"/>
      <c r="W652" s="502"/>
      <c r="X652" s="502"/>
      <c r="Y652" s="502"/>
      <c r="AA652" s="1" t="str">
        <f>IFERROR(VLOOKUP(D:D,[1]Габариты!$A:$I,9,0),"")</f>
        <v>Основной ассортимент</v>
      </c>
      <c r="AB652" s="6" t="str">
        <f>IFERROR(VLOOKUP(D:D,[1]Габариты!$A:$D,4,0),"")</f>
        <v>ШКАФЫ</v>
      </c>
      <c r="AC652" s="39" t="str">
        <f t="shared" si="132"/>
        <v>5851.09/01М</v>
      </c>
      <c r="AD652" s="13" t="str">
        <f t="shared" si="143"/>
        <v>СКГТ (ОЗОН)</v>
      </c>
    </row>
    <row r="653" spans="1:30" s="6" customFormat="1" ht="20.100000000000001" customHeight="1" x14ac:dyDescent="0.25">
      <c r="A653" s="694" t="s">
        <v>8564</v>
      </c>
      <c r="B653" s="505"/>
      <c r="C653" s="13" t="s">
        <v>4050</v>
      </c>
      <c r="D653" s="506" t="s">
        <v>8560</v>
      </c>
      <c r="E653" s="345">
        <v>6</v>
      </c>
      <c r="F653" s="503"/>
      <c r="G653" s="504"/>
      <c r="H653" s="502" t="s">
        <v>8568</v>
      </c>
      <c r="I653" s="502"/>
      <c r="J653" s="502"/>
      <c r="K653" s="503"/>
      <c r="L653" s="504"/>
      <c r="M653" s="504"/>
      <c r="N653" s="502" t="s">
        <v>8597</v>
      </c>
      <c r="O653" s="502">
        <v>1952572164</v>
      </c>
      <c r="P653" s="502">
        <v>1952572164</v>
      </c>
      <c r="Q653" s="502"/>
      <c r="R653" s="502"/>
      <c r="S653" s="502"/>
      <c r="T653" s="502"/>
      <c r="U653" s="502"/>
      <c r="V653" s="502"/>
      <c r="W653" s="502"/>
      <c r="X653" s="502"/>
      <c r="Y653" s="502"/>
      <c r="AA653" s="1" t="str">
        <f>IFERROR(VLOOKUP(D:D,[1]Габариты!$A:$I,9,0),"")</f>
        <v>Основной ассортимент</v>
      </c>
      <c r="AB653" s="6" t="str">
        <f>IFERROR(VLOOKUP(D:D,[1]Габариты!$A:$D,4,0),"")</f>
        <v>ШКАФЫ</v>
      </c>
      <c r="AC653" s="39" t="str">
        <f t="shared" si="132"/>
        <v>5853.09/01М</v>
      </c>
      <c r="AD653" s="13" t="str">
        <f t="shared" si="143"/>
        <v>СКГТ (ОЗОН)</v>
      </c>
    </row>
    <row r="654" spans="1:30" s="6" customFormat="1" ht="20.100000000000001" customHeight="1" x14ac:dyDescent="0.25">
      <c r="A654" s="694" t="s">
        <v>8565</v>
      </c>
      <c r="B654" s="505"/>
      <c r="C654" s="13" t="s">
        <v>4050</v>
      </c>
      <c r="D654" s="506" t="s">
        <v>8561</v>
      </c>
      <c r="E654" s="345">
        <v>6</v>
      </c>
      <c r="F654" s="503"/>
      <c r="G654" s="504"/>
      <c r="H654" s="502" t="s">
        <v>8569</v>
      </c>
      <c r="I654" s="502"/>
      <c r="J654" s="502"/>
      <c r="K654" s="503"/>
      <c r="L654" s="504"/>
      <c r="M654" s="504"/>
      <c r="N654" s="502" t="s">
        <v>8598</v>
      </c>
      <c r="O654" s="502">
        <v>1952533567</v>
      </c>
      <c r="P654" s="502">
        <v>1952533567</v>
      </c>
      <c r="Q654" s="502"/>
      <c r="R654" s="502"/>
      <c r="S654" s="502"/>
      <c r="T654" s="502"/>
      <c r="U654" s="502"/>
      <c r="V654" s="502"/>
      <c r="W654" s="502"/>
      <c r="X654" s="502"/>
      <c r="Y654" s="502"/>
      <c r="AA654" s="1" t="str">
        <f>IFERROR(VLOOKUP(D:D,[1]Габариты!$A:$I,9,0),"")</f>
        <v>Основной ассортимент</v>
      </c>
      <c r="AB654" s="6" t="str">
        <f>IFERROR(VLOOKUP(D:D,[1]Габариты!$A:$D,4,0),"")</f>
        <v>ШКАФЫ</v>
      </c>
      <c r="AC654" s="39" t="str">
        <f t="shared" si="132"/>
        <v>5852.09/01М</v>
      </c>
      <c r="AD654" s="13" t="str">
        <f t="shared" si="143"/>
        <v>СКГТ (ОЗОН)</v>
      </c>
    </row>
    <row r="655" spans="1:30" s="6" customFormat="1" ht="20.100000000000001" customHeight="1" x14ac:dyDescent="0.25">
      <c r="A655" s="714" t="s">
        <v>8578</v>
      </c>
      <c r="B655" s="507"/>
      <c r="C655" s="13" t="s">
        <v>4050</v>
      </c>
      <c r="D655" s="508" t="s">
        <v>8574</v>
      </c>
      <c r="E655" s="502">
        <v>6</v>
      </c>
      <c r="F655" s="510"/>
      <c r="G655" s="511"/>
      <c r="H655" s="509" t="s">
        <v>8570</v>
      </c>
      <c r="I655" s="509"/>
      <c r="J655" s="509"/>
      <c r="K655" s="510"/>
      <c r="L655" s="511"/>
      <c r="M655" s="511"/>
      <c r="N655" s="509" t="s">
        <v>8592</v>
      </c>
      <c r="O655" s="509">
        <v>1955641256</v>
      </c>
      <c r="P655" s="509">
        <v>1955641256</v>
      </c>
      <c r="Q655" s="509"/>
      <c r="R655" s="509"/>
      <c r="S655" s="509"/>
      <c r="T655" s="509"/>
      <c r="U655" s="509"/>
      <c r="V655" s="509"/>
      <c r="W655" s="509"/>
      <c r="X655" s="509"/>
      <c r="Y655" s="509"/>
      <c r="AA655" s="1" t="str">
        <f>IFERROR(VLOOKUP(D:D,[1]Габариты!$A:$I,9,0),"")</f>
        <v>Основной ассортимент</v>
      </c>
      <c r="AB655" s="6" t="str">
        <f>IFERROR(VLOOKUP(D:D,[1]Габариты!$A:$D,4,0),"")</f>
        <v>ШКАФЫ</v>
      </c>
      <c r="AC655" s="39" t="str">
        <f t="shared" si="132"/>
        <v>16604.17Ч/01И</v>
      </c>
      <c r="AD655" s="13" t="str">
        <f t="shared" ref="AD655:AD658" si="144">C655</f>
        <v>СКГТ (ОЗОН)</v>
      </c>
    </row>
    <row r="656" spans="1:30" s="6" customFormat="1" ht="20.100000000000001" customHeight="1" x14ac:dyDescent="0.25">
      <c r="A656" s="714" t="s">
        <v>8579</v>
      </c>
      <c r="B656" s="507"/>
      <c r="C656" s="13" t="s">
        <v>4050</v>
      </c>
      <c r="D656" s="508" t="s">
        <v>8575</v>
      </c>
      <c r="E656" s="502">
        <v>6</v>
      </c>
      <c r="F656" s="510"/>
      <c r="G656" s="511"/>
      <c r="H656" s="509" t="s">
        <v>8571</v>
      </c>
      <c r="I656" s="509"/>
      <c r="J656" s="509"/>
      <c r="K656" s="510"/>
      <c r="L656" s="511"/>
      <c r="M656" s="511"/>
      <c r="N656" s="509" t="s">
        <v>8593</v>
      </c>
      <c r="O656" s="509">
        <v>1955748206</v>
      </c>
      <c r="P656" s="509">
        <v>1955748206</v>
      </c>
      <c r="Q656" s="509"/>
      <c r="R656" s="509"/>
      <c r="S656" s="509"/>
      <c r="T656" s="509"/>
      <c r="U656" s="509"/>
      <c r="V656" s="509"/>
      <c r="W656" s="509"/>
      <c r="X656" s="509"/>
      <c r="Y656" s="509"/>
      <c r="AA656" s="1" t="str">
        <f>IFERROR(VLOOKUP(D:D,[1]Габариты!$A:$I,9,0),"")</f>
        <v>Основной ассортимент</v>
      </c>
      <c r="AB656" s="6" t="str">
        <f>IFERROR(VLOOKUP(D:D,[1]Габариты!$A:$D,4,0),"")</f>
        <v>ШКАФЫ</v>
      </c>
      <c r="AC656" s="39" t="str">
        <f t="shared" si="132"/>
        <v>16605.17Ч/01И</v>
      </c>
      <c r="AD656" s="13" t="str">
        <f t="shared" si="144"/>
        <v>СКГТ (ОЗОН)</v>
      </c>
    </row>
    <row r="657" spans="1:30" s="6" customFormat="1" ht="20.100000000000001" customHeight="1" x14ac:dyDescent="0.25">
      <c r="A657" s="714" t="s">
        <v>8580</v>
      </c>
      <c r="B657" s="507"/>
      <c r="C657" s="13" t="s">
        <v>4050</v>
      </c>
      <c r="D657" s="508" t="s">
        <v>8576</v>
      </c>
      <c r="E657" s="502">
        <v>6</v>
      </c>
      <c r="F657" s="510"/>
      <c r="G657" s="511"/>
      <c r="H657" s="509" t="s">
        <v>8572</v>
      </c>
      <c r="I657" s="509"/>
      <c r="J657" s="509"/>
      <c r="K657" s="510"/>
      <c r="L657" s="511"/>
      <c r="M657" s="511"/>
      <c r="N657" s="509" t="s">
        <v>8594</v>
      </c>
      <c r="O657" s="509">
        <v>1955358086</v>
      </c>
      <c r="P657" s="509">
        <v>1955358086</v>
      </c>
      <c r="Q657" s="509"/>
      <c r="R657" s="509"/>
      <c r="S657" s="509"/>
      <c r="T657" s="509"/>
      <c r="U657" s="509"/>
      <c r="V657" s="509"/>
      <c r="W657" s="509"/>
      <c r="X657" s="509"/>
      <c r="Y657" s="509"/>
      <c r="AA657" s="1" t="str">
        <f>IFERROR(VLOOKUP(D:D,[1]Габариты!$A:$I,9,0),"")</f>
        <v>Основной ассортимент</v>
      </c>
      <c r="AB657" s="6" t="str">
        <f>IFERROR(VLOOKUP(D:D,[1]Габариты!$A:$D,4,0),"")</f>
        <v>ШКАФЫ</v>
      </c>
      <c r="AC657" s="39" t="str">
        <f t="shared" si="132"/>
        <v>16602.17Ч/01И</v>
      </c>
      <c r="AD657" s="13" t="str">
        <f t="shared" si="144"/>
        <v>СКГТ (ОЗОН)</v>
      </c>
    </row>
    <row r="658" spans="1:30" s="6" customFormat="1" ht="20.100000000000001" customHeight="1" x14ac:dyDescent="0.25">
      <c r="A658" s="714" t="s">
        <v>8581</v>
      </c>
      <c r="B658" s="507"/>
      <c r="C658" s="13" t="s">
        <v>4050</v>
      </c>
      <c r="D658" s="508" t="s">
        <v>8577</v>
      </c>
      <c r="E658" s="502">
        <v>6</v>
      </c>
      <c r="F658" s="510"/>
      <c r="G658" s="511"/>
      <c r="H658" s="509" t="s">
        <v>8573</v>
      </c>
      <c r="I658" s="509"/>
      <c r="J658" s="509"/>
      <c r="K658" s="510"/>
      <c r="L658" s="511"/>
      <c r="M658" s="511"/>
      <c r="N658" s="509" t="s">
        <v>8595</v>
      </c>
      <c r="O658" s="509">
        <v>1955541613</v>
      </c>
      <c r="P658" s="509">
        <v>1955541613</v>
      </c>
      <c r="Q658" s="509"/>
      <c r="R658" s="509"/>
      <c r="S658" s="509"/>
      <c r="T658" s="509"/>
      <c r="U658" s="509"/>
      <c r="V658" s="509"/>
      <c r="W658" s="509"/>
      <c r="X658" s="509"/>
      <c r="Y658" s="509"/>
      <c r="AA658" s="1" t="str">
        <f>IFERROR(VLOOKUP(D:D,[1]Габариты!$A:$I,9,0),"")</f>
        <v>Основной ассортимент</v>
      </c>
      <c r="AB658" s="6" t="str">
        <f>IFERROR(VLOOKUP(D:D,[1]Габариты!$A:$D,4,0),"")</f>
        <v>ШКАФЫ</v>
      </c>
      <c r="AC658" s="39" t="str">
        <f t="shared" si="132"/>
        <v>16603.17Ч/01И</v>
      </c>
      <c r="AD658" s="13" t="str">
        <f t="shared" si="144"/>
        <v>СКГТ (ОЗОН)</v>
      </c>
    </row>
    <row r="659" spans="1:30" s="6" customFormat="1" ht="20.100000000000001" customHeight="1" x14ac:dyDescent="0.2">
      <c r="A659" s="753" t="s">
        <v>439</v>
      </c>
      <c r="B659" s="753" t="s">
        <v>5530</v>
      </c>
      <c r="C659" s="114"/>
      <c r="D659" s="115"/>
      <c r="E659" s="116"/>
      <c r="F659" s="117"/>
      <c r="G659" s="118"/>
      <c r="H659" s="116"/>
      <c r="I659" s="116"/>
      <c r="J659" s="116"/>
      <c r="K659" s="117"/>
      <c r="L659" s="118"/>
      <c r="M659" s="118"/>
      <c r="N659" s="861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AA659" s="1" t="str">
        <f>IFERROR(VLOOKUP(D:D,[1]Габариты!$A:$I,9,0),"")</f>
        <v/>
      </c>
      <c r="AB659" s="6" t="str">
        <f>IFERROR(VLOOKUP(D:D,[1]Габариты!$A:$D,4,0),"")</f>
        <v/>
      </c>
      <c r="AC659" s="39"/>
      <c r="AD659" s="361"/>
    </row>
    <row r="660" spans="1:30" s="6" customFormat="1" ht="20.100000000000001" customHeight="1" x14ac:dyDescent="0.25">
      <c r="A660" s="695" t="s">
        <v>7480</v>
      </c>
      <c r="B660" s="129"/>
      <c r="C660" s="13" t="s">
        <v>4050</v>
      </c>
      <c r="D660" s="128" t="s">
        <v>7481</v>
      </c>
      <c r="E660" s="124">
        <v>12</v>
      </c>
      <c r="F660" s="125" t="s">
        <v>7485</v>
      </c>
      <c r="G660" s="126"/>
      <c r="H660" s="124" t="s">
        <v>7483</v>
      </c>
      <c r="I660" s="124"/>
      <c r="J660" s="124"/>
      <c r="K660" s="125"/>
      <c r="L660" s="126"/>
      <c r="M660" s="126"/>
      <c r="N660" s="864" t="s">
        <v>7495</v>
      </c>
      <c r="O660" s="124">
        <v>1712295054</v>
      </c>
      <c r="P660" s="124">
        <v>1712295054</v>
      </c>
      <c r="Q660" s="124"/>
      <c r="R660" s="124"/>
      <c r="S660" s="124"/>
      <c r="T660" s="124"/>
      <c r="U660" s="124"/>
      <c r="V660" s="124"/>
      <c r="W660" s="124"/>
      <c r="X660" s="124" t="s">
        <v>7495</v>
      </c>
      <c r="Y660" s="124"/>
      <c r="AA660" s="1" t="str">
        <f>IFERROR(VLOOKUP(D:D,[1]Габариты!$A:$I,9,0),"")</f>
        <v>Основной ассортимент</v>
      </c>
      <c r="AB660" s="6" t="str">
        <f>IFERROR(VLOOKUP(D:D,[1]Габариты!$A:$D,4,0),"")</f>
        <v>ШКАФЫ</v>
      </c>
      <c r="AC660" s="39" t="str">
        <f t="shared" si="132"/>
        <v>4158.17.05/01</v>
      </c>
      <c r="AD660" s="13" t="str">
        <f t="shared" si="139"/>
        <v>СКГТ (ОЗОН)</v>
      </c>
    </row>
    <row r="661" spans="1:30" s="6" customFormat="1" ht="20.100000000000001" customHeight="1" x14ac:dyDescent="0.25">
      <c r="A661" s="695" t="s">
        <v>7480</v>
      </c>
      <c r="B661" s="129"/>
      <c r="C661" s="13" t="s">
        <v>4050</v>
      </c>
      <c r="D661" s="128" t="s">
        <v>7482</v>
      </c>
      <c r="E661" s="124">
        <v>12</v>
      </c>
      <c r="F661" s="125" t="s">
        <v>7486</v>
      </c>
      <c r="G661" s="126"/>
      <c r="H661" s="124"/>
      <c r="I661" s="124"/>
      <c r="J661" s="124"/>
      <c r="K661" s="125"/>
      <c r="L661" s="126"/>
      <c r="M661" s="126"/>
      <c r="N661" s="811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AA661" s="1" t="str">
        <f>IFERROR(VLOOKUP(D:D,[1]Габариты!$A:$I,9,0),"")</f>
        <v>Основной ассортимент</v>
      </c>
      <c r="AB661" s="6" t="str">
        <f>IFERROR(VLOOKUP(D:D,[1]Габариты!$A:$D,4,0),"")</f>
        <v>ШКАФЫ</v>
      </c>
      <c r="AC661" s="39" t="str">
        <f t="shared" si="132"/>
        <v>4159.17.05/02</v>
      </c>
      <c r="AD661" s="13" t="str">
        <f t="shared" si="139"/>
        <v>СКГТ (ОЗОН)</v>
      </c>
    </row>
    <row r="662" spans="1:30" s="6" customFormat="1" ht="20.100000000000001" customHeight="1" x14ac:dyDescent="0.25">
      <c r="A662" s="707" t="s">
        <v>7638</v>
      </c>
      <c r="B662" s="181"/>
      <c r="C662" s="13" t="s">
        <v>4050</v>
      </c>
      <c r="D662" s="183" t="s">
        <v>7636</v>
      </c>
      <c r="E662" s="184">
        <v>46</v>
      </c>
      <c r="F662" s="185" t="s">
        <v>8275</v>
      </c>
      <c r="G662" s="186"/>
      <c r="H662" s="184"/>
      <c r="I662" s="184"/>
      <c r="J662" s="184"/>
      <c r="K662" s="185"/>
      <c r="L662" s="186"/>
      <c r="M662" s="186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AA662" s="1" t="str">
        <f>IFERROR(VLOOKUP(D:D,[1]Габариты!$A:$I,9,0),"")</f>
        <v>Основной ассортимент</v>
      </c>
      <c r="AB662" s="6" t="str">
        <f>IFERROR(VLOOKUP(D:D,[1]Габариты!$A:$D,4,0),"")</f>
        <v>ШКАФЫ</v>
      </c>
      <c r="AC662" s="39" t="str">
        <f t="shared" si="132"/>
        <v>6601.17/01</v>
      </c>
      <c r="AD662" s="13" t="str">
        <f>C662</f>
        <v>СКГТ (ОЗОН)</v>
      </c>
    </row>
    <row r="663" spans="1:30" s="6" customFormat="1" ht="20.100000000000001" customHeight="1" x14ac:dyDescent="0.25">
      <c r="A663" s="630" t="s">
        <v>7702</v>
      </c>
      <c r="B663" s="191"/>
      <c r="C663" s="13" t="s">
        <v>4050</v>
      </c>
      <c r="D663" s="192" t="s">
        <v>7701</v>
      </c>
      <c r="E663" s="193">
        <v>8</v>
      </c>
      <c r="F663" s="194"/>
      <c r="G663" s="195"/>
      <c r="H663" s="193" t="s">
        <v>7700</v>
      </c>
      <c r="I663" s="193"/>
      <c r="J663" s="193"/>
      <c r="K663" s="194"/>
      <c r="L663" s="195"/>
      <c r="M663" s="195"/>
      <c r="N663" s="193" t="s">
        <v>8089</v>
      </c>
      <c r="O663" s="193">
        <v>1783646803</v>
      </c>
      <c r="P663" s="193">
        <v>1783646803</v>
      </c>
      <c r="Q663" s="193"/>
      <c r="R663" s="193"/>
      <c r="S663" s="193"/>
      <c r="T663" s="193"/>
      <c r="U663" s="193"/>
      <c r="V663" s="193"/>
      <c r="W663" s="193"/>
      <c r="X663" s="193" t="s">
        <v>8089</v>
      </c>
      <c r="Y663" s="193"/>
      <c r="AA663" s="1" t="str">
        <f>IFERROR(VLOOKUP(D:D,[1]Габариты!$A:$I,9,0),"")</f>
        <v>Основной ассортимент</v>
      </c>
      <c r="AB663" s="6" t="str">
        <f>IFERROR(VLOOKUP(D:D,[1]Габариты!$A:$D,4,0),"")</f>
        <v>ШКАФЫ</v>
      </c>
      <c r="AC663" s="39" t="str">
        <f t="shared" si="132"/>
        <v>5551.17/01С</v>
      </c>
      <c r="AD663" s="13" t="str">
        <f>C663</f>
        <v>СКГТ (ОЗОН)</v>
      </c>
    </row>
    <row r="664" spans="1:30" s="6" customFormat="1" ht="20.100000000000001" customHeight="1" x14ac:dyDescent="0.25">
      <c r="A664" s="715" t="s">
        <v>8237</v>
      </c>
      <c r="B664" s="376"/>
      <c r="C664" s="13" t="s">
        <v>4050</v>
      </c>
      <c r="D664" s="372" t="s">
        <v>8236</v>
      </c>
      <c r="E664" s="373">
        <v>6</v>
      </c>
      <c r="F664" s="374"/>
      <c r="G664" s="375"/>
      <c r="H664" s="373" t="s">
        <v>8240</v>
      </c>
      <c r="I664" s="373"/>
      <c r="J664" s="373"/>
      <c r="K664" s="374"/>
      <c r="L664" s="375"/>
      <c r="M664" s="375"/>
      <c r="N664" s="373" t="s">
        <v>8295</v>
      </c>
      <c r="O664" s="373">
        <v>1851020222</v>
      </c>
      <c r="P664" s="373">
        <v>1851020222</v>
      </c>
      <c r="Q664" s="373"/>
      <c r="R664" s="373"/>
      <c r="S664" s="373"/>
      <c r="T664" s="373"/>
      <c r="U664" s="373"/>
      <c r="V664" s="373"/>
      <c r="W664" s="373"/>
      <c r="X664" s="373" t="s">
        <v>8295</v>
      </c>
      <c r="Y664" s="373"/>
      <c r="AA664" s="1" t="str">
        <f>IFERROR(VLOOKUP(D:D,[1]Габариты!$A:$I,9,0),"")</f>
        <v>Основной ассортимент</v>
      </c>
      <c r="AB664" s="6" t="str">
        <f>IFERROR(VLOOKUP(D:D,[1]Габариты!$A:$D,4,0),"")</f>
        <v>ШКАФЫ</v>
      </c>
      <c r="AC664" s="39" t="str">
        <f t="shared" si="132"/>
        <v>5952.09.05Ф/01</v>
      </c>
      <c r="AD664" s="13" t="str">
        <f t="shared" ref="AD664:AD665" si="145">C664</f>
        <v>СКГТ (ОЗОН)</v>
      </c>
    </row>
    <row r="665" spans="1:30" s="6" customFormat="1" ht="20.100000000000001" customHeight="1" x14ac:dyDescent="0.25">
      <c r="A665" s="715" t="s">
        <v>8239</v>
      </c>
      <c r="B665" s="376"/>
      <c r="C665" s="13" t="s">
        <v>4050</v>
      </c>
      <c r="D665" s="372" t="s">
        <v>8238</v>
      </c>
      <c r="E665" s="373">
        <v>8</v>
      </c>
      <c r="F665" s="374"/>
      <c r="G665" s="375"/>
      <c r="H665" s="373" t="s">
        <v>8241</v>
      </c>
      <c r="I665" s="373"/>
      <c r="J665" s="373"/>
      <c r="K665" s="374"/>
      <c r="L665" s="375"/>
      <c r="M665" s="375"/>
      <c r="N665" s="373" t="s">
        <v>8296</v>
      </c>
      <c r="O665" s="373">
        <v>1851553836</v>
      </c>
      <c r="P665" s="373">
        <v>1851553836</v>
      </c>
      <c r="Q665" s="373"/>
      <c r="R665" s="373"/>
      <c r="S665" s="373"/>
      <c r="T665" s="373"/>
      <c r="U665" s="373"/>
      <c r="V665" s="373"/>
      <c r="W665" s="373"/>
      <c r="X665" s="373"/>
      <c r="Y665" s="373"/>
      <c r="AA665" s="1" t="str">
        <f>IFERROR(VLOOKUP(D:D,[1]Габариты!$A:$I,9,0),"")</f>
        <v>Основной ассортимент</v>
      </c>
      <c r="AB665" s="6" t="str">
        <f>IFERROR(VLOOKUP(D:D,[1]Габариты!$A:$D,4,0),"")</f>
        <v>ШКАФЫ</v>
      </c>
      <c r="AC665" s="39" t="str">
        <f t="shared" si="132"/>
        <v>5552.17/01С</v>
      </c>
      <c r="AD665" s="13" t="str">
        <f t="shared" si="145"/>
        <v>СКГТ (ОЗОН)</v>
      </c>
    </row>
    <row r="666" spans="1:30" s="6" customFormat="1" ht="20.100000000000001" customHeight="1" x14ac:dyDescent="0.25">
      <c r="A666" s="716" t="s">
        <v>7952</v>
      </c>
      <c r="B666" s="232"/>
      <c r="C666" s="13" t="s">
        <v>4050</v>
      </c>
      <c r="D666" s="233" t="s">
        <v>7953</v>
      </c>
      <c r="E666" s="234">
        <v>8</v>
      </c>
      <c r="F666" s="235" t="s">
        <v>8190</v>
      </c>
      <c r="G666" s="236"/>
      <c r="H666" s="234"/>
      <c r="I666" s="234"/>
      <c r="J666" s="234"/>
      <c r="K666" s="235"/>
      <c r="L666" s="236"/>
      <c r="M666" s="236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AA666" s="1" t="str">
        <f>IFERROR(VLOOKUP(D:D,[1]Габариты!$A:$I,9,0),"")</f>
        <v>Основной ассортимент</v>
      </c>
      <c r="AB666" s="6" t="str">
        <f>IFERROR(VLOOKUP(D:D,[1]Габариты!$A:$D,4,0),"")</f>
        <v>ШКАФЫ</v>
      </c>
      <c r="AC666" s="39" t="str">
        <f t="shared" si="132"/>
        <v>5502.09/01К1</v>
      </c>
      <c r="AD666" s="13" t="str">
        <f>C666</f>
        <v>СКГТ (ОЗОН)</v>
      </c>
    </row>
    <row r="667" spans="1:30" s="6" customFormat="1" ht="20.100000000000001" customHeight="1" x14ac:dyDescent="0.25">
      <c r="A667" s="717" t="s">
        <v>7510</v>
      </c>
      <c r="B667" s="133"/>
      <c r="C667" s="13" t="s">
        <v>4050</v>
      </c>
      <c r="D667" s="134" t="s">
        <v>7509</v>
      </c>
      <c r="E667" s="135">
        <v>8</v>
      </c>
      <c r="F667" s="136" t="s">
        <v>8271</v>
      </c>
      <c r="G667" s="137"/>
      <c r="H667" s="135"/>
      <c r="I667" s="135"/>
      <c r="J667" s="135"/>
      <c r="K667" s="136"/>
      <c r="L667" s="137"/>
      <c r="M667" s="137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AA667" s="1" t="str">
        <f>IFERROR(VLOOKUP(D:D,[1]Габариты!$A:$I,9,0),"")</f>
        <v>Основной ассортимент</v>
      </c>
      <c r="AB667" s="6" t="str">
        <f>IFERROR(VLOOKUP(D:D,[1]Габариты!$A:$D,4,0),"")</f>
        <v>ШКАФЫ</v>
      </c>
      <c r="AC667" s="39" t="str">
        <f t="shared" si="132"/>
        <v>5502.17/01К1</v>
      </c>
      <c r="AD667" s="13" t="str">
        <f>C667</f>
        <v>СКГТ (ОЗОН)</v>
      </c>
    </row>
    <row r="668" spans="1:30" s="6" customFormat="1" ht="20.100000000000001" customHeight="1" x14ac:dyDescent="0.25">
      <c r="A668" s="707" t="s">
        <v>7639</v>
      </c>
      <c r="B668" s="181"/>
      <c r="C668" s="13" t="s">
        <v>4050</v>
      </c>
      <c r="D668" s="183" t="s">
        <v>7637</v>
      </c>
      <c r="E668" s="135">
        <v>8</v>
      </c>
      <c r="F668" s="185" t="s">
        <v>8272</v>
      </c>
      <c r="G668" s="186"/>
      <c r="H668" s="184"/>
      <c r="I668" s="184"/>
      <c r="J668" s="184"/>
      <c r="K668" s="185"/>
      <c r="L668" s="186"/>
      <c r="M668" s="186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AA668" s="1" t="str">
        <f>IFERROR(VLOOKUP(D:D,[1]Габариты!$A:$I,9,0),"")</f>
        <v>Основной ассортимент</v>
      </c>
      <c r="AB668" s="6" t="str">
        <f>IFERROR(VLOOKUP(D:D,[1]Габариты!$A:$D,4,0),"")</f>
        <v>ШКАФЫ</v>
      </c>
      <c r="AC668" s="39" t="str">
        <f t="shared" si="132"/>
        <v>5501.17/01К1</v>
      </c>
      <c r="AD668" s="13" t="str">
        <f>C668</f>
        <v>СКГТ (ОЗОН)</v>
      </c>
    </row>
    <row r="669" spans="1:30" s="6" customFormat="1" ht="20.100000000000001" customHeight="1" x14ac:dyDescent="0.25">
      <c r="A669" s="696" t="s">
        <v>8493</v>
      </c>
      <c r="B669" s="475"/>
      <c r="C669" s="13" t="s">
        <v>4050</v>
      </c>
      <c r="D669" s="477" t="s">
        <v>8492</v>
      </c>
      <c r="E669" s="472">
        <v>6</v>
      </c>
      <c r="F669" s="473"/>
      <c r="G669" s="474"/>
      <c r="H669" s="472" t="s">
        <v>8491</v>
      </c>
      <c r="I669" s="472"/>
      <c r="J669" s="472"/>
      <c r="K669" s="473"/>
      <c r="L669" s="474"/>
      <c r="M669" s="474"/>
      <c r="N669" s="472" t="s">
        <v>8531</v>
      </c>
      <c r="O669" s="472">
        <v>1937742595</v>
      </c>
      <c r="P669" s="472">
        <v>1937742595</v>
      </c>
      <c r="Q669" s="472"/>
      <c r="R669" s="472"/>
      <c r="S669" s="472"/>
      <c r="T669" s="472"/>
      <c r="U669" s="472"/>
      <c r="V669" s="472"/>
      <c r="W669" s="472"/>
      <c r="X669" s="472"/>
      <c r="Y669" s="472"/>
      <c r="AA669" s="1" t="str">
        <f>IFERROR(VLOOKUP(D:D,[1]Габариты!$A:$I,9,0),"")</f>
        <v>Основной ассортимент</v>
      </c>
      <c r="AB669" s="6" t="str">
        <f>IFERROR(VLOOKUP(D:D,[1]Габариты!$A:$D,4,0),"")</f>
        <v>ШКАФЫ</v>
      </c>
      <c r="AC669" s="39" t="str">
        <f t="shared" si="132"/>
        <v>5552.09.31/01</v>
      </c>
      <c r="AD669" s="13" t="str">
        <f t="shared" ref="AD669" si="146">C669</f>
        <v>СКГТ (ОЗОН)</v>
      </c>
    </row>
    <row r="670" spans="1:30" s="6" customFormat="1" ht="20.100000000000001" customHeight="1" outlineLevel="1" x14ac:dyDescent="0.25">
      <c r="A670" s="644" t="s">
        <v>8500</v>
      </c>
      <c r="B670" s="29"/>
      <c r="C670" s="13" t="s">
        <v>4050</v>
      </c>
      <c r="D670" s="480" t="s">
        <v>8501</v>
      </c>
      <c r="E670" s="481">
        <v>6</v>
      </c>
      <c r="F670" s="482"/>
      <c r="G670" s="483"/>
      <c r="H670" s="481" t="s">
        <v>8502</v>
      </c>
      <c r="I670" s="481"/>
      <c r="J670" s="481"/>
      <c r="K670" s="482"/>
      <c r="L670" s="483"/>
      <c r="M670" s="483"/>
      <c r="N670" s="481" t="s">
        <v>8532</v>
      </c>
      <c r="O670" s="481">
        <v>1940428001</v>
      </c>
      <c r="P670" s="481">
        <v>1940428001</v>
      </c>
      <c r="Q670" s="784"/>
      <c r="R670" s="784"/>
      <c r="S670" s="481"/>
      <c r="T670" s="481"/>
      <c r="U670" s="481"/>
      <c r="V670" s="481"/>
      <c r="W670" s="481"/>
      <c r="X670" s="481"/>
      <c r="Y670" s="481"/>
      <c r="Z670" s="35"/>
      <c r="AA670" s="1" t="str">
        <f>IFERROR(VLOOKUP(D:D,[1]Габариты!$A:$I,9,0),"")</f>
        <v>Основной ассортимент</v>
      </c>
      <c r="AB670" s="6" t="str">
        <f>IFERROR(VLOOKUP(D:D,[1]Габариты!$A:$D,4,0),"")</f>
        <v>ШКАФЫ</v>
      </c>
      <c r="AC670" s="39" t="str">
        <f t="shared" si="132"/>
        <v>5553.09.31/01</v>
      </c>
      <c r="AD670" s="352" t="str">
        <f t="shared" ref="AD670" si="147">C670</f>
        <v>СКГТ (ОЗОН)</v>
      </c>
    </row>
    <row r="671" spans="1:30" s="6" customFormat="1" ht="20.100000000000001" customHeight="1" outlineLevel="1" x14ac:dyDescent="0.25">
      <c r="A671" s="718" t="s">
        <v>8584</v>
      </c>
      <c r="B671" s="29"/>
      <c r="C671" s="13" t="s">
        <v>4050</v>
      </c>
      <c r="D671" s="512" t="s">
        <v>8583</v>
      </c>
      <c r="E671" s="513">
        <v>10</v>
      </c>
      <c r="F671" s="514"/>
      <c r="G671" s="515"/>
      <c r="H671" s="513" t="s">
        <v>8582</v>
      </c>
      <c r="I671" s="513"/>
      <c r="J671" s="513"/>
      <c r="K671" s="514"/>
      <c r="L671" s="515"/>
      <c r="M671" s="515"/>
      <c r="N671" s="513" t="s">
        <v>8601</v>
      </c>
      <c r="O671" s="513">
        <v>1959810298</v>
      </c>
      <c r="P671" s="513">
        <v>1959810298</v>
      </c>
      <c r="Q671" s="814"/>
      <c r="R671" s="814"/>
      <c r="S671" s="513"/>
      <c r="T671" s="513"/>
      <c r="U671" s="513"/>
      <c r="V671" s="513"/>
      <c r="W671" s="513"/>
      <c r="X671" s="513"/>
      <c r="Y671" s="513"/>
      <c r="Z671" s="35"/>
      <c r="AA671" s="1" t="str">
        <f>IFERROR(VLOOKUP(D:D,[1]Габариты!$A:$I,9,0),"")</f>
        <v>Основной ассортимент</v>
      </c>
      <c r="AB671" s="6" t="str">
        <f>IFERROR(VLOOKUP(D:D,[1]Габариты!$A:$D,4,0),"")</f>
        <v>ШКАФЫ</v>
      </c>
      <c r="AC671" s="39" t="str">
        <f t="shared" si="132"/>
        <v>5063.17Ч/01</v>
      </c>
      <c r="AD671" s="352" t="str">
        <f t="shared" ref="AD671" si="148">C671</f>
        <v>СКГТ (ОЗОН)</v>
      </c>
    </row>
    <row r="672" spans="1:30" s="6" customFormat="1" ht="20.100000000000001" customHeight="1" outlineLevel="1" x14ac:dyDescent="0.25">
      <c r="A672" s="645" t="s">
        <v>8650</v>
      </c>
      <c r="B672" s="29"/>
      <c r="C672" s="13" t="s">
        <v>4050</v>
      </c>
      <c r="D672" s="547" t="s">
        <v>8648</v>
      </c>
      <c r="E672" s="548"/>
      <c r="F672" s="549"/>
      <c r="G672" s="550"/>
      <c r="H672" s="548"/>
      <c r="I672" s="548"/>
      <c r="J672" s="548"/>
      <c r="K672" s="549"/>
      <c r="L672" s="550"/>
      <c r="M672" s="550"/>
      <c r="N672" s="548"/>
      <c r="O672" s="548"/>
      <c r="P672" s="548"/>
      <c r="Q672" s="785"/>
      <c r="R672" s="785"/>
      <c r="S672" s="548"/>
      <c r="T672" s="548"/>
      <c r="U672" s="548"/>
      <c r="V672" s="548"/>
      <c r="W672" s="548"/>
      <c r="X672" s="548"/>
      <c r="Y672" s="548"/>
      <c r="Z672" s="35"/>
      <c r="AA672" s="1" t="str">
        <f>IFERROR(VLOOKUP(D:D,[1]Габариты!$A:$I,9,0),"")</f>
        <v>Основной ассортимент</v>
      </c>
      <c r="AB672" s="6" t="str">
        <f>IFERROR(VLOOKUP(D:D,[1]Габариты!$A:$D,4,0),"")</f>
        <v>КОМОДЫ</v>
      </c>
      <c r="AC672" s="39" t="str">
        <f t="shared" ref="AC672:AC673" si="149">D672</f>
        <v>6617.09.31/01</v>
      </c>
      <c r="AD672" s="352" t="str">
        <f t="shared" ref="AD672:AD673" si="150">C672</f>
        <v>СКГТ (ОЗОН)</v>
      </c>
    </row>
    <row r="673" spans="1:30" s="6" customFormat="1" ht="20.100000000000001" customHeight="1" outlineLevel="1" x14ac:dyDescent="0.25">
      <c r="A673" s="645" t="s">
        <v>8651</v>
      </c>
      <c r="B673" s="29"/>
      <c r="C673" s="13" t="s">
        <v>4050</v>
      </c>
      <c r="D673" s="547" t="s">
        <v>8649</v>
      </c>
      <c r="E673" s="548"/>
      <c r="F673" s="549"/>
      <c r="G673" s="550"/>
      <c r="H673" s="548"/>
      <c r="I673" s="548"/>
      <c r="J673" s="548"/>
      <c r="K673" s="549"/>
      <c r="L673" s="550"/>
      <c r="M673" s="550"/>
      <c r="N673" s="548"/>
      <c r="O673" s="548"/>
      <c r="P673" s="548"/>
      <c r="Q673" s="785"/>
      <c r="R673" s="785"/>
      <c r="S673" s="548"/>
      <c r="T673" s="548"/>
      <c r="U673" s="548"/>
      <c r="V673" s="548"/>
      <c r="W673" s="548"/>
      <c r="X673" s="548"/>
      <c r="Y673" s="548"/>
      <c r="Z673" s="35"/>
      <c r="AA673" s="1" t="str">
        <f>IFERROR(VLOOKUP(D:D,[1]Габариты!$A:$I,9,0),"")</f>
        <v>Основной ассортимент</v>
      </c>
      <c r="AB673" s="6" t="str">
        <f>IFERROR(VLOOKUP(D:D,[1]Габариты!$A:$D,4,0),"")</f>
        <v>КОМОДЫ</v>
      </c>
      <c r="AC673" s="39" t="str">
        <f t="shared" si="149"/>
        <v>6618.09.31/01</v>
      </c>
      <c r="AD673" s="352" t="str">
        <f t="shared" si="150"/>
        <v>СКГТ (ОЗОН)</v>
      </c>
    </row>
    <row r="674" spans="1:30" s="6" customFormat="1" ht="20.100000000000001" customHeight="1" x14ac:dyDescent="0.25">
      <c r="A674" s="703" t="s">
        <v>7965</v>
      </c>
      <c r="B674" s="240"/>
      <c r="C674" s="13" t="s">
        <v>4050</v>
      </c>
      <c r="D674" s="241" t="s">
        <v>7966</v>
      </c>
      <c r="E674" s="242">
        <v>26</v>
      </c>
      <c r="F674" s="243"/>
      <c r="G674" s="244"/>
      <c r="H674" s="242"/>
      <c r="I674" s="242"/>
      <c r="J674" s="242"/>
      <c r="K674" s="243"/>
      <c r="L674" s="244"/>
      <c r="M674" s="244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AA674" s="1" t="str">
        <f>IFERROR(VLOOKUP(D:D,[1]Габариты!$A:$I,9,0),"")</f>
        <v>Основной ассортимент</v>
      </c>
      <c r="AB674" s="6" t="str">
        <f>IFERROR(VLOOKUP(D:D,[1]Габариты!$A:$D,4,0),"")</f>
        <v>ШКАФЫ</v>
      </c>
      <c r="AC674" s="39" t="str">
        <f>D674</f>
        <v>6611.05Ф/01</v>
      </c>
      <c r="AD674" s="13" t="str">
        <f>C674</f>
        <v>СКГТ (ОЗОН)</v>
      </c>
    </row>
    <row r="675" spans="1:30" s="6" customFormat="1" ht="20.100000000000001" customHeight="1" x14ac:dyDescent="0.25">
      <c r="A675" s="642" t="s">
        <v>7992</v>
      </c>
      <c r="B675" s="250"/>
      <c r="C675" s="13" t="s">
        <v>4050</v>
      </c>
      <c r="D675" s="251" t="s">
        <v>7991</v>
      </c>
      <c r="E675" s="252">
        <v>22</v>
      </c>
      <c r="F675" s="253" t="s">
        <v>8270</v>
      </c>
      <c r="G675" s="254"/>
      <c r="H675" s="252"/>
      <c r="I675" s="252"/>
      <c r="J675" s="252"/>
      <c r="K675" s="253"/>
      <c r="L675" s="254"/>
      <c r="M675" s="254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AA675" s="1" t="str">
        <f>IFERROR(VLOOKUP(D:D,[1]Габариты!$A:$I,9,0),"")</f>
        <v>Основной ассортимент</v>
      </c>
      <c r="AB675" s="6" t="str">
        <f>IFERROR(VLOOKUP(D:D,[1]Габариты!$A:$D,4,0),"")</f>
        <v>ШКАФЫ</v>
      </c>
      <c r="AC675" s="39" t="str">
        <f>D675</f>
        <v>6604.17/01</v>
      </c>
      <c r="AD675" s="13" t="str">
        <f>C675</f>
        <v>СКГТ (ОЗОН)</v>
      </c>
    </row>
    <row r="676" spans="1:30" s="6" customFormat="1" ht="20.100000000000001" customHeight="1" x14ac:dyDescent="0.25">
      <c r="A676" s="693" t="s">
        <v>8732</v>
      </c>
      <c r="B676" s="595"/>
      <c r="C676" s="590" t="s">
        <v>3172</v>
      </c>
      <c r="D676" s="596" t="s">
        <v>8724</v>
      </c>
      <c r="E676" s="592">
        <v>16</v>
      </c>
      <c r="F676" s="593"/>
      <c r="G676" s="594"/>
      <c r="H676" s="592" t="s">
        <v>8728</v>
      </c>
      <c r="I676" s="592"/>
      <c r="J676" s="592"/>
      <c r="K676" s="593"/>
      <c r="L676" s="594"/>
      <c r="M676" s="594"/>
      <c r="N676" s="592" t="s">
        <v>8752</v>
      </c>
      <c r="O676" s="592">
        <v>2314544150</v>
      </c>
      <c r="P676" s="592">
        <v>2314544150</v>
      </c>
      <c r="Q676" s="592"/>
      <c r="R676" s="592"/>
      <c r="S676" s="592"/>
      <c r="T676" s="592"/>
      <c r="U676" s="592"/>
      <c r="V676" s="592"/>
      <c r="W676" s="592"/>
      <c r="X676" s="592"/>
      <c r="Y676" s="592"/>
      <c r="AA676" s="1" t="str">
        <f>IFERROR(VLOOKUP(D:D,[1]Габариты!$A:$I,9,0),"")</f>
        <v>Основной ассортимент</v>
      </c>
      <c r="AB676" s="6" t="str">
        <f>IFERROR(VLOOKUP(D:D,[1]Габариты!$A:$D,4,0),"")</f>
        <v>ШКАФЫ</v>
      </c>
      <c r="AC676" s="39" t="str">
        <f t="shared" ref="AC676:AC679" si="151">D676</f>
        <v>20054.17/01</v>
      </c>
      <c r="AD676" s="13" t="str">
        <f t="shared" ref="AD676:AD679" si="152">C676</f>
        <v xml:space="preserve">СКГТ </v>
      </c>
    </row>
    <row r="677" spans="1:30" s="6" customFormat="1" ht="20.100000000000001" customHeight="1" x14ac:dyDescent="0.25">
      <c r="A677" s="693" t="s">
        <v>8734</v>
      </c>
      <c r="B677" s="595"/>
      <c r="C677" s="590" t="s">
        <v>2582</v>
      </c>
      <c r="D677" s="596" t="s">
        <v>8725</v>
      </c>
      <c r="E677" s="592">
        <v>24</v>
      </c>
      <c r="F677" s="593"/>
      <c r="G677" s="594"/>
      <c r="H677" s="592" t="s">
        <v>8729</v>
      </c>
      <c r="I677" s="592"/>
      <c r="J677" s="592"/>
      <c r="K677" s="593"/>
      <c r="L677" s="594"/>
      <c r="M677" s="594"/>
      <c r="N677" s="592" t="s">
        <v>8753</v>
      </c>
      <c r="O677" s="592">
        <v>2345552898</v>
      </c>
      <c r="P677" s="592">
        <v>2345552898</v>
      </c>
      <c r="Q677" s="592"/>
      <c r="R677" s="592"/>
      <c r="S677" s="592"/>
      <c r="T677" s="592"/>
      <c r="U677" s="592"/>
      <c r="V677" s="592"/>
      <c r="W677" s="592"/>
      <c r="X677" s="592"/>
      <c r="Y677" s="592"/>
      <c r="AA677" s="1" t="str">
        <f>IFERROR(VLOOKUP(D:D,[1]Габариты!$A:$I,9,0),"")</f>
        <v>Основной ассортимент</v>
      </c>
      <c r="AB677" s="6" t="str">
        <f>IFERROR(VLOOKUP(D:D,[1]Габариты!$A:$D,4,0),"")</f>
        <v>ШКАФЫ</v>
      </c>
      <c r="AC677" s="39" t="str">
        <f t="shared" si="151"/>
        <v>20055.17/01</v>
      </c>
      <c r="AD677" s="13" t="str">
        <f t="shared" si="152"/>
        <v>FBO</v>
      </c>
    </row>
    <row r="678" spans="1:30" s="6" customFormat="1" ht="20.100000000000001" customHeight="1" x14ac:dyDescent="0.25">
      <c r="A678" s="693" t="s">
        <v>8732</v>
      </c>
      <c r="B678" s="595"/>
      <c r="C678" s="590" t="s">
        <v>2582</v>
      </c>
      <c r="D678" s="596" t="s">
        <v>8726</v>
      </c>
      <c r="E678" s="592">
        <v>18</v>
      </c>
      <c r="F678" s="593"/>
      <c r="G678" s="594"/>
      <c r="H678" s="592" t="s">
        <v>8730</v>
      </c>
      <c r="I678" s="592"/>
      <c r="J678" s="592"/>
      <c r="K678" s="593"/>
      <c r="L678" s="594"/>
      <c r="M678" s="594"/>
      <c r="N678" s="592" t="s">
        <v>8754</v>
      </c>
      <c r="O678" s="592">
        <v>2314462186</v>
      </c>
      <c r="P678" s="592">
        <v>2314462186</v>
      </c>
      <c r="Q678" s="592"/>
      <c r="R678" s="592"/>
      <c r="S678" s="592"/>
      <c r="T678" s="592"/>
      <c r="U678" s="592"/>
      <c r="V678" s="592"/>
      <c r="W678" s="592"/>
      <c r="X678" s="592"/>
      <c r="Y678" s="592"/>
      <c r="AA678" s="1" t="str">
        <f>IFERROR(VLOOKUP(D:D,[1]Габариты!$A:$I,9,0),"")</f>
        <v>Основной ассортимент</v>
      </c>
      <c r="AB678" s="6" t="str">
        <f>IFERROR(VLOOKUP(D:D,[1]Габариты!$A:$D,4,0),"")</f>
        <v>ШКАФЫ</v>
      </c>
      <c r="AC678" s="39" t="str">
        <f t="shared" si="151"/>
        <v>20052.17/01</v>
      </c>
      <c r="AD678" s="13" t="str">
        <f t="shared" si="152"/>
        <v>FBO</v>
      </c>
    </row>
    <row r="679" spans="1:30" s="6" customFormat="1" ht="20.100000000000001" customHeight="1" x14ac:dyDescent="0.25">
      <c r="A679" s="693" t="s">
        <v>8733</v>
      </c>
      <c r="B679" s="595"/>
      <c r="C679" s="590" t="s">
        <v>3172</v>
      </c>
      <c r="D679" s="596" t="s">
        <v>8727</v>
      </c>
      <c r="E679" s="592">
        <v>16</v>
      </c>
      <c r="F679" s="593"/>
      <c r="G679" s="594"/>
      <c r="H679" s="592" t="s">
        <v>8731</v>
      </c>
      <c r="I679" s="592"/>
      <c r="J679" s="592"/>
      <c r="K679" s="593"/>
      <c r="L679" s="594"/>
      <c r="M679" s="594"/>
      <c r="N679" s="592" t="s">
        <v>8755</v>
      </c>
      <c r="O679" s="592">
        <v>2321930359</v>
      </c>
      <c r="P679" s="592">
        <v>2321930359</v>
      </c>
      <c r="Q679" s="592"/>
      <c r="R679" s="592"/>
      <c r="S679" s="592"/>
      <c r="T679" s="592"/>
      <c r="U679" s="592"/>
      <c r="V679" s="592"/>
      <c r="W679" s="592"/>
      <c r="X679" s="592"/>
      <c r="Y679" s="592"/>
      <c r="AA679" s="1" t="str">
        <f>IFERROR(VLOOKUP(D:D,[1]Габариты!$A:$I,9,0),"")</f>
        <v>Основной ассортимент</v>
      </c>
      <c r="AB679" s="6" t="str">
        <f>IFERROR(VLOOKUP(D:D,[1]Габариты!$A:$D,4,0),"")</f>
        <v>ШКАФЫ</v>
      </c>
      <c r="AC679" s="39" t="str">
        <f t="shared" si="151"/>
        <v>20053.17/01</v>
      </c>
      <c r="AD679" s="13" t="str">
        <f t="shared" si="152"/>
        <v xml:space="preserve">СКГТ </v>
      </c>
    </row>
    <row r="680" spans="1:30" s="6" customFormat="1" ht="20.100000000000001" customHeight="1" x14ac:dyDescent="0.25">
      <c r="A680" s="677" t="s">
        <v>8737</v>
      </c>
      <c r="B680" s="598"/>
      <c r="C680" s="599" t="s">
        <v>2582</v>
      </c>
      <c r="D680" s="600" t="s">
        <v>8736</v>
      </c>
      <c r="E680" s="601">
        <v>24</v>
      </c>
      <c r="F680" s="602"/>
      <c r="G680" s="603"/>
      <c r="H680" s="601" t="s">
        <v>8735</v>
      </c>
      <c r="I680" s="601"/>
      <c r="J680" s="601"/>
      <c r="K680" s="602"/>
      <c r="L680" s="603"/>
      <c r="M680" s="603"/>
      <c r="N680" s="601" t="s">
        <v>8756</v>
      </c>
      <c r="O680" s="601">
        <v>2314662264</v>
      </c>
      <c r="P680" s="601">
        <v>2314662264</v>
      </c>
      <c r="Q680" s="601"/>
      <c r="R680" s="601"/>
      <c r="S680" s="601"/>
      <c r="T680" s="601"/>
      <c r="U680" s="601"/>
      <c r="V680" s="601"/>
      <c r="W680" s="601"/>
      <c r="X680" s="601"/>
      <c r="Y680" s="601"/>
      <c r="AA680" s="1" t="str">
        <f>IFERROR(VLOOKUP(D:D,[1]Габариты!$A:$I,9,0),"")</f>
        <v>Основной ассортимент</v>
      </c>
      <c r="AB680" s="6" t="str">
        <f>IFERROR(VLOOKUP(D:D,[1]Габариты!$A:$D,4,0),"")</f>
        <v>ШКАФЫ</v>
      </c>
      <c r="AC680" s="39" t="str">
        <f t="shared" ref="AC680" si="153">D680</f>
        <v>20058.17/01</v>
      </c>
      <c r="AD680" s="13" t="str">
        <f t="shared" ref="AD680" si="154">C680</f>
        <v>FBO</v>
      </c>
    </row>
    <row r="681" spans="1:30" s="6" customFormat="1" ht="20.100000000000001" customHeight="1" x14ac:dyDescent="0.25">
      <c r="A681" s="719" t="s">
        <v>8751</v>
      </c>
      <c r="B681" s="610"/>
      <c r="C681" s="13" t="s">
        <v>4050</v>
      </c>
      <c r="D681" s="611" t="s">
        <v>8749</v>
      </c>
      <c r="E681" s="612">
        <v>18</v>
      </c>
      <c r="F681" s="613"/>
      <c r="G681" s="614"/>
      <c r="H681" s="612" t="s">
        <v>8750</v>
      </c>
      <c r="I681" s="612"/>
      <c r="J681" s="612"/>
      <c r="K681" s="613"/>
      <c r="L681" s="614"/>
      <c r="M681" s="614"/>
      <c r="N681" s="612" t="s">
        <v>8757</v>
      </c>
      <c r="O681" s="612">
        <v>2353287006</v>
      </c>
      <c r="P681" s="612">
        <v>2353287006</v>
      </c>
      <c r="Q681" s="612"/>
      <c r="R681" s="612"/>
      <c r="S681" s="612"/>
      <c r="T681" s="612"/>
      <c r="U681" s="612"/>
      <c r="V681" s="612"/>
      <c r="W681" s="612"/>
      <c r="X681" s="612"/>
      <c r="Y681" s="612"/>
      <c r="AA681" s="1" t="str">
        <f>IFERROR(VLOOKUP(D:D,[1]Габариты!$A:$I,9,0),"")</f>
        <v>Основной ассортимент</v>
      </c>
      <c r="AB681" s="6" t="str">
        <f>IFERROR(VLOOKUP(D:D,[1]Габариты!$A:$D,4,0),"")</f>
        <v>ШКАФЫ</v>
      </c>
      <c r="AC681" s="39" t="str">
        <f t="shared" ref="AC681" si="155">D681</f>
        <v>20056.17/01</v>
      </c>
      <c r="AD681" s="13" t="str">
        <f t="shared" ref="AD681" si="156">C681</f>
        <v>СКГТ (ОЗОН)</v>
      </c>
    </row>
    <row r="682" spans="1:30" s="6" customFormat="1" ht="20.100000000000001" customHeight="1" x14ac:dyDescent="0.25">
      <c r="A682" s="697" t="s">
        <v>8770</v>
      </c>
      <c r="B682" s="620"/>
      <c r="C682" s="615" t="s">
        <v>2582</v>
      </c>
      <c r="D682" s="622" t="s">
        <v>8762</v>
      </c>
      <c r="E682" s="617">
        <v>30</v>
      </c>
      <c r="F682" s="618"/>
      <c r="G682" s="619"/>
      <c r="H682" s="617" t="s">
        <v>8778</v>
      </c>
      <c r="I682" s="617"/>
      <c r="J682" s="617"/>
      <c r="K682" s="618"/>
      <c r="L682" s="619"/>
      <c r="M682" s="619"/>
      <c r="N682" s="617" t="s">
        <v>8795</v>
      </c>
      <c r="O682" s="617">
        <v>2353347519</v>
      </c>
      <c r="P682" s="617">
        <v>2353347519</v>
      </c>
      <c r="Q682" s="617"/>
      <c r="R682" s="617"/>
      <c r="S682" s="617"/>
      <c r="T682" s="617"/>
      <c r="U682" s="617"/>
      <c r="V682" s="617"/>
      <c r="W682" s="617"/>
      <c r="X682" s="617"/>
      <c r="Y682" s="617"/>
      <c r="AA682" s="1" t="str">
        <f>IFERROR(VLOOKUP(D:D,[1]Габариты!$A:$I,9,0),"")</f>
        <v>Основной ассортимент</v>
      </c>
      <c r="AB682" s="6" t="str">
        <f>IFERROR(VLOOKUP(D:D,[1]Габариты!$A:$D,4,0),"")</f>
        <v>ШКАФЫ</v>
      </c>
      <c r="AC682" s="39" t="str">
        <f t="shared" ref="AC682:AC689" si="157">D682</f>
        <v>20057.17/01</v>
      </c>
      <c r="AD682" s="13" t="str">
        <f t="shared" ref="AD682:AD689" si="158">C682</f>
        <v>FBO</v>
      </c>
    </row>
    <row r="683" spans="1:30" s="6" customFormat="1" ht="20.100000000000001" customHeight="1" x14ac:dyDescent="0.25">
      <c r="A683" s="697" t="s">
        <v>8771</v>
      </c>
      <c r="B683" s="620"/>
      <c r="C683" s="13" t="s">
        <v>4050</v>
      </c>
      <c r="D683" s="622" t="s">
        <v>8763</v>
      </c>
      <c r="E683" s="617">
        <v>16</v>
      </c>
      <c r="F683" s="618"/>
      <c r="G683" s="619"/>
      <c r="H683" s="617" t="s">
        <v>8779</v>
      </c>
      <c r="I683" s="617"/>
      <c r="J683" s="617"/>
      <c r="K683" s="618"/>
      <c r="L683" s="619"/>
      <c r="M683" s="619"/>
      <c r="N683" s="617" t="s">
        <v>8796</v>
      </c>
      <c r="O683" s="617">
        <v>2353370171</v>
      </c>
      <c r="P683" s="617">
        <v>2353370171</v>
      </c>
      <c r="Q683" s="617"/>
      <c r="R683" s="617"/>
      <c r="S683" s="617"/>
      <c r="T683" s="617"/>
      <c r="U683" s="617"/>
      <c r="V683" s="617"/>
      <c r="W683" s="617"/>
      <c r="X683" s="617"/>
      <c r="Y683" s="617"/>
      <c r="AA683" s="1" t="str">
        <f>IFERROR(VLOOKUP(D:D,[1]Габариты!$A:$I,9,0),"")</f>
        <v>Основной ассортимент</v>
      </c>
      <c r="AB683" s="6" t="str">
        <f>IFERROR(VLOOKUP(D:D,[1]Габариты!$A:$D,4,0),"")</f>
        <v>ШКАФЫ</v>
      </c>
      <c r="AC683" s="39" t="str">
        <f t="shared" si="157"/>
        <v>20059.17/01</v>
      </c>
      <c r="AD683" s="13" t="str">
        <f t="shared" si="158"/>
        <v>СКГТ (ОЗОН)</v>
      </c>
    </row>
    <row r="684" spans="1:30" s="6" customFormat="1" ht="20.100000000000001" customHeight="1" x14ac:dyDescent="0.25">
      <c r="A684" s="697" t="s">
        <v>8772</v>
      </c>
      <c r="B684" s="620"/>
      <c r="C684" s="615" t="s">
        <v>2581</v>
      </c>
      <c r="D684" s="622" t="s">
        <v>8764</v>
      </c>
      <c r="E684" s="617">
        <v>64</v>
      </c>
      <c r="F684" s="618"/>
      <c r="G684" s="619"/>
      <c r="H684" s="617" t="s">
        <v>8780</v>
      </c>
      <c r="I684" s="617"/>
      <c r="J684" s="617"/>
      <c r="K684" s="618"/>
      <c r="L684" s="619"/>
      <c r="M684" s="619"/>
      <c r="N684" s="617" t="s">
        <v>8797</v>
      </c>
      <c r="O684" s="617">
        <v>2353479220</v>
      </c>
      <c r="P684" s="617">
        <v>2353479220</v>
      </c>
      <c r="Q684" s="617"/>
      <c r="R684" s="617"/>
      <c r="S684" s="617"/>
      <c r="T684" s="617"/>
      <c r="U684" s="617"/>
      <c r="V684" s="617"/>
      <c r="W684" s="617"/>
      <c r="X684" s="617"/>
      <c r="Y684" s="617"/>
      <c r="AA684" s="1" t="str">
        <f>IFERROR(VLOOKUP(D:D,[1]Габариты!$A:$I,9,0),"")</f>
        <v>Основной ассортимент</v>
      </c>
      <c r="AB684" s="6" t="str">
        <f>IFERROR(VLOOKUP(D:D,[1]Габариты!$A:$D,4,0),"")</f>
        <v>ШКАФЫ</v>
      </c>
      <c r="AC684" s="39" t="str">
        <f t="shared" si="157"/>
        <v>20060.17/01</v>
      </c>
      <c r="AD684" s="13" t="str">
        <f t="shared" si="158"/>
        <v>FBS</v>
      </c>
    </row>
    <row r="685" spans="1:30" s="6" customFormat="1" ht="20.100000000000001" customHeight="1" x14ac:dyDescent="0.25">
      <c r="A685" s="697" t="s">
        <v>8773</v>
      </c>
      <c r="B685" s="620"/>
      <c r="C685" s="615" t="s">
        <v>2581</v>
      </c>
      <c r="D685" s="622" t="s">
        <v>8765</v>
      </c>
      <c r="E685" s="617">
        <v>64</v>
      </c>
      <c r="F685" s="618"/>
      <c r="G685" s="619"/>
      <c r="H685" s="617" t="s">
        <v>8781</v>
      </c>
      <c r="I685" s="617"/>
      <c r="J685" s="617"/>
      <c r="K685" s="618"/>
      <c r="L685" s="619"/>
      <c r="M685" s="619"/>
      <c r="N685" s="617" t="s">
        <v>8798</v>
      </c>
      <c r="O685" s="617">
        <v>2353504543</v>
      </c>
      <c r="P685" s="617">
        <v>2353504543</v>
      </c>
      <c r="Q685" s="617"/>
      <c r="R685" s="617"/>
      <c r="S685" s="617"/>
      <c r="T685" s="617"/>
      <c r="U685" s="617"/>
      <c r="V685" s="617"/>
      <c r="W685" s="617"/>
      <c r="X685" s="617"/>
      <c r="Y685" s="617"/>
      <c r="AA685" s="1" t="str">
        <f>IFERROR(VLOOKUP(D:D,[1]Габариты!$A:$I,9,0),"")</f>
        <v>Основной ассортимент</v>
      </c>
      <c r="AB685" s="6" t="str">
        <f>IFERROR(VLOOKUP(D:D,[1]Габариты!$A:$D,4,0),"")</f>
        <v>ШКАФЫ</v>
      </c>
      <c r="AC685" s="39" t="str">
        <f t="shared" si="157"/>
        <v>20061.17/01</v>
      </c>
      <c r="AD685" s="13" t="str">
        <f t="shared" si="158"/>
        <v>FBS</v>
      </c>
    </row>
    <row r="686" spans="1:30" s="6" customFormat="1" ht="20.100000000000001" customHeight="1" x14ac:dyDescent="0.25">
      <c r="A686" s="697" t="s">
        <v>8774</v>
      </c>
      <c r="B686" s="620"/>
      <c r="C686" s="615" t="s">
        <v>2582</v>
      </c>
      <c r="D686" s="622" t="s">
        <v>8766</v>
      </c>
      <c r="E686" s="617">
        <v>26</v>
      </c>
      <c r="F686" s="618"/>
      <c r="G686" s="619"/>
      <c r="H686" s="617" t="s">
        <v>8782</v>
      </c>
      <c r="I686" s="617"/>
      <c r="J686" s="617"/>
      <c r="K686" s="618"/>
      <c r="L686" s="619"/>
      <c r="M686" s="619"/>
      <c r="N686" s="617" t="s">
        <v>8799</v>
      </c>
      <c r="O686" s="617">
        <v>2353552880</v>
      </c>
      <c r="P686" s="617">
        <v>2353552880</v>
      </c>
      <c r="Q686" s="617"/>
      <c r="R686" s="617"/>
      <c r="S686" s="617"/>
      <c r="T686" s="617"/>
      <c r="U686" s="617"/>
      <c r="V686" s="617"/>
      <c r="W686" s="617"/>
      <c r="X686" s="617"/>
      <c r="Y686" s="617"/>
      <c r="AA686" s="1" t="str">
        <f>IFERROR(VLOOKUP(D:D,[1]Габариты!$A:$I,9,0),"")</f>
        <v>Основной ассортимент</v>
      </c>
      <c r="AB686" s="6" t="str">
        <f>IFERROR(VLOOKUP(D:D,[1]Габариты!$A:$D,4,0),"")</f>
        <v>ШКАФЫ</v>
      </c>
      <c r="AC686" s="39" t="str">
        <f t="shared" si="157"/>
        <v>20062.17/01</v>
      </c>
      <c r="AD686" s="13" t="str">
        <f t="shared" si="158"/>
        <v>FBO</v>
      </c>
    </row>
    <row r="687" spans="1:30" s="6" customFormat="1" ht="20.100000000000001" customHeight="1" x14ac:dyDescent="0.25">
      <c r="A687" s="697" t="s">
        <v>8775</v>
      </c>
      <c r="B687" s="620"/>
      <c r="C687" s="615" t="s">
        <v>2582</v>
      </c>
      <c r="D687" s="622" t="s">
        <v>8767</v>
      </c>
      <c r="E687" s="617">
        <v>54</v>
      </c>
      <c r="F687" s="618"/>
      <c r="G687" s="619"/>
      <c r="H687" s="617" t="s">
        <v>8783</v>
      </c>
      <c r="I687" s="617"/>
      <c r="J687" s="617"/>
      <c r="K687" s="618"/>
      <c r="L687" s="619"/>
      <c r="M687" s="619"/>
      <c r="N687" s="617" t="s">
        <v>8800</v>
      </c>
      <c r="O687" s="617">
        <v>2353567574</v>
      </c>
      <c r="P687" s="617">
        <v>2353567574</v>
      </c>
      <c r="Q687" s="617"/>
      <c r="R687" s="617"/>
      <c r="S687" s="617"/>
      <c r="T687" s="617"/>
      <c r="U687" s="617"/>
      <c r="V687" s="617"/>
      <c r="W687" s="617"/>
      <c r="X687" s="617"/>
      <c r="Y687" s="617"/>
      <c r="AA687" s="1" t="str">
        <f>IFERROR(VLOOKUP(D:D,[1]Габариты!$A:$I,9,0),"")</f>
        <v>Основной ассортимент</v>
      </c>
      <c r="AB687" s="6" t="str">
        <f>IFERROR(VLOOKUP(D:D,[1]Габариты!$A:$D,4,0),"")</f>
        <v>ШКАФЫ</v>
      </c>
      <c r="AC687" s="39" t="str">
        <f t="shared" si="157"/>
        <v>20063.17/01</v>
      </c>
      <c r="AD687" s="13" t="str">
        <f t="shared" si="158"/>
        <v>FBO</v>
      </c>
    </row>
    <row r="688" spans="1:30" s="6" customFormat="1" ht="20.100000000000001" customHeight="1" x14ac:dyDescent="0.25">
      <c r="A688" s="697" t="s">
        <v>8776</v>
      </c>
      <c r="B688" s="620"/>
      <c r="C688" s="615" t="s">
        <v>2581</v>
      </c>
      <c r="D688" s="622" t="s">
        <v>8768</v>
      </c>
      <c r="E688" s="617">
        <v>26</v>
      </c>
      <c r="F688" s="618"/>
      <c r="G688" s="619"/>
      <c r="H688" s="617" t="s">
        <v>8784</v>
      </c>
      <c r="I688" s="617"/>
      <c r="J688" s="617"/>
      <c r="K688" s="618"/>
      <c r="L688" s="619"/>
      <c r="M688" s="619"/>
      <c r="N688" s="617" t="s">
        <v>8801</v>
      </c>
      <c r="O688" s="617">
        <v>2353623330</v>
      </c>
      <c r="P688" s="617">
        <v>2353623330</v>
      </c>
      <c r="Q688" s="617"/>
      <c r="R688" s="617"/>
      <c r="S688" s="617"/>
      <c r="T688" s="617"/>
      <c r="U688" s="617"/>
      <c r="V688" s="617"/>
      <c r="W688" s="617"/>
      <c r="X688" s="617"/>
      <c r="Y688" s="617"/>
      <c r="AA688" s="1" t="str">
        <f>IFERROR(VLOOKUP(D:D,[1]Габариты!$A:$I,9,0),"")</f>
        <v>Основной ассортимент</v>
      </c>
      <c r="AB688" s="6" t="str">
        <f>IFERROR(VLOOKUP(D:D,[1]Габариты!$A:$D,4,0),"")</f>
        <v>ШКАФЫ</v>
      </c>
      <c r="AC688" s="39" t="str">
        <f t="shared" si="157"/>
        <v>20064.17/01</v>
      </c>
      <c r="AD688" s="13" t="str">
        <f t="shared" si="158"/>
        <v>FBS</v>
      </c>
    </row>
    <row r="689" spans="1:30" s="6" customFormat="1" ht="20.100000000000001" customHeight="1" x14ac:dyDescent="0.25">
      <c r="A689" s="697" t="s">
        <v>8777</v>
      </c>
      <c r="B689" s="620"/>
      <c r="C689" s="615" t="s">
        <v>2582</v>
      </c>
      <c r="D689" s="622" t="s">
        <v>8769</v>
      </c>
      <c r="E689" s="617">
        <v>27</v>
      </c>
      <c r="F689" s="618"/>
      <c r="G689" s="619"/>
      <c r="H689" s="617" t="s">
        <v>8785</v>
      </c>
      <c r="I689" s="617"/>
      <c r="J689" s="617"/>
      <c r="K689" s="618"/>
      <c r="L689" s="619"/>
      <c r="M689" s="619"/>
      <c r="N689" s="617" t="s">
        <v>8802</v>
      </c>
      <c r="O689" s="617">
        <v>2353634757</v>
      </c>
      <c r="P689" s="617">
        <v>2353634757</v>
      </c>
      <c r="Q689" s="617"/>
      <c r="R689" s="617"/>
      <c r="S689" s="617"/>
      <c r="T689" s="617"/>
      <c r="U689" s="617"/>
      <c r="V689" s="617"/>
      <c r="W689" s="617"/>
      <c r="X689" s="617"/>
      <c r="Y689" s="617"/>
      <c r="AA689" s="1" t="str">
        <f>IFERROR(VLOOKUP(D:D,[1]Габариты!$A:$I,9,0),"")</f>
        <v>Основной ассортимент</v>
      </c>
      <c r="AB689" s="6" t="str">
        <f>IFERROR(VLOOKUP(D:D,[1]Габариты!$A:$D,4,0),"")</f>
        <v>ШКАФЫ</v>
      </c>
      <c r="AC689" s="39" t="str">
        <f t="shared" si="157"/>
        <v>20065.17/01</v>
      </c>
      <c r="AD689" s="13" t="str">
        <f t="shared" si="158"/>
        <v>FBO</v>
      </c>
    </row>
    <row r="690" spans="1:30" s="6" customFormat="1" ht="20.100000000000001" customHeight="1" outlineLevel="1" x14ac:dyDescent="0.2">
      <c r="A690" s="751" t="s">
        <v>8652</v>
      </c>
      <c r="B690" s="759" t="s">
        <v>3877</v>
      </c>
      <c r="C690" s="50"/>
      <c r="D690" s="39"/>
      <c r="E690" s="4"/>
      <c r="F690" s="101"/>
      <c r="G690" s="57"/>
      <c r="H690" s="4"/>
      <c r="I690" s="4"/>
      <c r="J690" s="4"/>
      <c r="K690" s="54"/>
      <c r="L690" s="57"/>
      <c r="M690" s="57"/>
      <c r="N690" s="766"/>
      <c r="O690" s="4"/>
      <c r="P690" s="4"/>
      <c r="Q690" s="767"/>
      <c r="R690" s="767"/>
      <c r="S690" s="4"/>
      <c r="T690" s="4"/>
      <c r="U690" s="4"/>
      <c r="V690" s="4"/>
      <c r="W690" s="4"/>
      <c r="X690" s="4"/>
      <c r="Y690" s="4"/>
      <c r="Z690" s="35"/>
      <c r="AA690" s="1" t="str">
        <f>IFERROR(VLOOKUP(D:D,[1]Габариты!$A:$I,9,0),"")</f>
        <v/>
      </c>
      <c r="AB690" s="6" t="str">
        <f>IFERROR(VLOOKUP(D:D,[1]Габариты!$A:$D,4,0),"")</f>
        <v/>
      </c>
      <c r="AC690" s="39"/>
      <c r="AD690" s="361"/>
    </row>
    <row r="691" spans="1:30" s="6" customFormat="1" ht="20.100000000000001" customHeight="1" outlineLevel="1" x14ac:dyDescent="0.25">
      <c r="A691" s="720" t="s">
        <v>5686</v>
      </c>
      <c r="B691" s="78"/>
      <c r="C691" s="13" t="s">
        <v>4050</v>
      </c>
      <c r="D691" s="79" t="s">
        <v>5684</v>
      </c>
      <c r="E691" s="73">
        <v>10</v>
      </c>
      <c r="F691" s="101" t="s">
        <v>6309</v>
      </c>
      <c r="G691" s="75" t="s">
        <v>5688</v>
      </c>
      <c r="H691" s="73" t="s">
        <v>7429</v>
      </c>
      <c r="I691" s="73"/>
      <c r="J691" s="73"/>
      <c r="K691" s="54" t="s">
        <v>6309</v>
      </c>
      <c r="L691" s="57">
        <v>1618322693</v>
      </c>
      <c r="M691" s="57">
        <v>1618322693</v>
      </c>
      <c r="N691" s="769" t="s">
        <v>8219</v>
      </c>
      <c r="O691" s="73">
        <v>1840224328</v>
      </c>
      <c r="P691" s="73">
        <v>1840224328</v>
      </c>
      <c r="Q691" s="775"/>
      <c r="R691" s="775"/>
      <c r="S691" s="73"/>
      <c r="T691" s="73"/>
      <c r="U691" s="73"/>
      <c r="V691" s="73"/>
      <c r="W691" s="73"/>
      <c r="X691" s="73" t="s">
        <v>8157</v>
      </c>
      <c r="Y691" s="73"/>
      <c r="Z691" s="35"/>
      <c r="AA691" s="1" t="str">
        <f>IFERROR(VLOOKUP(D:D,[1]Габариты!$A:$I,9,0),"")</f>
        <v>Основной ассортимент</v>
      </c>
      <c r="AB691" s="6" t="str">
        <f>IFERROR(VLOOKUP(D:D,[1]Габариты!$A:$D,4,0),"")</f>
        <v>ПРИХОЖАЯ</v>
      </c>
      <c r="AC691" s="39" t="str">
        <f t="shared" si="132"/>
        <v>3536.20/01</v>
      </c>
      <c r="AD691" s="13" t="str">
        <f t="shared" si="139"/>
        <v>СКГТ (ОЗОН)</v>
      </c>
    </row>
    <row r="692" spans="1:30" s="6" customFormat="1" ht="20.100000000000001" customHeight="1" outlineLevel="1" x14ac:dyDescent="0.25">
      <c r="A692" s="721" t="s">
        <v>6097</v>
      </c>
      <c r="B692" s="98"/>
      <c r="C692" s="13" t="s">
        <v>4050</v>
      </c>
      <c r="D692" s="99" t="s">
        <v>6095</v>
      </c>
      <c r="E692" s="100">
        <v>20</v>
      </c>
      <c r="F692" s="101" t="s">
        <v>6310</v>
      </c>
      <c r="G692" s="102" t="s">
        <v>6100</v>
      </c>
      <c r="H692" s="100"/>
      <c r="I692" s="100"/>
      <c r="J692" s="100"/>
      <c r="K692" s="101"/>
      <c r="L692" s="102"/>
      <c r="M692" s="102"/>
      <c r="N692" s="780"/>
      <c r="O692" s="100"/>
      <c r="P692" s="100"/>
      <c r="Q692" s="774"/>
      <c r="R692" s="774"/>
      <c r="S692" s="100"/>
      <c r="T692" s="100"/>
      <c r="U692" s="100"/>
      <c r="V692" s="100"/>
      <c r="W692" s="100"/>
      <c r="X692" s="100"/>
      <c r="Y692" s="100"/>
      <c r="Z692" s="35"/>
      <c r="AA692" s="1" t="str">
        <f>IFERROR(VLOOKUP(D:D,[1]Габариты!$A:$I,9,0),"")</f>
        <v>Основной ассортимент</v>
      </c>
      <c r="AB692" s="6" t="str">
        <f>IFERROR(VLOOKUP(D:D,[1]Габариты!$A:$D,4,0),"")</f>
        <v>ПРИХОЖАЯ</v>
      </c>
      <c r="AC692" s="39" t="str">
        <f t="shared" si="132"/>
        <v>3537.20/02</v>
      </c>
      <c r="AD692" s="13" t="str">
        <f t="shared" si="139"/>
        <v>СКГТ (ОЗОН)</v>
      </c>
    </row>
    <row r="693" spans="1:30" s="6" customFormat="1" ht="20.100000000000001" customHeight="1" outlineLevel="1" x14ac:dyDescent="0.25">
      <c r="A693" s="720" t="s">
        <v>5687</v>
      </c>
      <c r="B693" s="78"/>
      <c r="C693" s="13" t="s">
        <v>4050</v>
      </c>
      <c r="D693" s="80" t="s">
        <v>5685</v>
      </c>
      <c r="E693" s="73">
        <v>10</v>
      </c>
      <c r="F693" s="101" t="s">
        <v>6308</v>
      </c>
      <c r="G693" s="75" t="s">
        <v>5689</v>
      </c>
      <c r="H693" s="73" t="s">
        <v>7430</v>
      </c>
      <c r="I693" s="73"/>
      <c r="J693" s="73"/>
      <c r="K693" s="54" t="s">
        <v>6308</v>
      </c>
      <c r="L693" s="57">
        <v>1618471308</v>
      </c>
      <c r="M693" s="57">
        <v>1618471308</v>
      </c>
      <c r="N693" s="769" t="s">
        <v>8213</v>
      </c>
      <c r="O693" s="73">
        <v>1833267036</v>
      </c>
      <c r="P693" s="73">
        <v>1833267036</v>
      </c>
      <c r="Q693" s="775"/>
      <c r="R693" s="775"/>
      <c r="S693" s="73"/>
      <c r="T693" s="73"/>
      <c r="U693" s="73"/>
      <c r="V693" s="73"/>
      <c r="W693" s="73"/>
      <c r="X693" s="73" t="s">
        <v>8139</v>
      </c>
      <c r="Y693" s="73"/>
      <c r="Z693" s="35"/>
      <c r="AA693" s="1" t="str">
        <f>IFERROR(VLOOKUP(D:D,[1]Габариты!$A:$I,9,0),"")</f>
        <v>Основной ассортимент</v>
      </c>
      <c r="AB693" s="6" t="str">
        <f>IFERROR(VLOOKUP(D:D,[1]Габариты!$A:$D,4,0),"")</f>
        <v>ПРИХОЖАЯ</v>
      </c>
      <c r="AC693" s="39" t="str">
        <f t="shared" ref="AC693:AC760" si="159">D693</f>
        <v>3536.09/01</v>
      </c>
      <c r="AD693" s="13" t="str">
        <f t="shared" si="139"/>
        <v>СКГТ (ОЗОН)</v>
      </c>
    </row>
    <row r="694" spans="1:30" s="6" customFormat="1" ht="20.100000000000001" customHeight="1" outlineLevel="1" x14ac:dyDescent="0.25">
      <c r="A694" s="721" t="s">
        <v>6098</v>
      </c>
      <c r="B694" s="98"/>
      <c r="C694" s="13" t="s">
        <v>4050</v>
      </c>
      <c r="D694" s="99" t="s">
        <v>6096</v>
      </c>
      <c r="E694" s="100">
        <v>20</v>
      </c>
      <c r="F694" s="101" t="s">
        <v>6311</v>
      </c>
      <c r="G694" s="102" t="s">
        <v>6099</v>
      </c>
      <c r="H694" s="100"/>
      <c r="I694" s="100"/>
      <c r="J694" s="100"/>
      <c r="K694" s="101"/>
      <c r="L694" s="102"/>
      <c r="M694" s="102"/>
      <c r="N694" s="780"/>
      <c r="O694" s="100"/>
      <c r="P694" s="100"/>
      <c r="Q694" s="774"/>
      <c r="R694" s="774"/>
      <c r="S694" s="100"/>
      <c r="T694" s="100"/>
      <c r="U694" s="100"/>
      <c r="V694" s="100"/>
      <c r="W694" s="100"/>
      <c r="X694" s="100"/>
      <c r="Y694" s="100"/>
      <c r="Z694" s="35"/>
      <c r="AA694" s="1" t="str">
        <f>IFERROR(VLOOKUP(D:D,[1]Габариты!$A:$I,9,0),"")</f>
        <v>Основной ассортимент</v>
      </c>
      <c r="AB694" s="6" t="str">
        <f>IFERROR(VLOOKUP(D:D,[1]Габариты!$A:$D,4,0),"")</f>
        <v>ПРИХОЖАЯ</v>
      </c>
      <c r="AC694" s="39" t="str">
        <f t="shared" si="159"/>
        <v>3537.09/02</v>
      </c>
      <c r="AD694" s="13" t="str">
        <f t="shared" si="139"/>
        <v>СКГТ (ОЗОН)</v>
      </c>
    </row>
    <row r="695" spans="1:30" s="6" customFormat="1" ht="20.100000000000001" customHeight="1" outlineLevel="1" x14ac:dyDescent="0.25">
      <c r="A695" s="722" t="s">
        <v>7523</v>
      </c>
      <c r="B695" s="140"/>
      <c r="C695" s="13" t="s">
        <v>4050</v>
      </c>
      <c r="D695" s="142" t="s">
        <v>7521</v>
      </c>
      <c r="E695" s="143">
        <v>10</v>
      </c>
      <c r="F695" s="144"/>
      <c r="G695" s="145"/>
      <c r="H695" s="143" t="s">
        <v>7520</v>
      </c>
      <c r="I695" s="143"/>
      <c r="J695" s="143"/>
      <c r="K695" s="144"/>
      <c r="L695" s="145"/>
      <c r="M695" s="145"/>
      <c r="N695" s="865" t="s">
        <v>7640</v>
      </c>
      <c r="O695" s="143">
        <v>1621131787</v>
      </c>
      <c r="P695" s="143">
        <v>1621131787</v>
      </c>
      <c r="Q695" s="770"/>
      <c r="R695" s="770"/>
      <c r="S695" s="143"/>
      <c r="T695" s="143"/>
      <c r="U695" s="143"/>
      <c r="V695" s="143"/>
      <c r="W695" s="143"/>
      <c r="X695" s="143" t="s">
        <v>7640</v>
      </c>
      <c r="Y695" s="143"/>
      <c r="Z695" s="35"/>
      <c r="AA695" s="1" t="str">
        <f>IFERROR(VLOOKUP(D:D,[1]Габариты!$A:$I,9,0),"")</f>
        <v>Основной ассортимент</v>
      </c>
      <c r="AB695" s="6" t="str">
        <f>IFERROR(VLOOKUP(D:D,[1]Габариты!$A:$D,4,0),"")</f>
        <v>ПРИХОЖАЯ</v>
      </c>
      <c r="AC695" s="39" t="str">
        <f t="shared" si="159"/>
        <v>3536.17/01</v>
      </c>
      <c r="AD695" s="13" t="str">
        <f t="shared" si="139"/>
        <v>СКГТ (ОЗОН)</v>
      </c>
    </row>
    <row r="696" spans="1:30" s="6" customFormat="1" ht="20.100000000000001" customHeight="1" outlineLevel="1" x14ac:dyDescent="0.25">
      <c r="A696" s="722" t="s">
        <v>7523</v>
      </c>
      <c r="B696" s="140"/>
      <c r="C696" s="13" t="s">
        <v>4050</v>
      </c>
      <c r="D696" s="142" t="s">
        <v>7522</v>
      </c>
      <c r="E696" s="143">
        <v>20</v>
      </c>
      <c r="F696" s="144" t="s">
        <v>7522</v>
      </c>
      <c r="G696" s="145"/>
      <c r="H696" s="143"/>
      <c r="I696" s="143"/>
      <c r="J696" s="143"/>
      <c r="K696" s="144"/>
      <c r="L696" s="145"/>
      <c r="M696" s="145"/>
      <c r="N696" s="862"/>
      <c r="O696" s="143"/>
      <c r="P696" s="143"/>
      <c r="Q696" s="770"/>
      <c r="R696" s="770"/>
      <c r="S696" s="143"/>
      <c r="T696" s="143"/>
      <c r="U696" s="143"/>
      <c r="V696" s="143"/>
      <c r="W696" s="143"/>
      <c r="X696" s="143"/>
      <c r="Y696" s="143"/>
      <c r="Z696" s="35"/>
      <c r="AA696" s="1" t="str">
        <f>IFERROR(VLOOKUP(D:D,[1]Габариты!$A:$I,9,0),"")</f>
        <v>Основной ассортимент</v>
      </c>
      <c r="AB696" s="6" t="str">
        <f>IFERROR(VLOOKUP(D:D,[1]Габариты!$A:$D,4,0),"")</f>
        <v>ПРИХОЖАЯ</v>
      </c>
      <c r="AC696" s="39" t="str">
        <f t="shared" si="159"/>
        <v>3537.17/02</v>
      </c>
      <c r="AD696" s="13" t="str">
        <f t="shared" si="139"/>
        <v>СКГТ (ОЗОН)</v>
      </c>
    </row>
    <row r="697" spans="1:30" s="6" customFormat="1" ht="20.100000000000001" customHeight="1" outlineLevel="1" x14ac:dyDescent="0.25">
      <c r="A697" s="723" t="s">
        <v>7783</v>
      </c>
      <c r="B697" s="224"/>
      <c r="C697" s="13" t="s">
        <v>4050</v>
      </c>
      <c r="D697" s="225" t="s">
        <v>5438</v>
      </c>
      <c r="E697" s="217">
        <v>10</v>
      </c>
      <c r="F697" s="218" t="s">
        <v>5482</v>
      </c>
      <c r="G697" s="219" t="s">
        <v>5717</v>
      </c>
      <c r="H697" s="217" t="s">
        <v>7961</v>
      </c>
      <c r="I697" s="217"/>
      <c r="J697" s="217"/>
      <c r="K697" s="54" t="s">
        <v>5482</v>
      </c>
      <c r="L697" s="219">
        <v>1588889359</v>
      </c>
      <c r="M697" s="219">
        <v>1588889359</v>
      </c>
      <c r="N697" s="833" t="s">
        <v>7988</v>
      </c>
      <c r="O697" s="217">
        <v>1763888871</v>
      </c>
      <c r="P697" s="217">
        <v>1763888871</v>
      </c>
      <c r="Q697" s="824"/>
      <c r="R697" s="824"/>
      <c r="S697" s="217"/>
      <c r="T697" s="217"/>
      <c r="U697" s="217"/>
      <c r="V697" s="217"/>
      <c r="W697" s="217"/>
      <c r="X697" s="217" t="s">
        <v>8050</v>
      </c>
      <c r="Y697" s="217"/>
      <c r="Z697" s="35"/>
      <c r="AA697" s="1" t="str">
        <f>IFERROR(VLOOKUP(D:D,[1]Габариты!$A:$I,9,0),"")</f>
        <v>Основной ассортимент</v>
      </c>
      <c r="AB697" s="6" t="str">
        <f>IFERROR(VLOOKUP(D:D,[1]Габариты!$A:$D,4,0),"")</f>
        <v>ПРИХОЖАЯ</v>
      </c>
      <c r="AC697" s="39" t="str">
        <f t="shared" si="159"/>
        <v>3536.01/01</v>
      </c>
      <c r="AD697" s="13" t="str">
        <f t="shared" si="139"/>
        <v>СКГТ (ОЗОН)</v>
      </c>
    </row>
    <row r="698" spans="1:30" s="6" customFormat="1" ht="20.100000000000001" customHeight="1" outlineLevel="1" x14ac:dyDescent="0.25">
      <c r="A698" s="723" t="s">
        <v>7783</v>
      </c>
      <c r="B698" s="224"/>
      <c r="C698" s="13" t="s">
        <v>4050</v>
      </c>
      <c r="D698" s="225" t="s">
        <v>7782</v>
      </c>
      <c r="E698" s="217">
        <v>20</v>
      </c>
      <c r="F698" s="218" t="s">
        <v>7782</v>
      </c>
      <c r="G698" s="219"/>
      <c r="H698" s="217"/>
      <c r="I698" s="217"/>
      <c r="J698" s="217"/>
      <c r="K698" s="218"/>
      <c r="L698" s="219"/>
      <c r="M698" s="219"/>
      <c r="N698" s="866"/>
      <c r="O698" s="217"/>
      <c r="P698" s="217"/>
      <c r="Q698" s="824"/>
      <c r="R698" s="824"/>
      <c r="S698" s="217"/>
      <c r="T698" s="217"/>
      <c r="U698" s="217"/>
      <c r="V698" s="217"/>
      <c r="W698" s="217"/>
      <c r="X698" s="217"/>
      <c r="Y698" s="217"/>
      <c r="Z698" s="35"/>
      <c r="AA698" s="1" t="str">
        <f>IFERROR(VLOOKUP(D:D,[1]Габариты!$A:$I,9,0),"")</f>
        <v>Основной ассортимент</v>
      </c>
      <c r="AB698" s="6" t="str">
        <f>IFERROR(VLOOKUP(D:D,[1]Габариты!$A:$D,4,0),"")</f>
        <v>ПРИХОЖАЯ</v>
      </c>
      <c r="AC698" s="39" t="str">
        <f t="shared" si="159"/>
        <v>3537.01/02</v>
      </c>
      <c r="AD698" s="13" t="str">
        <f t="shared" si="139"/>
        <v>СКГТ (ОЗОН)</v>
      </c>
    </row>
    <row r="699" spans="1:30" s="6" customFormat="1" ht="20.100000000000001" customHeight="1" outlineLevel="1" x14ac:dyDescent="0.25">
      <c r="A699" s="721" t="s">
        <v>6268</v>
      </c>
      <c r="B699" s="98"/>
      <c r="C699" s="13" t="s">
        <v>4050</v>
      </c>
      <c r="D699" s="112">
        <v>3835</v>
      </c>
      <c r="E699" s="100">
        <v>10</v>
      </c>
      <c r="F699" s="101">
        <v>3835</v>
      </c>
      <c r="G699" s="102" t="s">
        <v>5121</v>
      </c>
      <c r="H699" s="100" t="s">
        <v>7431</v>
      </c>
      <c r="I699" s="100"/>
      <c r="J699" s="100"/>
      <c r="K699" s="54" t="s">
        <v>7938</v>
      </c>
      <c r="L699" s="102">
        <v>1469470967</v>
      </c>
      <c r="M699" s="102">
        <v>1469470967</v>
      </c>
      <c r="N699" s="867" t="s">
        <v>8104</v>
      </c>
      <c r="O699" s="100">
        <v>1800439048</v>
      </c>
      <c r="P699" s="100">
        <v>1800439048</v>
      </c>
      <c r="Q699" s="774"/>
      <c r="R699" s="774"/>
      <c r="S699" s="100"/>
      <c r="T699" s="100"/>
      <c r="U699" s="100"/>
      <c r="V699" s="100"/>
      <c r="W699" s="100"/>
      <c r="X699" s="100" t="s">
        <v>8138</v>
      </c>
      <c r="Y699" s="100"/>
      <c r="Z699" s="35"/>
      <c r="AA699" s="1" t="str">
        <f>IFERROR(VLOOKUP(D:D,[1]Габариты!$A:$I,9,0),"")</f>
        <v>Основной ассортимент</v>
      </c>
      <c r="AB699" s="6" t="str">
        <f>IFERROR(VLOOKUP(D:D,[1]Габариты!$A:$D,4,0),"")</f>
        <v>ПРИХОЖАЯ</v>
      </c>
      <c r="AC699" s="39">
        <f t="shared" si="159"/>
        <v>3835</v>
      </c>
      <c r="AD699" s="13" t="str">
        <f t="shared" si="139"/>
        <v>СКГТ (ОЗОН)</v>
      </c>
    </row>
    <row r="700" spans="1:30" s="6" customFormat="1" ht="20.100000000000001" customHeight="1" outlineLevel="1" x14ac:dyDescent="0.25">
      <c r="A700" s="721" t="s">
        <v>6269</v>
      </c>
      <c r="B700" s="98"/>
      <c r="C700" s="13" t="s">
        <v>4050</v>
      </c>
      <c r="D700" s="112">
        <v>3836</v>
      </c>
      <c r="E700" s="100">
        <v>20</v>
      </c>
      <c r="F700" s="101">
        <v>3836</v>
      </c>
      <c r="G700" s="102"/>
      <c r="H700" s="100"/>
      <c r="I700" s="100"/>
      <c r="J700" s="100"/>
      <c r="K700" s="101"/>
      <c r="L700" s="102"/>
      <c r="M700" s="102"/>
      <c r="N700" s="780"/>
      <c r="O700" s="100"/>
      <c r="P700" s="100"/>
      <c r="Q700" s="774"/>
      <c r="R700" s="774"/>
      <c r="S700" s="100"/>
      <c r="T700" s="100"/>
      <c r="U700" s="100"/>
      <c r="V700" s="100"/>
      <c r="W700" s="100"/>
      <c r="X700" s="100"/>
      <c r="Y700" s="100"/>
      <c r="Z700" s="35"/>
      <c r="AA700" s="1" t="str">
        <f>IFERROR(VLOOKUP(D:D,[1]Габариты!$A:$I,9,0),"")</f>
        <v>Основной ассортимент</v>
      </c>
      <c r="AB700" s="6" t="str">
        <f>IFERROR(VLOOKUP(D:D,[1]Габариты!$A:$D,4,0),"")</f>
        <v>ПРИХОЖАЯ</v>
      </c>
      <c r="AC700" s="39">
        <f t="shared" si="159"/>
        <v>3836</v>
      </c>
      <c r="AD700" s="13" t="str">
        <f t="shared" si="139"/>
        <v>СКГТ (ОЗОН)</v>
      </c>
    </row>
    <row r="701" spans="1:30" s="6" customFormat="1" ht="20.100000000000001" customHeight="1" outlineLevel="1" x14ac:dyDescent="0.25">
      <c r="A701" s="724" t="s">
        <v>7955</v>
      </c>
      <c r="B701" s="237"/>
      <c r="C701" s="13" t="s">
        <v>4050</v>
      </c>
      <c r="D701" s="233" t="s">
        <v>5436</v>
      </c>
      <c r="E701" s="234">
        <v>10</v>
      </c>
      <c r="F701" s="235" t="s">
        <v>5480</v>
      </c>
      <c r="G701" s="236" t="s">
        <v>5716</v>
      </c>
      <c r="H701" s="234" t="s">
        <v>7985</v>
      </c>
      <c r="I701" s="234"/>
      <c r="J701" s="234"/>
      <c r="K701" s="235" t="s">
        <v>5480</v>
      </c>
      <c r="L701" s="236">
        <v>1571907874</v>
      </c>
      <c r="M701" s="236">
        <v>1571907874</v>
      </c>
      <c r="N701" s="868" t="s">
        <v>8182</v>
      </c>
      <c r="O701" s="234">
        <v>1829854750</v>
      </c>
      <c r="P701" s="234">
        <v>1829854750</v>
      </c>
      <c r="Q701" s="869"/>
      <c r="R701" s="869"/>
      <c r="S701" s="234"/>
      <c r="T701" s="234"/>
      <c r="U701" s="234"/>
      <c r="V701" s="234"/>
      <c r="W701" s="234"/>
      <c r="X701" s="234" t="s">
        <v>8051</v>
      </c>
      <c r="Y701" s="234"/>
      <c r="Z701" s="35"/>
      <c r="AA701" s="1" t="str">
        <f>IFERROR(VLOOKUP(D:D,[1]Габариты!$A:$I,9,0),"")</f>
        <v>Основной ассортимент</v>
      </c>
      <c r="AB701" s="6" t="str">
        <f>IFERROR(VLOOKUP(D:D,[1]Габариты!$A:$D,4,0),"")</f>
        <v>ПРИХОЖАЯ</v>
      </c>
      <c r="AC701" s="39" t="str">
        <f t="shared" si="159"/>
        <v>3536.05.09/01</v>
      </c>
      <c r="AD701" s="13" t="str">
        <f t="shared" si="139"/>
        <v>СКГТ (ОЗОН)</v>
      </c>
    </row>
    <row r="702" spans="1:30" s="6" customFormat="1" ht="20.100000000000001" customHeight="1" outlineLevel="1" x14ac:dyDescent="0.25">
      <c r="A702" s="724" t="s">
        <v>7956</v>
      </c>
      <c r="B702" s="237"/>
      <c r="C702" s="13" t="s">
        <v>4050</v>
      </c>
      <c r="D702" s="233" t="s">
        <v>7954</v>
      </c>
      <c r="E702" s="234">
        <v>20</v>
      </c>
      <c r="F702" s="235" t="s">
        <v>7954</v>
      </c>
      <c r="G702" s="236"/>
      <c r="H702" s="234"/>
      <c r="I702" s="234"/>
      <c r="J702" s="234"/>
      <c r="K702" s="235"/>
      <c r="L702" s="236"/>
      <c r="M702" s="236"/>
      <c r="N702" s="870"/>
      <c r="O702" s="234"/>
      <c r="P702" s="234"/>
      <c r="Q702" s="869"/>
      <c r="R702" s="869"/>
      <c r="S702" s="234"/>
      <c r="T702" s="234"/>
      <c r="U702" s="234"/>
      <c r="V702" s="234"/>
      <c r="W702" s="234"/>
      <c r="X702" s="234"/>
      <c r="Y702" s="234"/>
      <c r="Z702" s="35"/>
      <c r="AA702" s="1" t="str">
        <f>IFERROR(VLOOKUP(D:D,[1]Габариты!$A:$I,9,0),"")</f>
        <v>Основной ассортимент</v>
      </c>
      <c r="AB702" s="6" t="str">
        <f>IFERROR(VLOOKUP(D:D,[1]Габариты!$A:$D,4,0),"")</f>
        <v>ПРИХОЖАЯ</v>
      </c>
      <c r="AC702" s="39" t="str">
        <f t="shared" si="159"/>
        <v>3537.05.09/02</v>
      </c>
      <c r="AD702" s="13" t="str">
        <f t="shared" si="139"/>
        <v>СКГТ (ОЗОН)</v>
      </c>
    </row>
    <row r="703" spans="1:30" s="6" customFormat="1" ht="20.100000000000001" customHeight="1" outlineLevel="1" x14ac:dyDescent="0.25">
      <c r="A703" s="725" t="s">
        <v>5577</v>
      </c>
      <c r="B703" s="371"/>
      <c r="C703" s="13" t="s">
        <v>4050</v>
      </c>
      <c r="D703" s="372" t="s">
        <v>5435</v>
      </c>
      <c r="E703" s="373">
        <v>10</v>
      </c>
      <c r="F703" s="374" t="s">
        <v>5479</v>
      </c>
      <c r="G703" s="375" t="s">
        <v>5715</v>
      </c>
      <c r="H703" s="373" t="s">
        <v>8329</v>
      </c>
      <c r="I703" s="373"/>
      <c r="J703" s="373"/>
      <c r="K703" s="374" t="s">
        <v>5479</v>
      </c>
      <c r="L703" s="375">
        <v>1564895375</v>
      </c>
      <c r="M703" s="375">
        <v>1564895375</v>
      </c>
      <c r="N703" s="871"/>
      <c r="O703" s="373"/>
      <c r="P703" s="373"/>
      <c r="Q703" s="872"/>
      <c r="R703" s="872"/>
      <c r="S703" s="373"/>
      <c r="T703" s="373"/>
      <c r="U703" s="373"/>
      <c r="V703" s="373"/>
      <c r="W703" s="373"/>
      <c r="X703" s="373"/>
      <c r="Y703" s="373"/>
      <c r="Z703" s="35"/>
      <c r="AA703" s="1" t="str">
        <f>IFERROR(VLOOKUP(D:D,[1]Габариты!$A:$I,9,0),"")</f>
        <v>Основной ассортимент</v>
      </c>
      <c r="AB703" s="6" t="str">
        <f>IFERROR(VLOOKUP(D:D,[1]Габариты!$A:$D,4,0),"")</f>
        <v>ПРИХОЖАЯ</v>
      </c>
      <c r="AC703" s="39" t="str">
        <f t="shared" si="159"/>
        <v>3536.06/01</v>
      </c>
      <c r="AD703" s="13" t="str">
        <f t="shared" si="139"/>
        <v>СКГТ (ОЗОН)</v>
      </c>
    </row>
    <row r="704" spans="1:30" s="6" customFormat="1" ht="20.100000000000001" customHeight="1" outlineLevel="1" x14ac:dyDescent="0.25">
      <c r="A704" s="725" t="s">
        <v>8235</v>
      </c>
      <c r="B704" s="371"/>
      <c r="C704" s="13" t="s">
        <v>4050</v>
      </c>
      <c r="D704" s="372" t="s">
        <v>8234</v>
      </c>
      <c r="E704" s="373">
        <v>20</v>
      </c>
      <c r="F704" s="374" t="s">
        <v>8234</v>
      </c>
      <c r="G704" s="375"/>
      <c r="H704" s="373"/>
      <c r="I704" s="373"/>
      <c r="J704" s="373"/>
      <c r="K704" s="374"/>
      <c r="L704" s="375"/>
      <c r="M704" s="375"/>
      <c r="N704" s="871"/>
      <c r="O704" s="373"/>
      <c r="P704" s="373"/>
      <c r="Q704" s="872"/>
      <c r="R704" s="872"/>
      <c r="S704" s="373"/>
      <c r="T704" s="373"/>
      <c r="U704" s="373"/>
      <c r="V704" s="373"/>
      <c r="W704" s="373"/>
      <c r="X704" s="373"/>
      <c r="Y704" s="373"/>
      <c r="Z704" s="35"/>
      <c r="AA704" s="1" t="str">
        <f>IFERROR(VLOOKUP(D:D,[1]Габариты!$A:$I,9,0),"")</f>
        <v>Основной ассортимент</v>
      </c>
      <c r="AB704" s="6" t="str">
        <f>IFERROR(VLOOKUP(D:D,[1]Габариты!$A:$D,4,0),"")</f>
        <v>ПРИХОЖАЯ</v>
      </c>
      <c r="AC704" s="39" t="str">
        <f t="shared" si="159"/>
        <v>3537.06/02</v>
      </c>
      <c r="AD704" s="13" t="str">
        <f t="shared" si="139"/>
        <v>СКГТ (ОЗОН)</v>
      </c>
    </row>
    <row r="705" spans="1:30" s="6" customFormat="1" ht="20.100000000000001" customHeight="1" x14ac:dyDescent="0.25">
      <c r="A705" s="710" t="s">
        <v>7783</v>
      </c>
      <c r="B705" s="390"/>
      <c r="C705" s="13" t="s">
        <v>4050</v>
      </c>
      <c r="D705" s="391" t="s">
        <v>8300</v>
      </c>
      <c r="E705" s="392">
        <v>10</v>
      </c>
      <c r="F705" s="393"/>
      <c r="G705" s="394"/>
      <c r="H705" s="392" t="s">
        <v>5717</v>
      </c>
      <c r="I705" s="392"/>
      <c r="J705" s="392"/>
      <c r="K705" s="393"/>
      <c r="L705" s="394"/>
      <c r="M705" s="394"/>
      <c r="N705" s="392" t="s">
        <v>8339</v>
      </c>
      <c r="O705" s="392">
        <v>1763888871</v>
      </c>
      <c r="P705" s="392">
        <v>1763888871</v>
      </c>
      <c r="Q705" s="392"/>
      <c r="R705" s="392"/>
      <c r="S705" s="392"/>
      <c r="T705" s="392"/>
      <c r="U705" s="392"/>
      <c r="V705" s="392"/>
      <c r="W705" s="392"/>
      <c r="X705" s="392" t="s">
        <v>8339</v>
      </c>
      <c r="Y705" s="392"/>
      <c r="AA705" s="1" t="str">
        <f>IFERROR(VLOOKUP(D:D,[1]Габариты!$A:$I,9,0),"")</f>
        <v>Основной ассортимент</v>
      </c>
      <c r="AB705" s="6" t="str">
        <f>IFERROR(VLOOKUP(D:D,[1]Габариты!$A:$D,4,0),"")</f>
        <v>ПРИХОЖАЯ</v>
      </c>
      <c r="AC705" s="39" t="str">
        <f t="shared" si="159"/>
        <v>3536.01/01к</v>
      </c>
      <c r="AD705" s="13" t="str">
        <f t="shared" ref="AD705:AD708" si="160">C705</f>
        <v>СКГТ (ОЗОН)</v>
      </c>
    </row>
    <row r="706" spans="1:30" s="6" customFormat="1" ht="20.100000000000001" customHeight="1" x14ac:dyDescent="0.25">
      <c r="A706" s="710" t="s">
        <v>7955</v>
      </c>
      <c r="B706" s="390"/>
      <c r="C706" s="13" t="s">
        <v>4050</v>
      </c>
      <c r="D706" s="391" t="s">
        <v>8301</v>
      </c>
      <c r="E706" s="392">
        <v>10</v>
      </c>
      <c r="F706" s="393"/>
      <c r="G706" s="394"/>
      <c r="H706" s="392" t="s">
        <v>5716</v>
      </c>
      <c r="I706" s="392"/>
      <c r="J706" s="392"/>
      <c r="K706" s="393"/>
      <c r="L706" s="394"/>
      <c r="M706" s="394"/>
      <c r="N706" s="392" t="s">
        <v>8340</v>
      </c>
      <c r="O706" s="392">
        <v>1829854750</v>
      </c>
      <c r="P706" s="392">
        <v>1829854750</v>
      </c>
      <c r="Q706" s="392"/>
      <c r="R706" s="392"/>
      <c r="S706" s="392"/>
      <c r="T706" s="392"/>
      <c r="U706" s="392"/>
      <c r="V706" s="392"/>
      <c r="W706" s="392"/>
      <c r="X706" s="392" t="s">
        <v>8340</v>
      </c>
      <c r="Y706" s="392"/>
      <c r="AA706" s="1" t="str">
        <f>IFERROR(VLOOKUP(D:D,[1]Габариты!$A:$I,9,0),"")</f>
        <v>Основной ассортимент</v>
      </c>
      <c r="AB706" s="6" t="str">
        <f>IFERROR(VLOOKUP(D:D,[1]Габариты!$A:$D,4,0),"")</f>
        <v>ПРИХОЖАЯ</v>
      </c>
      <c r="AC706" s="39" t="str">
        <f t="shared" si="159"/>
        <v>3536.05.09/01к</v>
      </c>
      <c r="AD706" s="13" t="str">
        <f t="shared" si="160"/>
        <v>СКГТ (ОЗОН)</v>
      </c>
    </row>
    <row r="707" spans="1:30" s="6" customFormat="1" ht="20.100000000000001" customHeight="1" x14ac:dyDescent="0.25">
      <c r="A707" s="710" t="s">
        <v>5687</v>
      </c>
      <c r="B707" s="390"/>
      <c r="C707" s="13" t="s">
        <v>4050</v>
      </c>
      <c r="D707" s="391" t="s">
        <v>8302</v>
      </c>
      <c r="E707" s="392">
        <v>10</v>
      </c>
      <c r="F707" s="393"/>
      <c r="G707" s="394"/>
      <c r="H707" s="392" t="s">
        <v>5689</v>
      </c>
      <c r="I707" s="392"/>
      <c r="J707" s="392"/>
      <c r="K707" s="393"/>
      <c r="L707" s="394"/>
      <c r="M707" s="394"/>
      <c r="N707" s="392" t="s">
        <v>8341</v>
      </c>
      <c r="O707" s="392">
        <v>1833267036</v>
      </c>
      <c r="P707" s="392">
        <v>1833267036</v>
      </c>
      <c r="Q707" s="392"/>
      <c r="R707" s="392"/>
      <c r="S707" s="392"/>
      <c r="T707" s="392"/>
      <c r="U707" s="392"/>
      <c r="V707" s="392"/>
      <c r="W707" s="392"/>
      <c r="X707" s="392" t="s">
        <v>8341</v>
      </c>
      <c r="Y707" s="392"/>
      <c r="AA707" s="1" t="str">
        <f>IFERROR(VLOOKUP(D:D,[1]Габариты!$A:$I,9,0),"")</f>
        <v>Основной ассортимент</v>
      </c>
      <c r="AB707" s="6" t="str">
        <f>IFERROR(VLOOKUP(D:D,[1]Габариты!$A:$D,4,0),"")</f>
        <v>ПРИХОЖАЯ</v>
      </c>
      <c r="AC707" s="39" t="str">
        <f t="shared" si="159"/>
        <v>3536.09/01к</v>
      </c>
      <c r="AD707" s="13" t="str">
        <f t="shared" si="160"/>
        <v>СКГТ (ОЗОН)</v>
      </c>
    </row>
    <row r="708" spans="1:30" s="6" customFormat="1" ht="20.100000000000001" customHeight="1" x14ac:dyDescent="0.25">
      <c r="A708" s="710" t="s">
        <v>5686</v>
      </c>
      <c r="B708" s="390"/>
      <c r="C708" s="13" t="s">
        <v>4050</v>
      </c>
      <c r="D708" s="391" t="s">
        <v>8303</v>
      </c>
      <c r="E708" s="392">
        <v>10</v>
      </c>
      <c r="F708" s="393"/>
      <c r="G708" s="394"/>
      <c r="H708" s="392" t="s">
        <v>5688</v>
      </c>
      <c r="I708" s="392"/>
      <c r="J708" s="392"/>
      <c r="K708" s="393"/>
      <c r="L708" s="394"/>
      <c r="M708" s="394"/>
      <c r="N708" s="392" t="s">
        <v>8342</v>
      </c>
      <c r="O708" s="392">
        <v>1840224328</v>
      </c>
      <c r="P708" s="392">
        <v>1840224328</v>
      </c>
      <c r="Q708" s="392"/>
      <c r="R708" s="392"/>
      <c r="S708" s="392"/>
      <c r="T708" s="392"/>
      <c r="U708" s="392"/>
      <c r="V708" s="392"/>
      <c r="W708" s="392"/>
      <c r="X708" s="392" t="s">
        <v>8342</v>
      </c>
      <c r="Y708" s="392"/>
      <c r="AA708" s="1" t="str">
        <f>IFERROR(VLOOKUP(D:D,[1]Габариты!$A:$I,9,0),"")</f>
        <v>Основной ассортимент</v>
      </c>
      <c r="AB708" s="6" t="str">
        <f>IFERROR(VLOOKUP(D:D,[1]Габариты!$A:$D,4,0),"")</f>
        <v>ПРИХОЖАЯ</v>
      </c>
      <c r="AC708" s="39" t="str">
        <f t="shared" si="159"/>
        <v>3536.20/01к</v>
      </c>
      <c r="AD708" s="13" t="str">
        <f t="shared" si="160"/>
        <v>СКГТ (ОЗОН)</v>
      </c>
    </row>
    <row r="709" spans="1:30" s="6" customFormat="1" ht="20.100000000000001" customHeight="1" x14ac:dyDescent="0.25">
      <c r="A709" s="726" t="s">
        <v>5577</v>
      </c>
      <c r="B709" s="395"/>
      <c r="C709" s="13" t="s">
        <v>4050</v>
      </c>
      <c r="D709" s="396" t="s">
        <v>8322</v>
      </c>
      <c r="E709" s="392">
        <v>10</v>
      </c>
      <c r="F709" s="398"/>
      <c r="G709" s="399"/>
      <c r="H709" s="373" t="s">
        <v>8329</v>
      </c>
      <c r="I709" s="397"/>
      <c r="J709" s="397"/>
      <c r="K709" s="398"/>
      <c r="L709" s="399"/>
      <c r="M709" s="399"/>
      <c r="N709" s="397" t="s">
        <v>8642</v>
      </c>
      <c r="O709" s="397">
        <v>2055641009</v>
      </c>
      <c r="P709" s="397">
        <v>2055641009</v>
      </c>
      <c r="Q709" s="397"/>
      <c r="R709" s="397"/>
      <c r="S709" s="397"/>
      <c r="T709" s="397"/>
      <c r="U709" s="397"/>
      <c r="V709" s="397"/>
      <c r="W709" s="397"/>
      <c r="X709" s="397"/>
      <c r="Y709" s="397"/>
      <c r="AA709" s="1" t="str">
        <f>IFERROR(VLOOKUP(D:D,[1]Габариты!$A:$I,9,0),"")</f>
        <v>Основной ассортимент</v>
      </c>
      <c r="AB709" s="6" t="str">
        <f>IFERROR(VLOOKUP(D:D,[1]Габариты!$A:$D,4,0),"")</f>
        <v>ПРИХОЖАЯ</v>
      </c>
      <c r="AC709" s="39" t="str">
        <f t="shared" si="159"/>
        <v>3536.06/01к</v>
      </c>
      <c r="AD709" s="13" t="str">
        <f t="shared" ref="AD709" si="161">C709</f>
        <v>СКГТ (ОЗОН)</v>
      </c>
    </row>
    <row r="710" spans="1:30" s="6" customFormat="1" ht="20.100000000000001" customHeight="1" x14ac:dyDescent="0.25">
      <c r="A710" s="710" t="s">
        <v>6268</v>
      </c>
      <c r="B710" s="390"/>
      <c r="C710" s="13" t="s">
        <v>4050</v>
      </c>
      <c r="D710" s="391" t="s">
        <v>8313</v>
      </c>
      <c r="E710" s="100">
        <v>10</v>
      </c>
      <c r="F710" s="393"/>
      <c r="G710" s="102" t="s">
        <v>5121</v>
      </c>
      <c r="H710" s="392" t="s">
        <v>5121</v>
      </c>
      <c r="I710" s="392"/>
      <c r="J710" s="392"/>
      <c r="K710" s="393"/>
      <c r="L710" s="394"/>
      <c r="M710" s="394"/>
      <c r="N710" s="867" t="s">
        <v>8338</v>
      </c>
      <c r="O710" s="100">
        <v>1800439048</v>
      </c>
      <c r="P710" s="100">
        <v>1800439048</v>
      </c>
      <c r="Q710" s="392"/>
      <c r="R710" s="392"/>
      <c r="S710" s="392"/>
      <c r="T710" s="392"/>
      <c r="U710" s="392"/>
      <c r="V710" s="392"/>
      <c r="W710" s="392"/>
      <c r="X710" s="392" t="s">
        <v>8338</v>
      </c>
      <c r="Y710" s="392"/>
      <c r="AA710" s="1" t="str">
        <f>IFERROR(VLOOKUP(D:D,[1]Габариты!$A:$I,9,0),"")</f>
        <v>Основной ассортимент</v>
      </c>
      <c r="AB710" s="6" t="str">
        <f>IFERROR(VLOOKUP(D:D,[1]Габариты!$A:$D,4,0),"")</f>
        <v>ПРИХОЖАЯ</v>
      </c>
      <c r="AC710" s="39" t="str">
        <f t="shared" si="159"/>
        <v>3835к</v>
      </c>
      <c r="AD710" s="13" t="str">
        <f>C710</f>
        <v>СКГТ (ОЗОН)</v>
      </c>
    </row>
    <row r="711" spans="1:30" s="6" customFormat="1" ht="20.100000000000001" customHeight="1" outlineLevel="1" x14ac:dyDescent="0.2">
      <c r="A711" s="751" t="s">
        <v>8652</v>
      </c>
      <c r="B711" s="759" t="s">
        <v>5530</v>
      </c>
      <c r="C711" s="50"/>
      <c r="D711" s="39"/>
      <c r="E711" s="4"/>
      <c r="F711" s="101"/>
      <c r="G711" s="57"/>
      <c r="H711" s="4"/>
      <c r="I711" s="4"/>
      <c r="J711" s="4"/>
      <c r="K711" s="54"/>
      <c r="L711" s="57"/>
      <c r="M711" s="57"/>
      <c r="N711" s="766"/>
      <c r="O711" s="4"/>
      <c r="P711" s="4"/>
      <c r="Q711" s="767"/>
      <c r="R711" s="767"/>
      <c r="S711" s="4"/>
      <c r="T711" s="4"/>
      <c r="U711" s="4"/>
      <c r="V711" s="4"/>
      <c r="W711" s="4"/>
      <c r="X711" s="4"/>
      <c r="Y711" s="4"/>
      <c r="Z711" s="35"/>
      <c r="AA711" s="1" t="str">
        <f>IFERROR(VLOOKUP(D:D,[1]Габариты!$A:$I,9,0),"")</f>
        <v/>
      </c>
      <c r="AB711" s="6" t="str">
        <f>IFERROR(VLOOKUP(D:D,[1]Габариты!$A:$D,4,0),"")</f>
        <v/>
      </c>
      <c r="AC711" s="39"/>
      <c r="AD711" s="13"/>
    </row>
    <row r="712" spans="1:30" s="6" customFormat="1" ht="20.100000000000001" customHeight="1" x14ac:dyDescent="0.25">
      <c r="A712" s="650" t="s">
        <v>8481</v>
      </c>
      <c r="B712" s="468"/>
      <c r="C712" s="13" t="s">
        <v>4050</v>
      </c>
      <c r="D712" s="469" t="s">
        <v>8479</v>
      </c>
      <c r="E712" s="465">
        <v>13</v>
      </c>
      <c r="F712" s="466"/>
      <c r="G712" s="467"/>
      <c r="H712" s="465" t="s">
        <v>8480</v>
      </c>
      <c r="I712" s="465"/>
      <c r="J712" s="465"/>
      <c r="K712" s="466"/>
      <c r="L712" s="467"/>
      <c r="M712" s="467"/>
      <c r="N712" s="465" t="s">
        <v>8528</v>
      </c>
      <c r="O712" s="465">
        <v>1934723484</v>
      </c>
      <c r="P712" s="465">
        <v>1934723484</v>
      </c>
      <c r="Q712" s="465"/>
      <c r="R712" s="465"/>
      <c r="S712" s="465"/>
      <c r="T712" s="465"/>
      <c r="U712" s="465"/>
      <c r="V712" s="465"/>
      <c r="W712" s="465"/>
      <c r="X712" s="465"/>
      <c r="Y712" s="465"/>
      <c r="AA712" s="1" t="str">
        <f>IFERROR(VLOOKUP(D:D,[1]Габариты!$A:$I,9,0),"")</f>
        <v>Основной ассортимент</v>
      </c>
      <c r="AB712" s="6" t="str">
        <f>IFERROR(VLOOKUP(D:D,[1]Габариты!$A:$D,4,0),"")</f>
        <v>ПРИХОЖАЯ</v>
      </c>
      <c r="AC712" s="39" t="str">
        <f t="shared" si="159"/>
        <v>4168.17.05/01</v>
      </c>
      <c r="AD712" s="13" t="str">
        <f t="shared" ref="AD712" si="162">C712</f>
        <v>СКГТ (ОЗОН)</v>
      </c>
    </row>
    <row r="713" spans="1:30" s="6" customFormat="1" ht="20.100000000000001" customHeight="1" x14ac:dyDescent="0.25">
      <c r="A713" s="904" t="s">
        <v>8835</v>
      </c>
      <c r="B713" s="905"/>
      <c r="C713" s="13" t="s">
        <v>4050</v>
      </c>
      <c r="D713" s="906" t="s">
        <v>8833</v>
      </c>
      <c r="E713" s="465">
        <v>13</v>
      </c>
      <c r="F713" s="908"/>
      <c r="G713" s="909"/>
      <c r="H713" s="907" t="s">
        <v>8834</v>
      </c>
      <c r="I713" s="907"/>
      <c r="J713" s="907"/>
      <c r="K713" s="908"/>
      <c r="L713" s="909"/>
      <c r="M713" s="909"/>
      <c r="N713" s="907"/>
      <c r="O713" s="907"/>
      <c r="P713" s="907"/>
      <c r="Q713" s="907"/>
      <c r="R713" s="907"/>
      <c r="S713" s="907"/>
      <c r="T713" s="907"/>
      <c r="U713" s="907"/>
      <c r="V713" s="907"/>
      <c r="W713" s="907"/>
      <c r="X713" s="907"/>
      <c r="Y713" s="907"/>
      <c r="AA713" s="1" t="str">
        <f>IFERROR(VLOOKUP(D:D,[1]Габариты!$A:$I,9,0),"")</f>
        <v>Основной ассортимент</v>
      </c>
      <c r="AB713" s="6" t="str">
        <f>IFERROR(VLOOKUP(D:D,[1]Габариты!$A:$D,4,0),"")</f>
        <v>ПРИХОЖАЯ</v>
      </c>
      <c r="AC713" s="39" t="str">
        <f t="shared" ref="AC713" si="163">D713</f>
        <v>4168.17/01</v>
      </c>
      <c r="AD713" s="13" t="str">
        <f t="shared" ref="AD713" si="164">C713</f>
        <v>СКГТ (ОЗОН)</v>
      </c>
    </row>
    <row r="714" spans="1:30" s="6" customFormat="1" ht="20.100000000000001" customHeight="1" outlineLevel="1" x14ac:dyDescent="0.2">
      <c r="A714" s="751" t="s">
        <v>8363</v>
      </c>
      <c r="B714" s="759" t="s">
        <v>8829</v>
      </c>
      <c r="C714" s="141"/>
      <c r="D714" s="148"/>
      <c r="E714" s="143"/>
      <c r="F714" s="144"/>
      <c r="G714" s="145"/>
      <c r="H714" s="143"/>
      <c r="I714" s="143"/>
      <c r="J714" s="143"/>
      <c r="K714" s="144"/>
      <c r="L714" s="145"/>
      <c r="M714" s="145"/>
      <c r="N714" s="862"/>
      <c r="O714" s="143"/>
      <c r="P714" s="143"/>
      <c r="Q714" s="770"/>
      <c r="R714" s="770"/>
      <c r="S714" s="143"/>
      <c r="T714" s="143"/>
      <c r="U714" s="143"/>
      <c r="V714" s="143"/>
      <c r="W714" s="143"/>
      <c r="X714" s="143"/>
      <c r="Y714" s="143"/>
      <c r="Z714" s="35"/>
      <c r="AA714" s="1" t="str">
        <f>IFERROR(VLOOKUP(D:D,[1]Габариты!$A:$I,9,0),"")</f>
        <v/>
      </c>
      <c r="AB714" s="6" t="str">
        <f>IFERROR(VLOOKUP(D:D,[1]Габариты!$A:$D,4,0),"")</f>
        <v/>
      </c>
      <c r="AC714" s="39"/>
      <c r="AD714" s="13"/>
    </row>
    <row r="715" spans="1:30" s="6" customFormat="1" ht="20.100000000000001" customHeight="1" outlineLevel="1" x14ac:dyDescent="0.25">
      <c r="A715" s="710" t="s">
        <v>8364</v>
      </c>
      <c r="B715" s="410"/>
      <c r="C715" s="13" t="s">
        <v>2582</v>
      </c>
      <c r="D715" s="411" t="s">
        <v>4636</v>
      </c>
      <c r="E715" s="407">
        <v>10</v>
      </c>
      <c r="F715" s="408" t="s">
        <v>4636</v>
      </c>
      <c r="G715" s="409"/>
      <c r="H715" s="407" t="s">
        <v>5245</v>
      </c>
      <c r="I715" s="407"/>
      <c r="J715" s="407"/>
      <c r="K715" s="408"/>
      <c r="L715" s="409"/>
      <c r="M715" s="409"/>
      <c r="N715" s="873" t="s">
        <v>4636</v>
      </c>
      <c r="O715" s="407">
        <v>1871529416</v>
      </c>
      <c r="P715" s="407">
        <v>1871529416</v>
      </c>
      <c r="Q715" s="874"/>
      <c r="R715" s="874"/>
      <c r="S715" s="407"/>
      <c r="T715" s="407"/>
      <c r="U715" s="407"/>
      <c r="V715" s="407"/>
      <c r="W715" s="407"/>
      <c r="X715" s="407"/>
      <c r="Y715" s="407"/>
      <c r="Z715" s="35"/>
      <c r="AA715" s="1" t="str">
        <f>IFERROR(VLOOKUP(D:D,[1]Габариты!$A:$I,9,0),"")</f>
        <v>Основной ассортимент</v>
      </c>
      <c r="AB715" s="6" t="str">
        <f>IFERROR(VLOOKUP(D:D,[1]Габариты!$A:$D,4,0),"")</f>
        <v>ОРГАНАЙЗЕР</v>
      </c>
      <c r="AC715" s="39" t="str">
        <f t="shared" si="159"/>
        <v>ПШ.271.55</v>
      </c>
      <c r="AD715" s="13" t="str">
        <f t="shared" ref="AD715:AD718" si="165">C715</f>
        <v>FBO</v>
      </c>
    </row>
    <row r="716" spans="1:30" s="6" customFormat="1" ht="20.100000000000001" customHeight="1" outlineLevel="1" x14ac:dyDescent="0.25">
      <c r="A716" s="710" t="s">
        <v>8365</v>
      </c>
      <c r="B716" s="410"/>
      <c r="C716" s="13" t="s">
        <v>2582</v>
      </c>
      <c r="D716" s="411" t="s">
        <v>4609</v>
      </c>
      <c r="E716" s="407">
        <v>8</v>
      </c>
      <c r="F716" s="408" t="s">
        <v>4609</v>
      </c>
      <c r="G716" s="409"/>
      <c r="H716" s="407" t="s">
        <v>5270</v>
      </c>
      <c r="I716" s="407"/>
      <c r="J716" s="407"/>
      <c r="K716" s="408"/>
      <c r="L716" s="409"/>
      <c r="M716" s="409"/>
      <c r="N716" s="873" t="s">
        <v>4609</v>
      </c>
      <c r="O716" s="407">
        <v>1871527053</v>
      </c>
      <c r="P716" s="407">
        <v>1871527053</v>
      </c>
      <c r="Q716" s="874"/>
      <c r="R716" s="874"/>
      <c r="S716" s="407"/>
      <c r="T716" s="407"/>
      <c r="U716" s="407"/>
      <c r="V716" s="407"/>
      <c r="W716" s="407"/>
      <c r="X716" s="407"/>
      <c r="Y716" s="407"/>
      <c r="Z716" s="35"/>
      <c r="AA716" s="1" t="str">
        <f>IFERROR(VLOOKUP(D:D,[1]Габариты!$A:$I,9,0),"")</f>
        <v>Основной ассортимент</v>
      </c>
      <c r="AB716" s="6" t="str">
        <f>IFERROR(VLOOKUP(D:D,[1]Габариты!$A:$D,4,0),"")</f>
        <v>ОРГАНАЙЗЕР</v>
      </c>
      <c r="AC716" s="39" t="str">
        <f t="shared" si="159"/>
        <v>ПШ.280.62</v>
      </c>
      <c r="AD716" s="13" t="str">
        <f t="shared" si="165"/>
        <v>FBO</v>
      </c>
    </row>
    <row r="717" spans="1:30" s="6" customFormat="1" ht="20.100000000000001" customHeight="1" outlineLevel="1" x14ac:dyDescent="0.25">
      <c r="A717" s="710" t="s">
        <v>8366</v>
      </c>
      <c r="B717" s="410"/>
      <c r="C717" s="13" t="s">
        <v>2582</v>
      </c>
      <c r="D717" s="411" t="s">
        <v>5919</v>
      </c>
      <c r="E717" s="407">
        <v>10</v>
      </c>
      <c r="F717" s="408" t="s">
        <v>5919</v>
      </c>
      <c r="G717" s="409"/>
      <c r="H717" s="407" t="s">
        <v>5952</v>
      </c>
      <c r="I717" s="407"/>
      <c r="J717" s="407"/>
      <c r="K717" s="408"/>
      <c r="L717" s="409"/>
      <c r="M717" s="409"/>
      <c r="N717" s="873" t="s">
        <v>5919</v>
      </c>
      <c r="O717" s="407">
        <v>1871522456</v>
      </c>
      <c r="P717" s="407">
        <v>1871522456</v>
      </c>
      <c r="Q717" s="874"/>
      <c r="R717" s="874"/>
      <c r="S717" s="407"/>
      <c r="T717" s="407"/>
      <c r="U717" s="407"/>
      <c r="V717" s="407"/>
      <c r="W717" s="407"/>
      <c r="X717" s="407"/>
      <c r="Y717" s="407"/>
      <c r="Z717" s="35"/>
      <c r="AA717" s="1" t="str">
        <f>IFERROR(VLOOKUP(D:D,[1]Габариты!$A:$I,9,0),"")</f>
        <v>Основной ассортимент</v>
      </c>
      <c r="AB717" s="6" t="str">
        <f>IFERROR(VLOOKUP(D:D,[1]Габариты!$A:$D,4,0),"")</f>
        <v>ОРГАНАЙЗЕР</v>
      </c>
      <c r="AC717" s="39" t="str">
        <f t="shared" si="159"/>
        <v>ПШ.281.53</v>
      </c>
      <c r="AD717" s="13" t="str">
        <f t="shared" si="165"/>
        <v>FBO</v>
      </c>
    </row>
    <row r="718" spans="1:30" s="6" customFormat="1" ht="20.100000000000001" customHeight="1" outlineLevel="1" x14ac:dyDescent="0.25">
      <c r="A718" s="726" t="s">
        <v>8367</v>
      </c>
      <c r="B718" s="410"/>
      <c r="C718" s="13" t="s">
        <v>2582</v>
      </c>
      <c r="D718" s="411" t="s">
        <v>5506</v>
      </c>
      <c r="E718" s="407">
        <v>5</v>
      </c>
      <c r="F718" s="408" t="s">
        <v>5506</v>
      </c>
      <c r="G718" s="409"/>
      <c r="H718" s="407" t="s">
        <v>5467</v>
      </c>
      <c r="I718" s="407"/>
      <c r="J718" s="407"/>
      <c r="K718" s="408"/>
      <c r="L718" s="409"/>
      <c r="M718" s="409"/>
      <c r="N718" s="873" t="s">
        <v>5506</v>
      </c>
      <c r="O718" s="407">
        <v>1871502008</v>
      </c>
      <c r="P718" s="407">
        <v>1871502008</v>
      </c>
      <c r="Q718" s="874"/>
      <c r="R718" s="874"/>
      <c r="S718" s="407"/>
      <c r="T718" s="407"/>
      <c r="U718" s="407"/>
      <c r="V718" s="407"/>
      <c r="W718" s="407"/>
      <c r="X718" s="407"/>
      <c r="Y718" s="407"/>
      <c r="Z718" s="35"/>
      <c r="AA718" s="1" t="str">
        <f>IFERROR(VLOOKUP(D:D,[1]Габариты!$A:$I,9,0),"")</f>
        <v>Основной ассортимент</v>
      </c>
      <c r="AB718" s="6" t="str">
        <f>IFERROR(VLOOKUP(D:D,[1]Габариты!$A:$D,4,0),"")</f>
        <v>ОРГАНАЙЗЕР</v>
      </c>
      <c r="AC718" s="39" t="str">
        <f t="shared" si="159"/>
        <v>ПШ.354.51</v>
      </c>
      <c r="AD718" s="13" t="str">
        <f t="shared" si="165"/>
        <v>FBO</v>
      </c>
    </row>
    <row r="719" spans="1:30" s="6" customFormat="1" ht="20.100000000000001" customHeight="1" outlineLevel="1" x14ac:dyDescent="0.25">
      <c r="A719" s="658" t="s">
        <v>8620</v>
      </c>
      <c r="B719" s="527"/>
      <c r="C719" s="13" t="s">
        <v>2582</v>
      </c>
      <c r="D719" s="528" t="s">
        <v>4611</v>
      </c>
      <c r="E719" s="529"/>
      <c r="F719" s="530"/>
      <c r="G719" s="531" t="s">
        <v>8632</v>
      </c>
      <c r="H719" s="529" t="s">
        <v>8617</v>
      </c>
      <c r="I719" s="529"/>
      <c r="J719" s="529"/>
      <c r="K719" s="530"/>
      <c r="L719" s="531"/>
      <c r="M719" s="531"/>
      <c r="N719" s="875" t="s">
        <v>8720</v>
      </c>
      <c r="O719" s="529">
        <v>1525332206</v>
      </c>
      <c r="P719" s="529">
        <v>1525332206</v>
      </c>
      <c r="Q719" s="798"/>
      <c r="R719" s="798"/>
      <c r="S719" s="529"/>
      <c r="T719" s="529"/>
      <c r="U719" s="529"/>
      <c r="V719" s="529"/>
      <c r="W719" s="529"/>
      <c r="X719" s="529"/>
      <c r="Y719" s="529"/>
      <c r="Z719" s="35"/>
      <c r="AA719" s="1" t="str">
        <f>IFERROR(VLOOKUP(D:D,[1]Габариты!$A:$I,9,0),"")</f>
        <v>Вакансия</v>
      </c>
      <c r="AB719" s="6" t="str">
        <f>IFERROR(VLOOKUP(D:D,[1]Габариты!$A:$D,4,0),"")</f>
        <v>ОРГАНАЙЗЕР</v>
      </c>
      <c r="AC719" s="39" t="str">
        <f t="shared" ref="AC719:AC721" si="166">D719</f>
        <v>ПШ28054</v>
      </c>
      <c r="AD719" s="13" t="str">
        <f t="shared" ref="AD719:AD721" si="167">C719</f>
        <v>FBO</v>
      </c>
    </row>
    <row r="720" spans="1:30" s="6" customFormat="1" ht="20.100000000000001" customHeight="1" outlineLevel="1" x14ac:dyDescent="0.25">
      <c r="A720" s="658" t="s">
        <v>8621</v>
      </c>
      <c r="B720" s="527"/>
      <c r="C720" s="13" t="s">
        <v>2582</v>
      </c>
      <c r="D720" s="528" t="s">
        <v>5291</v>
      </c>
      <c r="E720" s="529"/>
      <c r="F720" s="530"/>
      <c r="G720" s="531" t="s">
        <v>8633</v>
      </c>
      <c r="H720" s="529" t="s">
        <v>8618</v>
      </c>
      <c r="I720" s="529"/>
      <c r="J720" s="529"/>
      <c r="K720" s="530" t="s">
        <v>8635</v>
      </c>
      <c r="L720" s="531">
        <v>1629690925</v>
      </c>
      <c r="M720" s="531">
        <v>1629690925</v>
      </c>
      <c r="N720" s="875" t="s">
        <v>8850</v>
      </c>
      <c r="O720" s="529"/>
      <c r="P720" s="529"/>
      <c r="Q720" s="798"/>
      <c r="R720" s="798"/>
      <c r="S720" s="529"/>
      <c r="T720" s="529"/>
      <c r="U720" s="529"/>
      <c r="V720" s="529"/>
      <c r="W720" s="529"/>
      <c r="X720" s="529"/>
      <c r="Y720" s="529"/>
      <c r="Z720" s="35"/>
      <c r="AA720" s="1" t="str">
        <f>IFERROR(VLOOKUP(D:D,[1]Габариты!$A:$I,9,0),"")</f>
        <v>Вакансия</v>
      </c>
      <c r="AB720" s="6" t="str">
        <f>IFERROR(VLOOKUP(D:D,[1]Габариты!$A:$D,4,0),"")</f>
        <v>ОРГАНАЙЗЕР</v>
      </c>
      <c r="AC720" s="39" t="str">
        <f t="shared" si="166"/>
        <v>ПШ28167</v>
      </c>
      <c r="AD720" s="13" t="str">
        <f t="shared" si="167"/>
        <v>FBO</v>
      </c>
    </row>
    <row r="721" spans="1:30" s="6" customFormat="1" ht="20.100000000000001" customHeight="1" outlineLevel="1" x14ac:dyDescent="0.25">
      <c r="A721" s="658" t="s">
        <v>8622</v>
      </c>
      <c r="B721" s="527"/>
      <c r="C721" s="13" t="s">
        <v>2582</v>
      </c>
      <c r="D721" s="528" t="s">
        <v>6057</v>
      </c>
      <c r="E721" s="529"/>
      <c r="F721" s="530"/>
      <c r="G721" s="531" t="s">
        <v>8634</v>
      </c>
      <c r="H721" s="529" t="s">
        <v>8619</v>
      </c>
      <c r="I721" s="529"/>
      <c r="J721" s="529"/>
      <c r="K721" s="530" t="s">
        <v>8636</v>
      </c>
      <c r="L721" s="531">
        <v>1767267523</v>
      </c>
      <c r="M721" s="531">
        <v>1767267523</v>
      </c>
      <c r="N721" s="876" t="s">
        <v>8852</v>
      </c>
      <c r="O721" s="529"/>
      <c r="P721" s="529"/>
      <c r="Q721" s="798"/>
      <c r="R721" s="798"/>
      <c r="S721" s="529"/>
      <c r="T721" s="529"/>
      <c r="U721" s="529"/>
      <c r="V721" s="529"/>
      <c r="W721" s="529"/>
      <c r="X721" s="529"/>
      <c r="Y721" s="529"/>
      <c r="Z721" s="35"/>
      <c r="AA721" s="1" t="str">
        <f>IFERROR(VLOOKUP(D:D,[1]Габариты!$A:$I,9,0),"")</f>
        <v>Вакансия</v>
      </c>
      <c r="AB721" s="6" t="str">
        <f>IFERROR(VLOOKUP(D:D,[1]Габариты!$A:$D,4,0),"")</f>
        <v>ОРГАНАЙЗЕР</v>
      </c>
      <c r="AC721" s="39" t="str">
        <f t="shared" si="166"/>
        <v>ПШ27976</v>
      </c>
      <c r="AD721" s="13" t="str">
        <f t="shared" si="167"/>
        <v>FBO</v>
      </c>
    </row>
    <row r="722" spans="1:30" s="6" customFormat="1" ht="20.100000000000001" customHeight="1" outlineLevel="1" x14ac:dyDescent="0.2">
      <c r="A722" s="754" t="s">
        <v>7511</v>
      </c>
      <c r="B722" s="754" t="s">
        <v>5530</v>
      </c>
      <c r="C722" s="139"/>
      <c r="D722" s="138"/>
      <c r="E722" s="135"/>
      <c r="F722" s="136"/>
      <c r="G722" s="137"/>
      <c r="H722" s="135"/>
      <c r="I722" s="135"/>
      <c r="J722" s="135"/>
      <c r="K722" s="136"/>
      <c r="L722" s="137"/>
      <c r="M722" s="137"/>
      <c r="N722" s="135"/>
      <c r="O722" s="135"/>
      <c r="P722" s="135"/>
      <c r="Q722" s="877"/>
      <c r="R722" s="135"/>
      <c r="S722" s="135"/>
      <c r="T722" s="135"/>
      <c r="U722" s="135"/>
      <c r="V722" s="135"/>
      <c r="W722" s="135"/>
      <c r="X722" s="135"/>
      <c r="Y722" s="135"/>
      <c r="AA722" s="1" t="str">
        <f>IFERROR(VLOOKUP(D:D,[1]Габариты!$A:$I,9,0),"")</f>
        <v/>
      </c>
      <c r="AB722" s="6" t="str">
        <f>IFERROR(VLOOKUP(D:D,[1]Габариты!$A:$D,4,0),"")</f>
        <v/>
      </c>
      <c r="AC722" s="39"/>
      <c r="AD722" s="361"/>
    </row>
    <row r="723" spans="1:30" s="6" customFormat="1" ht="20.100000000000001" customHeight="1" outlineLevel="1" x14ac:dyDescent="0.25">
      <c r="A723" s="727" t="s">
        <v>7516</v>
      </c>
      <c r="B723" s="133"/>
      <c r="C723" s="139"/>
      <c r="D723" s="138" t="s">
        <v>7512</v>
      </c>
      <c r="E723" s="135"/>
      <c r="F723" s="136" t="s">
        <v>8277</v>
      </c>
      <c r="G723" s="137"/>
      <c r="H723" s="135"/>
      <c r="I723" s="135"/>
      <c r="J723" s="135"/>
      <c r="K723" s="136"/>
      <c r="L723" s="137"/>
      <c r="M723" s="137"/>
      <c r="N723" s="135"/>
      <c r="O723" s="135"/>
      <c r="P723" s="135"/>
      <c r="Q723" s="877"/>
      <c r="R723" s="135"/>
      <c r="S723" s="135"/>
      <c r="T723" s="135"/>
      <c r="U723" s="135"/>
      <c r="V723" s="135"/>
      <c r="W723" s="135"/>
      <c r="X723" s="135"/>
      <c r="Y723" s="135"/>
      <c r="AA723" s="1" t="str">
        <f>IFERROR(VLOOKUP(D:D,[1]Габариты!$A:$I,9,0),"")</f>
        <v>Основной ассортимент</v>
      </c>
      <c r="AB723" s="6" t="str">
        <f>IFERROR(VLOOKUP(D:D,[1]Габариты!$A:$D,4,0),"")</f>
        <v>ФУРНИТУРА</v>
      </c>
      <c r="AC723" s="39" t="str">
        <f t="shared" si="159"/>
        <v>7701.Р.1</v>
      </c>
      <c r="AD723" s="361"/>
    </row>
    <row r="724" spans="1:30" s="6" customFormat="1" ht="20.100000000000001" customHeight="1" outlineLevel="1" x14ac:dyDescent="0.25">
      <c r="A724" s="727" t="s">
        <v>7517</v>
      </c>
      <c r="B724" s="133"/>
      <c r="C724" s="139"/>
      <c r="D724" s="138" t="s">
        <v>7513</v>
      </c>
      <c r="E724" s="135"/>
      <c r="F724" s="136" t="s">
        <v>8278</v>
      </c>
      <c r="G724" s="137"/>
      <c r="H724" s="135"/>
      <c r="I724" s="135"/>
      <c r="J724" s="135"/>
      <c r="K724" s="136"/>
      <c r="L724" s="137"/>
      <c r="M724" s="137"/>
      <c r="N724" s="135"/>
      <c r="O724" s="135"/>
      <c r="P724" s="135"/>
      <c r="Q724" s="877"/>
      <c r="R724" s="135"/>
      <c r="S724" s="135"/>
      <c r="T724" s="135"/>
      <c r="U724" s="135"/>
      <c r="V724" s="135"/>
      <c r="W724" s="135"/>
      <c r="X724" s="135"/>
      <c r="Y724" s="135"/>
      <c r="AA724" s="1" t="str">
        <f>IFERROR(VLOOKUP(D:D,[1]Габариты!$A:$I,9,0),"")</f>
        <v>Основной ассортимент</v>
      </c>
      <c r="AB724" s="6" t="str">
        <f>IFERROR(VLOOKUP(D:D,[1]Габариты!$A:$D,4,0),"")</f>
        <v>ФУРНИТУРА</v>
      </c>
      <c r="AC724" s="39" t="str">
        <f t="shared" si="159"/>
        <v>7702.Р.1</v>
      </c>
      <c r="AD724" s="361"/>
    </row>
    <row r="725" spans="1:30" s="6" customFormat="1" ht="20.100000000000001" customHeight="1" outlineLevel="1" x14ac:dyDescent="0.25">
      <c r="A725" s="727" t="s">
        <v>7518</v>
      </c>
      <c r="B725" s="133"/>
      <c r="C725" s="139"/>
      <c r="D725" s="138" t="s">
        <v>7514</v>
      </c>
      <c r="E725" s="135"/>
      <c r="F725" s="136" t="s">
        <v>8279</v>
      </c>
      <c r="G725" s="137"/>
      <c r="H725" s="135"/>
      <c r="I725" s="135"/>
      <c r="J725" s="135"/>
      <c r="K725" s="136"/>
      <c r="L725" s="137"/>
      <c r="M725" s="137"/>
      <c r="N725" s="135"/>
      <c r="O725" s="135"/>
      <c r="P725" s="135"/>
      <c r="Q725" s="877"/>
      <c r="R725" s="135"/>
      <c r="S725" s="135"/>
      <c r="T725" s="135"/>
      <c r="U725" s="135"/>
      <c r="V725" s="135"/>
      <c r="W725" s="135"/>
      <c r="X725" s="135"/>
      <c r="Y725" s="135"/>
      <c r="AA725" s="1" t="str">
        <f>IFERROR(VLOOKUP(D:D,[1]Габариты!$A:$I,9,0),"")</f>
        <v>Основной ассортимент</v>
      </c>
      <c r="AB725" s="6" t="str">
        <f>IFERROR(VLOOKUP(D:D,[1]Габариты!$A:$D,4,0),"")</f>
        <v>ФУРНИТУРА</v>
      </c>
      <c r="AC725" s="39" t="str">
        <f t="shared" si="159"/>
        <v>8802.О.1</v>
      </c>
      <c r="AD725" s="361"/>
    </row>
    <row r="726" spans="1:30" s="6" customFormat="1" ht="20.100000000000001" customHeight="1" outlineLevel="1" x14ac:dyDescent="0.25">
      <c r="A726" s="727" t="s">
        <v>7519</v>
      </c>
      <c r="B726" s="133"/>
      <c r="C726" s="139"/>
      <c r="D726" s="138" t="s">
        <v>7515</v>
      </c>
      <c r="E726" s="135"/>
      <c r="F726" s="136" t="s">
        <v>8280</v>
      </c>
      <c r="G726" s="137"/>
      <c r="H726" s="135"/>
      <c r="I726" s="135"/>
      <c r="J726" s="135"/>
      <c r="K726" s="136"/>
      <c r="L726" s="137"/>
      <c r="M726" s="137"/>
      <c r="N726" s="135"/>
      <c r="O726" s="135"/>
      <c r="P726" s="135"/>
      <c r="Q726" s="877"/>
      <c r="R726" s="135"/>
      <c r="S726" s="135"/>
      <c r="T726" s="135"/>
      <c r="U726" s="135"/>
      <c r="V726" s="135"/>
      <c r="W726" s="135"/>
      <c r="X726" s="135"/>
      <c r="Y726" s="135"/>
      <c r="AA726" s="1" t="str">
        <f>IFERROR(VLOOKUP(D:D,[1]Габариты!$A:$I,9,0),"")</f>
        <v>Основной ассортимент</v>
      </c>
      <c r="AB726" s="6" t="str">
        <f>IFERROR(VLOOKUP(D:D,[1]Габариты!$A:$D,4,0),"")</f>
        <v>ФУРНИТУРА</v>
      </c>
      <c r="AC726" s="39" t="str">
        <f t="shared" si="159"/>
        <v>8801.О.1</v>
      </c>
      <c r="AD726" s="361"/>
    </row>
    <row r="727" spans="1:30" s="6" customFormat="1" ht="20.100000000000001" customHeight="1" outlineLevel="1" x14ac:dyDescent="0.2">
      <c r="A727" s="754" t="s">
        <v>7511</v>
      </c>
      <c r="B727" s="754" t="s">
        <v>7774</v>
      </c>
      <c r="C727" s="139"/>
      <c r="D727" s="138"/>
      <c r="E727" s="135"/>
      <c r="F727" s="136"/>
      <c r="G727" s="137"/>
      <c r="H727" s="135"/>
      <c r="I727" s="135"/>
      <c r="J727" s="135"/>
      <c r="K727" s="136"/>
      <c r="L727" s="137"/>
      <c r="M727" s="137"/>
      <c r="N727" s="135"/>
      <c r="O727" s="135"/>
      <c r="P727" s="135"/>
      <c r="Q727" s="877"/>
      <c r="R727" s="135"/>
      <c r="S727" s="135"/>
      <c r="T727" s="135"/>
      <c r="U727" s="135"/>
      <c r="V727" s="135"/>
      <c r="W727" s="135"/>
      <c r="X727" s="135"/>
      <c r="Y727" s="135"/>
      <c r="AA727" s="1" t="str">
        <f>IFERROR(VLOOKUP(D:D,[1]Габариты!$A:$I,9,0),"")</f>
        <v/>
      </c>
      <c r="AB727" s="6" t="str">
        <f>IFERROR(VLOOKUP(D:D,[1]Габариты!$A:$D,4,0),"")</f>
        <v/>
      </c>
      <c r="AC727" s="39"/>
      <c r="AD727" s="361"/>
    </row>
    <row r="728" spans="1:30" s="6" customFormat="1" ht="20.100000000000001" customHeight="1" x14ac:dyDescent="0.25">
      <c r="A728" s="699" t="s">
        <v>8155</v>
      </c>
      <c r="B728" s="338"/>
      <c r="C728" s="13" t="s">
        <v>4050</v>
      </c>
      <c r="D728" s="340" t="s">
        <v>8154</v>
      </c>
      <c r="E728" s="335"/>
      <c r="F728" s="336" t="s">
        <v>8154</v>
      </c>
      <c r="G728" s="337"/>
      <c r="H728" s="335"/>
      <c r="I728" s="335"/>
      <c r="J728" s="335"/>
      <c r="K728" s="336"/>
      <c r="L728" s="337"/>
      <c r="M728" s="337"/>
      <c r="N728" s="335"/>
      <c r="O728" s="335"/>
      <c r="P728" s="335"/>
      <c r="Q728" s="335"/>
      <c r="R728" s="335"/>
      <c r="S728" s="335"/>
      <c r="T728" s="335"/>
      <c r="U728" s="335"/>
      <c r="V728" s="335"/>
      <c r="W728" s="335"/>
      <c r="X728" s="335"/>
      <c r="Y728" s="335"/>
      <c r="AA728" s="1" t="str">
        <f>IFERROR(VLOOKUP(D:D,[1]Габариты!$A:$I,9,0),"")</f>
        <v>Основной ассортимент</v>
      </c>
      <c r="AB728" s="6" t="str">
        <f>IFERROR(VLOOKUP(D:D,[1]Габариты!$A:$D,4,0),"")</f>
        <v>ФУРНИТУРА</v>
      </c>
      <c r="AC728" s="39" t="str">
        <f t="shared" si="159"/>
        <v>12001.Р.3</v>
      </c>
      <c r="AD728" s="13" t="str">
        <f>C728</f>
        <v>СКГТ (ОЗОН)</v>
      </c>
    </row>
    <row r="729" spans="1:30" s="1" customFormat="1" ht="20.100000000000001" customHeight="1" outlineLevel="1" x14ac:dyDescent="0.2">
      <c r="A729" s="752" t="s">
        <v>430</v>
      </c>
      <c r="B729" s="756" t="s">
        <v>3846</v>
      </c>
      <c r="C729" s="13"/>
      <c r="D729" s="761"/>
      <c r="E729" s="762"/>
      <c r="F729" s="101"/>
      <c r="G729" s="57"/>
      <c r="H729" s="4"/>
      <c r="I729" s="4"/>
      <c r="J729" s="4"/>
      <c r="K729" s="54"/>
      <c r="L729" s="57"/>
      <c r="M729" s="57"/>
      <c r="N729" s="766"/>
      <c r="O729" s="766"/>
      <c r="P729" s="766"/>
      <c r="Q729" s="767"/>
      <c r="R729" s="767"/>
      <c r="S729" s="766"/>
      <c r="T729" s="4"/>
      <c r="U729" s="4"/>
      <c r="V729" s="4"/>
      <c r="W729" s="4"/>
      <c r="X729" s="4"/>
      <c r="Y729" s="4" t="s">
        <v>4066</v>
      </c>
      <c r="AA729" s="1" t="str">
        <f>IFERROR(VLOOKUP(D:D,[1]Габариты!$A:$I,9,0),"")</f>
        <v/>
      </c>
      <c r="AB729" s="6" t="str">
        <f>IFERROR(VLOOKUP(D:D,[1]Габариты!$A:$D,4,0),"")</f>
        <v/>
      </c>
      <c r="AC729" s="39"/>
      <c r="AD729" s="3"/>
    </row>
    <row r="730" spans="1:30" s="6" customFormat="1" ht="20.100000000000001" customHeight="1" outlineLevel="1" x14ac:dyDescent="0.25">
      <c r="A730" s="665" t="s">
        <v>275</v>
      </c>
      <c r="B730" s="2"/>
      <c r="C730" s="13" t="s">
        <v>3172</v>
      </c>
      <c r="D730" s="39">
        <v>3036</v>
      </c>
      <c r="E730" s="4">
        <v>44</v>
      </c>
      <c r="F730" s="101">
        <v>3036</v>
      </c>
      <c r="G730" s="57"/>
      <c r="H730" s="4"/>
      <c r="I730" s="4"/>
      <c r="J730" s="4"/>
      <c r="K730" s="54"/>
      <c r="L730" s="57"/>
      <c r="M730" s="57"/>
      <c r="N730" s="4" t="s">
        <v>823</v>
      </c>
      <c r="O730" s="4">
        <v>273094686</v>
      </c>
      <c r="P730" s="4">
        <v>273094704</v>
      </c>
      <c r="Q730" s="878" t="s">
        <v>2673</v>
      </c>
      <c r="R730" s="767">
        <v>357071854</v>
      </c>
      <c r="S730" s="4">
        <v>357071853</v>
      </c>
      <c r="T730" s="4"/>
      <c r="U730" s="4"/>
      <c r="V730" s="4"/>
      <c r="W730" s="4" t="s">
        <v>2092</v>
      </c>
      <c r="X730" s="4" t="s">
        <v>823</v>
      </c>
      <c r="Y730" s="4" t="s">
        <v>4066</v>
      </c>
      <c r="Z730" s="35"/>
      <c r="AA730" s="1" t="str">
        <f>IFERROR(VLOOKUP(D:D,[1]Габариты!$A:$I,9,0),"")</f>
        <v>Вакансия</v>
      </c>
      <c r="AB730" s="6" t="str">
        <f>IFERROR(VLOOKUP(D:D,[1]Габариты!$A:$D,4,0),"")</f>
        <v>ВЕШАЛКИ</v>
      </c>
      <c r="AC730" s="39">
        <f t="shared" si="159"/>
        <v>3036</v>
      </c>
      <c r="AD730" s="13" t="str">
        <f t="shared" si="139"/>
        <v xml:space="preserve">СКГТ </v>
      </c>
    </row>
    <row r="731" spans="1:30" s="6" customFormat="1" ht="20.100000000000001" customHeight="1" outlineLevel="1" x14ac:dyDescent="0.25">
      <c r="A731" s="635" t="s">
        <v>110</v>
      </c>
      <c r="B731" s="3"/>
      <c r="C731" s="13" t="s">
        <v>3172</v>
      </c>
      <c r="D731" s="39">
        <v>2487</v>
      </c>
      <c r="E731" s="4">
        <v>40</v>
      </c>
      <c r="F731" s="101">
        <v>2487</v>
      </c>
      <c r="G731" s="57"/>
      <c r="H731" s="4"/>
      <c r="I731" s="4"/>
      <c r="J731" s="4"/>
      <c r="K731" s="54"/>
      <c r="L731" s="57"/>
      <c r="M731" s="57"/>
      <c r="N731" s="4" t="s">
        <v>584</v>
      </c>
      <c r="O731" s="4">
        <v>264407938</v>
      </c>
      <c r="P731" s="4">
        <v>264407947</v>
      </c>
      <c r="Q731" s="767" t="s">
        <v>2675</v>
      </c>
      <c r="R731" s="767">
        <v>358395403</v>
      </c>
      <c r="S731" s="4">
        <v>358395404</v>
      </c>
      <c r="T731" s="4"/>
      <c r="U731" s="4"/>
      <c r="V731" s="4"/>
      <c r="W731" s="4" t="s">
        <v>2095</v>
      </c>
      <c r="X731" s="4" t="s">
        <v>584</v>
      </c>
      <c r="Y731" s="4" t="s">
        <v>4066</v>
      </c>
      <c r="Z731" s="35"/>
      <c r="AA731" s="1" t="str">
        <f>IFERROR(VLOOKUP(D:D,[1]Габариты!$A:$I,9,0),"")</f>
        <v>Вакансия</v>
      </c>
      <c r="AB731" s="6" t="str">
        <f>IFERROR(VLOOKUP(D:D,[1]Габариты!$A:$D,4,0),"")</f>
        <v>ВЕШАЛКИ</v>
      </c>
      <c r="AC731" s="39">
        <f t="shared" si="159"/>
        <v>2487</v>
      </c>
      <c r="AD731" s="13" t="str">
        <f t="shared" si="139"/>
        <v xml:space="preserve">СКГТ </v>
      </c>
    </row>
    <row r="732" spans="1:30" s="6" customFormat="1" ht="20.100000000000001" customHeight="1" outlineLevel="1" x14ac:dyDescent="0.25">
      <c r="A732" s="665" t="s">
        <v>155</v>
      </c>
      <c r="B732" s="2"/>
      <c r="C732" s="13" t="s">
        <v>3172</v>
      </c>
      <c r="D732" s="39">
        <v>2653</v>
      </c>
      <c r="E732" s="4">
        <v>40</v>
      </c>
      <c r="F732" s="101">
        <v>2653</v>
      </c>
      <c r="G732" s="57"/>
      <c r="H732" s="4"/>
      <c r="I732" s="4"/>
      <c r="J732" s="4"/>
      <c r="K732" s="54" t="s">
        <v>2093</v>
      </c>
      <c r="L732" s="57">
        <v>266754427</v>
      </c>
      <c r="M732" s="57">
        <v>266754427</v>
      </c>
      <c r="N732" s="766"/>
      <c r="O732" s="4"/>
      <c r="P732" s="4"/>
      <c r="Q732" s="767"/>
      <c r="R732" s="767"/>
      <c r="S732" s="4"/>
      <c r="T732" s="4"/>
      <c r="U732" s="4"/>
      <c r="V732" s="4"/>
      <c r="W732" s="4" t="s">
        <v>2093</v>
      </c>
      <c r="X732" s="4" t="s">
        <v>824</v>
      </c>
      <c r="Y732" s="4" t="s">
        <v>4066</v>
      </c>
      <c r="Z732" s="35"/>
      <c r="AA732" s="1" t="str">
        <f>IFERROR(VLOOKUP(D:D,[1]Габариты!$A:$I,9,0),"")</f>
        <v>Вакансия</v>
      </c>
      <c r="AB732" s="6" t="str">
        <f>IFERROR(VLOOKUP(D:D,[1]Габариты!$A:$D,4,0),"")</f>
        <v>ВЕШАЛКИ</v>
      </c>
      <c r="AC732" s="39">
        <f t="shared" si="159"/>
        <v>2653</v>
      </c>
      <c r="AD732" s="13" t="str">
        <f t="shared" si="139"/>
        <v xml:space="preserve">СКГТ </v>
      </c>
    </row>
    <row r="733" spans="1:30" s="6" customFormat="1" ht="20.100000000000001" customHeight="1" outlineLevel="1" x14ac:dyDescent="0.25">
      <c r="A733" s="635" t="s">
        <v>114</v>
      </c>
      <c r="B733" s="3"/>
      <c r="C733" s="13" t="s">
        <v>3172</v>
      </c>
      <c r="D733" s="39">
        <v>2488</v>
      </c>
      <c r="E733" s="4">
        <v>40</v>
      </c>
      <c r="F733" s="101">
        <v>2488</v>
      </c>
      <c r="G733" s="57"/>
      <c r="H733" s="4" t="s">
        <v>7014</v>
      </c>
      <c r="I733" s="4"/>
      <c r="J733" s="4"/>
      <c r="K733" s="54" t="s">
        <v>2094</v>
      </c>
      <c r="L733" s="57">
        <v>202250463</v>
      </c>
      <c r="M733" s="57">
        <v>202250463</v>
      </c>
      <c r="N733" s="36" t="s">
        <v>818</v>
      </c>
      <c r="O733" s="4">
        <v>264405683</v>
      </c>
      <c r="P733" s="4">
        <v>264405688</v>
      </c>
      <c r="Q733" s="767" t="s">
        <v>2674</v>
      </c>
      <c r="R733" s="767">
        <v>370814660</v>
      </c>
      <c r="S733" s="4">
        <v>370814661</v>
      </c>
      <c r="T733" s="4"/>
      <c r="U733" s="4"/>
      <c r="V733" s="4"/>
      <c r="W733" s="4" t="s">
        <v>2094</v>
      </c>
      <c r="X733" s="4" t="s">
        <v>818</v>
      </c>
      <c r="Y733" s="4" t="s">
        <v>4066</v>
      </c>
      <c r="Z733" s="35"/>
      <c r="AA733" s="1" t="str">
        <f>IFERROR(VLOOKUP(D:D,[1]Габариты!$A:$I,9,0),"")</f>
        <v>Вакансия</v>
      </c>
      <c r="AB733" s="6" t="str">
        <f>IFERROR(VLOOKUP(D:D,[1]Габариты!$A:$D,4,0),"")</f>
        <v>ВЕШАЛКИ</v>
      </c>
      <c r="AC733" s="39">
        <f t="shared" si="159"/>
        <v>2488</v>
      </c>
      <c r="AD733" s="13" t="str">
        <f t="shared" si="139"/>
        <v xml:space="preserve">СКГТ </v>
      </c>
    </row>
    <row r="734" spans="1:30" s="6" customFormat="1" ht="20.100000000000001" customHeight="1" outlineLevel="1" x14ac:dyDescent="0.25">
      <c r="A734" s="743" t="s">
        <v>1665</v>
      </c>
      <c r="B734" s="21"/>
      <c r="C734" s="13" t="s">
        <v>4328</v>
      </c>
      <c r="D734" s="39" t="s">
        <v>1668</v>
      </c>
      <c r="E734" s="4">
        <v>10</v>
      </c>
      <c r="F734" s="101" t="s">
        <v>4706</v>
      </c>
      <c r="G734" s="57" t="s">
        <v>5222</v>
      </c>
      <c r="H734" s="4" t="s">
        <v>7001</v>
      </c>
      <c r="I734" s="4"/>
      <c r="J734" s="4" t="s">
        <v>4226</v>
      </c>
      <c r="K734" s="54" t="s">
        <v>4706</v>
      </c>
      <c r="L734" s="57">
        <v>937264084</v>
      </c>
      <c r="M734" s="57">
        <v>937264084</v>
      </c>
      <c r="N734" s="4" t="s">
        <v>1707</v>
      </c>
      <c r="O734" s="4">
        <v>814589861</v>
      </c>
      <c r="P734" s="4">
        <v>814589860</v>
      </c>
      <c r="Q734" s="767"/>
      <c r="R734" s="767"/>
      <c r="S734" s="4"/>
      <c r="T734" s="4"/>
      <c r="U734" s="4"/>
      <c r="V734" s="4"/>
      <c r="W734" s="4"/>
      <c r="X734" s="4" t="s">
        <v>1707</v>
      </c>
      <c r="Y734" s="4" t="s">
        <v>4066</v>
      </c>
      <c r="Z734" s="35"/>
      <c r="AA734" s="1" t="str">
        <f>IFERROR(VLOOKUP(D:D,[1]Габариты!$A:$I,9,0),"")</f>
        <v>Вакансия</v>
      </c>
      <c r="AB734" s="6" t="str">
        <f>IFERROR(VLOOKUP(D:D,[1]Габариты!$A:$D,4,0),"")</f>
        <v>ВЕШАЛКИ</v>
      </c>
      <c r="AC734" s="39" t="str">
        <f>D734</f>
        <v>MK1610101</v>
      </c>
      <c r="AD734" s="13" t="str">
        <f>C734</f>
        <v>СКГТ</v>
      </c>
    </row>
    <row r="735" spans="1:30" s="6" customFormat="1" ht="20.100000000000001" customHeight="1" outlineLevel="1" x14ac:dyDescent="0.25">
      <c r="A735" s="633" t="s">
        <v>4203</v>
      </c>
      <c r="B735" s="21"/>
      <c r="C735" s="13" t="s">
        <v>4328</v>
      </c>
      <c r="D735" s="39" t="s">
        <v>4228</v>
      </c>
      <c r="E735" s="4">
        <v>10</v>
      </c>
      <c r="F735" s="101" t="s">
        <v>4705</v>
      </c>
      <c r="G735" s="57" t="s">
        <v>5223</v>
      </c>
      <c r="H735" s="4" t="s">
        <v>7002</v>
      </c>
      <c r="I735" s="4"/>
      <c r="J735" s="4" t="s">
        <v>4282</v>
      </c>
      <c r="K735" s="54" t="s">
        <v>4705</v>
      </c>
      <c r="L735" s="57">
        <v>937274578</v>
      </c>
      <c r="M735" s="57">
        <v>937274578</v>
      </c>
      <c r="N735" s="4" t="s">
        <v>4324</v>
      </c>
      <c r="O735" s="4">
        <v>1607768575</v>
      </c>
      <c r="P735" s="4">
        <v>1607768575</v>
      </c>
      <c r="Q735" s="767"/>
      <c r="R735" s="767"/>
      <c r="S735" s="4"/>
      <c r="T735" s="4"/>
      <c r="U735" s="4"/>
      <c r="V735" s="4"/>
      <c r="W735" s="4"/>
      <c r="X735" s="4" t="s">
        <v>4324</v>
      </c>
      <c r="Y735" s="4"/>
      <c r="Z735" s="35"/>
      <c r="AA735" s="1" t="str">
        <f>IFERROR(VLOOKUP(D:D,[1]Габариты!$A:$I,9,0),"")</f>
        <v>Вакансия</v>
      </c>
      <c r="AB735" s="6" t="str">
        <f>IFERROR(VLOOKUP(D:D,[1]Габариты!$A:$D,4,0),"")</f>
        <v>ВЕШАЛКИ</v>
      </c>
      <c r="AC735" s="39" t="str">
        <f>D735</f>
        <v>MK1610201</v>
      </c>
      <c r="AD735" s="13" t="str">
        <f>C735</f>
        <v>СКГТ</v>
      </c>
    </row>
    <row r="736" spans="1:30" s="6" customFormat="1" ht="20.100000000000001" customHeight="1" outlineLevel="1" x14ac:dyDescent="0.2">
      <c r="A736" s="754" t="s">
        <v>429</v>
      </c>
      <c r="B736" s="756" t="s">
        <v>3846</v>
      </c>
      <c r="C736" s="13"/>
      <c r="D736" s="39"/>
      <c r="E736" s="4"/>
      <c r="F736" s="101"/>
      <c r="G736" s="57"/>
      <c r="H736" s="4"/>
      <c r="I736" s="4"/>
      <c r="J736" s="4"/>
      <c r="K736" s="54"/>
      <c r="L736" s="57"/>
      <c r="M736" s="57"/>
      <c r="N736" s="766"/>
      <c r="O736" s="4"/>
      <c r="P736" s="4"/>
      <c r="Q736" s="767"/>
      <c r="R736" s="767"/>
      <c r="S736" s="4"/>
      <c r="T736" s="4"/>
      <c r="U736" s="4"/>
      <c r="V736" s="4"/>
      <c r="W736" s="4"/>
      <c r="X736" s="4"/>
      <c r="Y736" s="4" t="s">
        <v>4066</v>
      </c>
      <c r="Z736" s="35"/>
      <c r="AA736" s="1" t="str">
        <f>IFERROR(VLOOKUP(D:D,[1]Габариты!$A:$I,9,0),"")</f>
        <v/>
      </c>
      <c r="AB736" s="6" t="str">
        <f>IFERROR(VLOOKUP(D:D,[1]Габариты!$A:$D,4,0),"")</f>
        <v/>
      </c>
      <c r="AC736" s="39"/>
      <c r="AD736" s="3"/>
    </row>
    <row r="737" spans="1:30" s="6" customFormat="1" ht="20.100000000000001" customHeight="1" outlineLevel="1" x14ac:dyDescent="0.25">
      <c r="A737" s="665" t="s">
        <v>384</v>
      </c>
      <c r="B737" s="2"/>
      <c r="C737" s="13" t="s">
        <v>3172</v>
      </c>
      <c r="D737" s="39" t="s">
        <v>39</v>
      </c>
      <c r="E737" s="4">
        <v>2</v>
      </c>
      <c r="F737" s="101" t="s">
        <v>39</v>
      </c>
      <c r="G737" s="57"/>
      <c r="H737" s="4"/>
      <c r="I737" s="4"/>
      <c r="J737" s="4"/>
      <c r="K737" s="54"/>
      <c r="L737" s="57"/>
      <c r="M737" s="57"/>
      <c r="N737" s="806" t="s">
        <v>7663</v>
      </c>
      <c r="O737" s="4">
        <v>304567628</v>
      </c>
      <c r="P737" s="4">
        <v>304567660</v>
      </c>
      <c r="Q737" s="767" t="s">
        <v>2677</v>
      </c>
      <c r="R737" s="767">
        <v>343642163</v>
      </c>
      <c r="S737" s="4">
        <v>343642211</v>
      </c>
      <c r="T737" s="4"/>
      <c r="U737" s="4"/>
      <c r="V737" s="4"/>
      <c r="W737" s="4" t="s">
        <v>39</v>
      </c>
      <c r="X737" s="4"/>
      <c r="Y737" s="4" t="s">
        <v>4066</v>
      </c>
      <c r="Z737" s="35"/>
      <c r="AA737" s="1" t="str">
        <f>IFERROR(VLOOKUP(D:D,[1]Габариты!$A:$I,9,0),"")</f>
        <v>Вакансия</v>
      </c>
      <c r="AB737" s="6" t="str">
        <f>IFERROR(VLOOKUP(D:D,[1]Габариты!$A:$D,4,0),"")</f>
        <v>ДИВАНЫ</v>
      </c>
      <c r="AC737" s="39" t="str">
        <f t="shared" si="159"/>
        <v>М00015</v>
      </c>
      <c r="AD737" s="13" t="str">
        <f t="shared" si="139"/>
        <v xml:space="preserve">СКГТ </v>
      </c>
    </row>
    <row r="738" spans="1:30" s="6" customFormat="1" ht="20.100000000000001" customHeight="1" outlineLevel="1" x14ac:dyDescent="0.25">
      <c r="A738" s="665" t="s">
        <v>383</v>
      </c>
      <c r="B738" s="2"/>
      <c r="C738" s="13" t="s">
        <v>3172</v>
      </c>
      <c r="D738" s="39" t="s">
        <v>36</v>
      </c>
      <c r="E738" s="4">
        <v>2</v>
      </c>
      <c r="F738" s="101" t="s">
        <v>36</v>
      </c>
      <c r="G738" s="57"/>
      <c r="H738" s="4" t="s">
        <v>7015</v>
      </c>
      <c r="I738" s="4"/>
      <c r="J738" s="4"/>
      <c r="K738" s="74"/>
      <c r="L738" s="57">
        <v>301699266</v>
      </c>
      <c r="M738" s="57">
        <v>301699266</v>
      </c>
      <c r="N738" s="4" t="s">
        <v>7724</v>
      </c>
      <c r="O738" s="4">
        <v>304570338</v>
      </c>
      <c r="P738" s="4">
        <v>304570366</v>
      </c>
      <c r="Q738" s="767"/>
      <c r="R738" s="767"/>
      <c r="S738" s="4"/>
      <c r="T738" s="4"/>
      <c r="U738" s="4"/>
      <c r="V738" s="4"/>
      <c r="W738" s="4" t="s">
        <v>36</v>
      </c>
      <c r="X738" s="4"/>
      <c r="Y738" s="4" t="s">
        <v>4066</v>
      </c>
      <c r="Z738" s="35"/>
      <c r="AA738" s="1" t="str">
        <f>IFERROR(VLOOKUP(D:D,[1]Габариты!$A:$I,9,0),"")</f>
        <v>Вакансия</v>
      </c>
      <c r="AB738" s="6" t="str">
        <f>IFERROR(VLOOKUP(D:D,[1]Габариты!$A:$D,4,0),"")</f>
        <v>ДИВАНЫ</v>
      </c>
      <c r="AC738" s="39" t="str">
        <f t="shared" si="159"/>
        <v>М00014</v>
      </c>
      <c r="AD738" s="13" t="str">
        <f t="shared" si="139"/>
        <v xml:space="preserve">СКГТ </v>
      </c>
    </row>
    <row r="739" spans="1:30" s="6" customFormat="1" ht="20.100000000000001" customHeight="1" outlineLevel="1" x14ac:dyDescent="0.25">
      <c r="A739" s="665" t="s">
        <v>385</v>
      </c>
      <c r="B739" s="2"/>
      <c r="C739" s="13" t="s">
        <v>4050</v>
      </c>
      <c r="D739" s="39" t="s">
        <v>37</v>
      </c>
      <c r="E739" s="4">
        <v>2</v>
      </c>
      <c r="F739" s="101" t="s">
        <v>37</v>
      </c>
      <c r="G739" s="57"/>
      <c r="H739" s="4" t="s">
        <v>7421</v>
      </c>
      <c r="I739" s="4"/>
      <c r="J739" s="4"/>
      <c r="K739" s="74"/>
      <c r="L739" s="57">
        <v>302052945</v>
      </c>
      <c r="M739" s="57">
        <v>302052945</v>
      </c>
      <c r="N739" s="4" t="s">
        <v>7725</v>
      </c>
      <c r="O739" s="4">
        <v>304566546</v>
      </c>
      <c r="P739" s="4">
        <v>304566558</v>
      </c>
      <c r="Q739" s="767" t="s">
        <v>2678</v>
      </c>
      <c r="R739" s="767">
        <v>348015367</v>
      </c>
      <c r="S739" s="4">
        <v>348015408</v>
      </c>
      <c r="T739" s="4"/>
      <c r="U739" s="4"/>
      <c r="V739" s="4"/>
      <c r="W739" s="4" t="s">
        <v>37</v>
      </c>
      <c r="X739" s="4" t="s">
        <v>1809</v>
      </c>
      <c r="Y739" s="4" t="s">
        <v>4066</v>
      </c>
      <c r="Z739" s="35"/>
      <c r="AA739" s="1" t="str">
        <f>IFERROR(VLOOKUP(D:D,[1]Габариты!$A:$I,9,0),"")</f>
        <v>Вакансия</v>
      </c>
      <c r="AB739" s="6" t="str">
        <f>IFERROR(VLOOKUP(D:D,[1]Габариты!$A:$D,4,0),"")</f>
        <v>ДИВАНЫ</v>
      </c>
      <c r="AC739" s="39" t="str">
        <f t="shared" si="159"/>
        <v>М00016</v>
      </c>
      <c r="AD739" s="13" t="str">
        <f t="shared" si="139"/>
        <v>СКГТ (ОЗОН)</v>
      </c>
    </row>
    <row r="740" spans="1:30" s="6" customFormat="1" ht="20.100000000000001" customHeight="1" outlineLevel="1" x14ac:dyDescent="0.25">
      <c r="A740" s="635" t="s">
        <v>962</v>
      </c>
      <c r="B740" s="3"/>
      <c r="C740" s="13" t="s">
        <v>3172</v>
      </c>
      <c r="D740" s="39" t="s">
        <v>964</v>
      </c>
      <c r="E740" s="4">
        <v>2</v>
      </c>
      <c r="F740" s="101" t="s">
        <v>964</v>
      </c>
      <c r="G740" s="57"/>
      <c r="H740" s="4"/>
      <c r="I740" s="4"/>
      <c r="J740" s="4"/>
      <c r="K740" s="54"/>
      <c r="L740" s="57"/>
      <c r="M740" s="57"/>
      <c r="N740" s="4" t="s">
        <v>7726</v>
      </c>
      <c r="O740" s="4">
        <v>551913541</v>
      </c>
      <c r="P740" s="4">
        <v>551913542</v>
      </c>
      <c r="Q740" s="767"/>
      <c r="R740" s="767"/>
      <c r="S740" s="4"/>
      <c r="T740" s="4"/>
      <c r="U740" s="4"/>
      <c r="V740" s="4"/>
      <c r="W740" s="4"/>
      <c r="X740" s="4"/>
      <c r="Y740" s="4" t="s">
        <v>4066</v>
      </c>
      <c r="Z740" s="35"/>
      <c r="AA740" s="1" t="str">
        <f>IFERROR(VLOOKUP(D:D,[1]Габариты!$A:$I,9,0),"")</f>
        <v>Вакансия</v>
      </c>
      <c r="AB740" s="6" t="str">
        <f>IFERROR(VLOOKUP(D:D,[1]Габариты!$A:$D,4,0),"")</f>
        <v>ДИВАНЫ</v>
      </c>
      <c r="AC740" s="39" t="str">
        <f t="shared" si="159"/>
        <v>М000101</v>
      </c>
      <c r="AD740" s="13" t="str">
        <f t="shared" si="139"/>
        <v xml:space="preserve">СКГТ </v>
      </c>
    </row>
    <row r="741" spans="1:30" s="6" customFormat="1" ht="20.100000000000001" customHeight="1" outlineLevel="1" x14ac:dyDescent="0.25">
      <c r="A741" s="635" t="s">
        <v>963</v>
      </c>
      <c r="B741" s="3"/>
      <c r="C741" s="13" t="s">
        <v>3172</v>
      </c>
      <c r="D741" s="39" t="s">
        <v>965</v>
      </c>
      <c r="E741" s="4">
        <v>2</v>
      </c>
      <c r="F741" s="101" t="s">
        <v>965</v>
      </c>
      <c r="G741" s="57"/>
      <c r="H741" s="4"/>
      <c r="I741" s="4"/>
      <c r="J741" s="4"/>
      <c r="K741" s="54"/>
      <c r="L741" s="57"/>
      <c r="M741" s="57"/>
      <c r="N741" s="4" t="s">
        <v>7727</v>
      </c>
      <c r="O741" s="4">
        <v>551950408</v>
      </c>
      <c r="P741" s="4">
        <v>551950407</v>
      </c>
      <c r="Q741" s="767"/>
      <c r="R741" s="767"/>
      <c r="S741" s="4"/>
      <c r="T741" s="4"/>
      <c r="U741" s="4"/>
      <c r="V741" s="4"/>
      <c r="W741" s="4"/>
      <c r="X741" s="4"/>
      <c r="Y741" s="4" t="s">
        <v>4066</v>
      </c>
      <c r="Z741" s="35"/>
      <c r="AA741" s="1" t="str">
        <f>IFERROR(VLOOKUP(D:D,[1]Габариты!$A:$I,9,0),"")</f>
        <v>Вакансия</v>
      </c>
      <c r="AB741" s="6" t="str">
        <f>IFERROR(VLOOKUP(D:D,[1]Габариты!$A:$D,4,0),"")</f>
        <v>ДИВАНЫ</v>
      </c>
      <c r="AC741" s="39" t="str">
        <f t="shared" si="159"/>
        <v>М000120</v>
      </c>
      <c r="AD741" s="13" t="str">
        <f t="shared" si="139"/>
        <v xml:space="preserve">СКГТ </v>
      </c>
    </row>
    <row r="742" spans="1:30" s="6" customFormat="1" ht="20.100000000000001" customHeight="1" outlineLevel="1" x14ac:dyDescent="0.25">
      <c r="A742" s="635" t="s">
        <v>994</v>
      </c>
      <c r="B742" s="3"/>
      <c r="C742" s="13" t="s">
        <v>4050</v>
      </c>
      <c r="D742" s="39" t="s">
        <v>993</v>
      </c>
      <c r="E742" s="4">
        <v>2</v>
      </c>
      <c r="F742" s="101" t="s">
        <v>993</v>
      </c>
      <c r="G742" s="57"/>
      <c r="H742" s="4" t="s">
        <v>7420</v>
      </c>
      <c r="I742" s="4"/>
      <c r="J742" s="4"/>
      <c r="K742" s="54"/>
      <c r="L742" s="57"/>
      <c r="M742" s="57"/>
      <c r="N742" s="4"/>
      <c r="O742" s="4"/>
      <c r="P742" s="4"/>
      <c r="Q742" s="767"/>
      <c r="R742" s="767"/>
      <c r="S742" s="4"/>
      <c r="T742" s="4"/>
      <c r="U742" s="4"/>
      <c r="V742" s="4"/>
      <c r="W742" s="4"/>
      <c r="X742" s="4" t="s">
        <v>1808</v>
      </c>
      <c r="Y742" s="4" t="s">
        <v>4066</v>
      </c>
      <c r="Z742" s="35"/>
      <c r="AA742" s="1" t="str">
        <f>IFERROR(VLOOKUP(D:D,[1]Габариты!$A:$I,9,0),"")</f>
        <v>Вакансия</v>
      </c>
      <c r="AB742" s="6" t="str">
        <f>IFERROR(VLOOKUP(D:D,[1]Габариты!$A:$D,4,0),"")</f>
        <v>ДИВАНЫ</v>
      </c>
      <c r="AC742" s="39" t="str">
        <f t="shared" si="159"/>
        <v>М000100</v>
      </c>
      <c r="AD742" s="13" t="str">
        <f t="shared" si="139"/>
        <v>СКГТ (ОЗОН)</v>
      </c>
    </row>
    <row r="743" spans="1:30" s="6" customFormat="1" ht="20.100000000000001" customHeight="1" outlineLevel="1" x14ac:dyDescent="0.25">
      <c r="A743" s="635" t="s">
        <v>403</v>
      </c>
      <c r="B743" s="3"/>
      <c r="C743" s="13" t="s">
        <v>3172</v>
      </c>
      <c r="D743" s="39" t="s">
        <v>30</v>
      </c>
      <c r="E743" s="4">
        <v>2</v>
      </c>
      <c r="F743" s="101" t="s">
        <v>30</v>
      </c>
      <c r="G743" s="57"/>
      <c r="H743" s="4"/>
      <c r="I743" s="4"/>
      <c r="J743" s="4"/>
      <c r="K743" s="54"/>
      <c r="L743" s="57"/>
      <c r="M743" s="57"/>
      <c r="N743" s="4"/>
      <c r="O743" s="4"/>
      <c r="P743" s="4"/>
      <c r="Q743" s="767"/>
      <c r="R743" s="767"/>
      <c r="S743" s="4"/>
      <c r="T743" s="4"/>
      <c r="U743" s="4"/>
      <c r="V743" s="4"/>
      <c r="W743" s="4" t="s">
        <v>30</v>
      </c>
      <c r="X743" s="4"/>
      <c r="Y743" s="4" t="s">
        <v>4066</v>
      </c>
      <c r="Z743" s="35"/>
      <c r="AA743" s="1" t="str">
        <f>IFERROR(VLOOKUP(D:D,[1]Габариты!$A:$I,9,0),"")</f>
        <v>Вакансия</v>
      </c>
      <c r="AB743" s="6" t="str">
        <f>IFERROR(VLOOKUP(D:D,[1]Габариты!$A:$D,4,0),"")</f>
        <v>ДИВАНЫ</v>
      </c>
      <c r="AC743" s="39" t="str">
        <f t="shared" si="159"/>
        <v>М0459</v>
      </c>
      <c r="AD743" s="13" t="str">
        <f t="shared" si="139"/>
        <v xml:space="preserve">СКГТ </v>
      </c>
    </row>
    <row r="744" spans="1:30" s="6" customFormat="1" ht="20.100000000000001" customHeight="1" outlineLevel="1" x14ac:dyDescent="0.25">
      <c r="A744" s="635" t="s">
        <v>401</v>
      </c>
      <c r="B744" s="3"/>
      <c r="C744" s="13" t="s">
        <v>3172</v>
      </c>
      <c r="D744" s="39" t="s">
        <v>28</v>
      </c>
      <c r="E744" s="4">
        <v>2</v>
      </c>
      <c r="F744" s="101" t="s">
        <v>28</v>
      </c>
      <c r="G744" s="57"/>
      <c r="H744" s="4" t="s">
        <v>7016</v>
      </c>
      <c r="I744" s="4"/>
      <c r="J744" s="4"/>
      <c r="K744" s="54"/>
      <c r="L744" s="57"/>
      <c r="M744" s="57"/>
      <c r="N744" s="4"/>
      <c r="O744" s="4"/>
      <c r="P744" s="4"/>
      <c r="Q744" s="767"/>
      <c r="R744" s="767"/>
      <c r="S744" s="4"/>
      <c r="T744" s="4"/>
      <c r="U744" s="4"/>
      <c r="V744" s="4"/>
      <c r="W744" s="4" t="s">
        <v>28</v>
      </c>
      <c r="X744" s="4"/>
      <c r="Y744" s="4" t="s">
        <v>4066</v>
      </c>
      <c r="Z744" s="35"/>
      <c r="AA744" s="1" t="str">
        <f>IFERROR(VLOOKUP(D:D,[1]Габариты!$A:$I,9,0),"")</f>
        <v>Вакансия</v>
      </c>
      <c r="AB744" s="6" t="str">
        <f>IFERROR(VLOOKUP(D:D,[1]Габариты!$A:$D,4,0),"")</f>
        <v>ДИВАНЫ</v>
      </c>
      <c r="AC744" s="39" t="str">
        <f t="shared" si="159"/>
        <v>М0457</v>
      </c>
      <c r="AD744" s="13" t="str">
        <f t="shared" si="139"/>
        <v xml:space="preserve">СКГТ </v>
      </c>
    </row>
    <row r="745" spans="1:30" s="6" customFormat="1" ht="20.100000000000001" customHeight="1" outlineLevel="1" x14ac:dyDescent="0.25">
      <c r="A745" s="635" t="s">
        <v>402</v>
      </c>
      <c r="B745" s="3"/>
      <c r="C745" s="13" t="s">
        <v>3172</v>
      </c>
      <c r="D745" s="39" t="s">
        <v>29</v>
      </c>
      <c r="E745" s="4">
        <v>2</v>
      </c>
      <c r="F745" s="101" t="s">
        <v>29</v>
      </c>
      <c r="G745" s="57" t="s">
        <v>5660</v>
      </c>
      <c r="H745" s="4" t="s">
        <v>7017</v>
      </c>
      <c r="I745" s="4"/>
      <c r="J745" s="4"/>
      <c r="K745" s="54" t="s">
        <v>29</v>
      </c>
      <c r="L745" s="57">
        <v>263699056</v>
      </c>
      <c r="M745" s="57">
        <v>263699056</v>
      </c>
      <c r="N745" s="4"/>
      <c r="O745" s="4"/>
      <c r="P745" s="4"/>
      <c r="Q745" s="767"/>
      <c r="R745" s="767"/>
      <c r="S745" s="4"/>
      <c r="T745" s="4"/>
      <c r="U745" s="4"/>
      <c r="V745" s="4"/>
      <c r="W745" s="4" t="s">
        <v>29</v>
      </c>
      <c r="X745" s="4" t="s">
        <v>1806</v>
      </c>
      <c r="Y745" s="4" t="s">
        <v>4066</v>
      </c>
      <c r="Z745" s="35"/>
      <c r="AA745" s="1" t="str">
        <f>IFERROR(VLOOKUP(D:D,[1]Габариты!$A:$I,9,0),"")</f>
        <v>Вакансия</v>
      </c>
      <c r="AB745" s="6" t="str">
        <f>IFERROR(VLOOKUP(D:D,[1]Габариты!$A:$D,4,0),"")</f>
        <v>ДИВАНЫ</v>
      </c>
      <c r="AC745" s="39" t="str">
        <f t="shared" si="159"/>
        <v>М0458</v>
      </c>
      <c r="AD745" s="13" t="str">
        <f t="shared" si="139"/>
        <v xml:space="preserve">СКГТ </v>
      </c>
    </row>
    <row r="746" spans="1:30" s="6" customFormat="1" ht="20.100000000000001" customHeight="1" outlineLevel="1" x14ac:dyDescent="0.25">
      <c r="A746" s="635" t="s">
        <v>806</v>
      </c>
      <c r="B746" s="3"/>
      <c r="C746" s="13" t="s">
        <v>4050</v>
      </c>
      <c r="D746" s="39" t="s">
        <v>1348</v>
      </c>
      <c r="E746" s="4">
        <v>2</v>
      </c>
      <c r="F746" s="101" t="s">
        <v>1348</v>
      </c>
      <c r="G746" s="57" t="s">
        <v>5324</v>
      </c>
      <c r="H746" s="4" t="s">
        <v>7018</v>
      </c>
      <c r="I746" s="4"/>
      <c r="J746" s="4"/>
      <c r="K746" s="54" t="s">
        <v>1348</v>
      </c>
      <c r="L746" s="57">
        <v>513098025</v>
      </c>
      <c r="M746" s="57">
        <v>513098025</v>
      </c>
      <c r="N746" s="4"/>
      <c r="O746" s="4"/>
      <c r="P746" s="4"/>
      <c r="Q746" s="767"/>
      <c r="R746" s="767"/>
      <c r="S746" s="4"/>
      <c r="T746" s="4"/>
      <c r="U746" s="4"/>
      <c r="V746" s="4"/>
      <c r="W746" s="4" t="s">
        <v>2099</v>
      </c>
      <c r="X746" s="4" t="s">
        <v>2547</v>
      </c>
      <c r="Y746" s="4" t="s">
        <v>4066</v>
      </c>
      <c r="Z746" s="35"/>
      <c r="AA746" s="1" t="str">
        <f>IFERROR(VLOOKUP(D:D,[1]Габариты!$A:$I,9,0),"")</f>
        <v>Вакансия</v>
      </c>
      <c r="AB746" s="6" t="str">
        <f>IFERROR(VLOOKUP(D:D,[1]Габариты!$A:$D,4,0),"")</f>
        <v>ДИВАНЫ</v>
      </c>
      <c r="AC746" s="39" t="str">
        <f t="shared" si="159"/>
        <v>М0460</v>
      </c>
      <c r="AD746" s="13" t="str">
        <f t="shared" si="139"/>
        <v>СКГТ (ОЗОН)</v>
      </c>
    </row>
    <row r="747" spans="1:30" s="6" customFormat="1" ht="20.100000000000001" customHeight="1" outlineLevel="1" x14ac:dyDescent="0.25">
      <c r="A747" s="635" t="s">
        <v>971</v>
      </c>
      <c r="B747" s="3"/>
      <c r="C747" s="13" t="s">
        <v>3172</v>
      </c>
      <c r="D747" s="39" t="s">
        <v>970</v>
      </c>
      <c r="E747" s="4">
        <v>2</v>
      </c>
      <c r="F747" s="101" t="s">
        <v>970</v>
      </c>
      <c r="G747" s="57"/>
      <c r="H747" s="4" t="s">
        <v>7019</v>
      </c>
      <c r="I747" s="4"/>
      <c r="J747" s="4"/>
      <c r="K747" s="54" t="s">
        <v>970</v>
      </c>
      <c r="L747" s="57">
        <v>560111547</v>
      </c>
      <c r="M747" s="57">
        <v>560111547</v>
      </c>
      <c r="N747" s="4"/>
      <c r="O747" s="4"/>
      <c r="P747" s="4"/>
      <c r="Q747" s="767"/>
      <c r="R747" s="767"/>
      <c r="S747" s="4"/>
      <c r="T747" s="4"/>
      <c r="U747" s="4"/>
      <c r="V747" s="4"/>
      <c r="W747" s="4"/>
      <c r="X747" s="4" t="s">
        <v>2532</v>
      </c>
      <c r="Y747" s="4" t="s">
        <v>4066</v>
      </c>
      <c r="Z747" s="35"/>
      <c r="AA747" s="1" t="str">
        <f>IFERROR(VLOOKUP(D:D,[1]Габариты!$A:$I,9,0),"")</f>
        <v>Вакансия</v>
      </c>
      <c r="AB747" s="6" t="str">
        <f>IFERROR(VLOOKUP(D:D,[1]Габариты!$A:$D,4,0),"")</f>
        <v>ДИВАНЫ</v>
      </c>
      <c r="AC747" s="39" t="str">
        <f t="shared" si="159"/>
        <v>М0461</v>
      </c>
      <c r="AD747" s="13" t="str">
        <f t="shared" si="139"/>
        <v xml:space="preserve">СКГТ </v>
      </c>
    </row>
    <row r="748" spans="1:30" s="6" customFormat="1" ht="20.100000000000001" customHeight="1" outlineLevel="1" x14ac:dyDescent="0.25">
      <c r="A748" s="635" t="s">
        <v>1051</v>
      </c>
      <c r="B748" s="3"/>
      <c r="C748" s="13" t="s">
        <v>3172</v>
      </c>
      <c r="D748" s="39" t="s">
        <v>1052</v>
      </c>
      <c r="E748" s="4">
        <v>2</v>
      </c>
      <c r="F748" s="101" t="s">
        <v>1052</v>
      </c>
      <c r="G748" s="57"/>
      <c r="H748" s="4" t="s">
        <v>7020</v>
      </c>
      <c r="I748" s="4"/>
      <c r="J748" s="4"/>
      <c r="K748" s="54" t="s">
        <v>1052</v>
      </c>
      <c r="L748" s="57">
        <v>650275657</v>
      </c>
      <c r="M748" s="57">
        <v>650275657</v>
      </c>
      <c r="N748" s="4"/>
      <c r="O748" s="4"/>
      <c r="P748" s="4"/>
      <c r="Q748" s="767"/>
      <c r="R748" s="767"/>
      <c r="S748" s="4"/>
      <c r="T748" s="4"/>
      <c r="U748" s="4"/>
      <c r="V748" s="4"/>
      <c r="W748" s="4"/>
      <c r="X748" s="4" t="s">
        <v>2545</v>
      </c>
      <c r="Y748" s="4" t="s">
        <v>4066</v>
      </c>
      <c r="Z748" s="35"/>
      <c r="AA748" s="1" t="str">
        <f>IFERROR(VLOOKUP(D:D,[1]Габариты!$A:$I,9,0),"")</f>
        <v>Вакансия</v>
      </c>
      <c r="AB748" s="6" t="str">
        <f>IFERROR(VLOOKUP(D:D,[1]Габариты!$A:$D,4,0),"")</f>
        <v>ДИВАНЫ</v>
      </c>
      <c r="AC748" s="39" t="str">
        <f t="shared" si="159"/>
        <v>М0462</v>
      </c>
      <c r="AD748" s="13" t="str">
        <f t="shared" si="139"/>
        <v xml:space="preserve">СКГТ </v>
      </c>
    </row>
    <row r="749" spans="1:30" s="6" customFormat="1" ht="20.100000000000001" customHeight="1" outlineLevel="1" x14ac:dyDescent="0.25">
      <c r="A749" s="635" t="s">
        <v>973</v>
      </c>
      <c r="B749" s="3"/>
      <c r="C749" s="13" t="s">
        <v>3172</v>
      </c>
      <c r="D749" s="39">
        <v>12017</v>
      </c>
      <c r="E749" s="4">
        <v>2</v>
      </c>
      <c r="F749" s="101"/>
      <c r="G749" s="57"/>
      <c r="H749" s="4" t="s">
        <v>7021</v>
      </c>
      <c r="I749" s="4"/>
      <c r="J749" s="4"/>
      <c r="K749" s="54"/>
      <c r="L749" s="57"/>
      <c r="M749" s="57"/>
      <c r="N749" s="4" t="s">
        <v>7720</v>
      </c>
      <c r="O749" s="818">
        <v>579499736</v>
      </c>
      <c r="P749" s="818">
        <v>579499737</v>
      </c>
      <c r="Q749" s="767"/>
      <c r="R749" s="767"/>
      <c r="S749" s="4"/>
      <c r="T749" s="4"/>
      <c r="U749" s="4"/>
      <c r="V749" s="4"/>
      <c r="W749" s="4"/>
      <c r="X749" s="4"/>
      <c r="Y749" s="4" t="s">
        <v>4066</v>
      </c>
      <c r="Z749" s="35"/>
      <c r="AA749" s="1" t="str">
        <f>IFERROR(VLOOKUP(D:D,[1]Габариты!$A:$I,9,0),"")</f>
        <v>Вакансия</v>
      </c>
      <c r="AB749" s="6" t="str">
        <f>IFERROR(VLOOKUP(D:D,[1]Габариты!$A:$D,4,0),"")</f>
        <v>ДИВАНЫ</v>
      </c>
      <c r="AC749" s="39">
        <f t="shared" si="159"/>
        <v>12017</v>
      </c>
      <c r="AD749" s="13" t="str">
        <f t="shared" si="139"/>
        <v xml:space="preserve">СКГТ </v>
      </c>
    </row>
    <row r="750" spans="1:30" s="6" customFormat="1" ht="20.100000000000001" customHeight="1" outlineLevel="1" x14ac:dyDescent="0.25">
      <c r="A750" s="635" t="s">
        <v>974</v>
      </c>
      <c r="B750" s="3"/>
      <c r="C750" s="13" t="s">
        <v>4050</v>
      </c>
      <c r="D750" s="39">
        <v>12602</v>
      </c>
      <c r="E750" s="4">
        <v>2</v>
      </c>
      <c r="F750" s="101"/>
      <c r="G750" s="57"/>
      <c r="H750" s="4" t="s">
        <v>7022</v>
      </c>
      <c r="I750" s="4"/>
      <c r="J750" s="4"/>
      <c r="K750" s="54"/>
      <c r="L750" s="57"/>
      <c r="M750" s="57"/>
      <c r="N750" s="4" t="s">
        <v>7721</v>
      </c>
      <c r="O750" s="4">
        <v>589144275</v>
      </c>
      <c r="P750" s="4">
        <v>589144276</v>
      </c>
      <c r="Q750" s="767"/>
      <c r="R750" s="767"/>
      <c r="S750" s="4"/>
      <c r="T750" s="4"/>
      <c r="U750" s="4"/>
      <c r="V750" s="4"/>
      <c r="W750" s="4"/>
      <c r="X750" s="4"/>
      <c r="Y750" s="4" t="s">
        <v>4066</v>
      </c>
      <c r="Z750" s="35"/>
      <c r="AA750" s="1" t="str">
        <f>IFERROR(VLOOKUP(D:D,[1]Габариты!$A:$I,9,0),"")</f>
        <v>Вакансия</v>
      </c>
      <c r="AB750" s="6" t="str">
        <f>IFERROR(VLOOKUP(D:D,[1]Габариты!$A:$D,4,0),"")</f>
        <v>ДИВАНЫ</v>
      </c>
      <c r="AC750" s="39">
        <f t="shared" si="159"/>
        <v>12602</v>
      </c>
      <c r="AD750" s="13" t="str">
        <f t="shared" si="139"/>
        <v>СКГТ (ОЗОН)</v>
      </c>
    </row>
    <row r="751" spans="1:30" s="6" customFormat="1" ht="20.100000000000001" customHeight="1" outlineLevel="1" x14ac:dyDescent="0.25">
      <c r="A751" s="635" t="s">
        <v>975</v>
      </c>
      <c r="B751" s="3"/>
      <c r="C751" s="13" t="s">
        <v>4050</v>
      </c>
      <c r="D751" s="39">
        <v>12603</v>
      </c>
      <c r="E751" s="4">
        <v>2</v>
      </c>
      <c r="F751" s="101"/>
      <c r="G751" s="57"/>
      <c r="H751" s="4" t="s">
        <v>7023</v>
      </c>
      <c r="I751" s="4"/>
      <c r="J751" s="4"/>
      <c r="K751" s="54"/>
      <c r="L751" s="57"/>
      <c r="M751" s="57"/>
      <c r="N751" s="4" t="s">
        <v>1787</v>
      </c>
      <c r="O751" s="4">
        <v>589112247</v>
      </c>
      <c r="P751" s="4">
        <v>589112246</v>
      </c>
      <c r="Q751" s="767"/>
      <c r="R751" s="767"/>
      <c r="S751" s="4"/>
      <c r="T751" s="4"/>
      <c r="U751" s="4"/>
      <c r="V751" s="4"/>
      <c r="W751" s="4"/>
      <c r="X751" s="4" t="s">
        <v>1787</v>
      </c>
      <c r="Y751" s="4" t="s">
        <v>4066</v>
      </c>
      <c r="Z751" s="35"/>
      <c r="AA751" s="1" t="str">
        <f>IFERROR(VLOOKUP(D:D,[1]Габариты!$A:$I,9,0),"")</f>
        <v>Вакансия</v>
      </c>
      <c r="AB751" s="6" t="str">
        <f>IFERROR(VLOOKUP(D:D,[1]Габариты!$A:$D,4,0),"")</f>
        <v>ДИВАНЫ</v>
      </c>
      <c r="AC751" s="39">
        <f t="shared" si="159"/>
        <v>12603</v>
      </c>
      <c r="AD751" s="13" t="str">
        <f t="shared" si="139"/>
        <v>СКГТ (ОЗОН)</v>
      </c>
    </row>
    <row r="752" spans="1:30" s="6" customFormat="1" ht="20.100000000000001" customHeight="1" outlineLevel="1" x14ac:dyDescent="0.25">
      <c r="A752" s="635" t="s">
        <v>976</v>
      </c>
      <c r="B752" s="3"/>
      <c r="C752" s="13" t="s">
        <v>3172</v>
      </c>
      <c r="D752" s="39">
        <v>12604</v>
      </c>
      <c r="E752" s="4">
        <v>2</v>
      </c>
      <c r="F752" s="101"/>
      <c r="G752" s="57"/>
      <c r="H752" s="4" t="s">
        <v>7024</v>
      </c>
      <c r="I752" s="4"/>
      <c r="J752" s="4"/>
      <c r="K752" s="54"/>
      <c r="L752" s="57"/>
      <c r="M752" s="57"/>
      <c r="N752" s="4" t="s">
        <v>1788</v>
      </c>
      <c r="O752" s="4">
        <v>589228435</v>
      </c>
      <c r="P752" s="4">
        <v>589228438</v>
      </c>
      <c r="Q752" s="767"/>
      <c r="R752" s="767"/>
      <c r="S752" s="4"/>
      <c r="T752" s="4"/>
      <c r="U752" s="4"/>
      <c r="V752" s="4"/>
      <c r="W752" s="4"/>
      <c r="X752" s="4" t="s">
        <v>1788</v>
      </c>
      <c r="Y752" s="4" t="s">
        <v>4066</v>
      </c>
      <c r="Z752" s="35"/>
      <c r="AA752" s="1" t="str">
        <f>IFERROR(VLOOKUP(D:D,[1]Габариты!$A:$I,9,0),"")</f>
        <v>Вакансия</v>
      </c>
      <c r="AB752" s="6" t="str">
        <f>IFERROR(VLOOKUP(D:D,[1]Габариты!$A:$D,4,0),"")</f>
        <v>ДИВАНЫ</v>
      </c>
      <c r="AC752" s="39">
        <f t="shared" si="159"/>
        <v>12604</v>
      </c>
      <c r="AD752" s="13" t="str">
        <f t="shared" si="139"/>
        <v xml:space="preserve">СКГТ </v>
      </c>
    </row>
    <row r="753" spans="1:30" s="6" customFormat="1" ht="20.100000000000001" customHeight="1" outlineLevel="1" x14ac:dyDescent="0.25">
      <c r="A753" s="635" t="s">
        <v>977</v>
      </c>
      <c r="B753" s="3"/>
      <c r="C753" s="13" t="s">
        <v>4050</v>
      </c>
      <c r="D753" s="39">
        <v>12605</v>
      </c>
      <c r="E753" s="4">
        <v>2</v>
      </c>
      <c r="F753" s="101"/>
      <c r="G753" s="57"/>
      <c r="H753" s="4" t="s">
        <v>7025</v>
      </c>
      <c r="I753" s="4" t="s">
        <v>1158</v>
      </c>
      <c r="J753" s="4"/>
      <c r="K753" s="54"/>
      <c r="L753" s="57"/>
      <c r="M753" s="57"/>
      <c r="N753" s="4" t="s">
        <v>7722</v>
      </c>
      <c r="O753" s="818">
        <v>579490204</v>
      </c>
      <c r="P753" s="818">
        <v>579490203</v>
      </c>
      <c r="Q753" s="767" t="s">
        <v>2679</v>
      </c>
      <c r="R753" s="767">
        <v>728956962</v>
      </c>
      <c r="S753" s="4">
        <v>728956961</v>
      </c>
      <c r="T753" s="4"/>
      <c r="U753" s="4"/>
      <c r="V753" s="4"/>
      <c r="W753" s="4"/>
      <c r="X753" s="4"/>
      <c r="Y753" s="4" t="s">
        <v>4066</v>
      </c>
      <c r="Z753" s="35"/>
      <c r="AA753" s="1" t="str">
        <f>IFERROR(VLOOKUP(D:D,[1]Габариты!$A:$I,9,0),"")</f>
        <v>Вакансия</v>
      </c>
      <c r="AB753" s="6" t="str">
        <f>IFERROR(VLOOKUP(D:D,[1]Габариты!$A:$D,4,0),"")</f>
        <v>ДИВАНЫ</v>
      </c>
      <c r="AC753" s="39">
        <f t="shared" si="159"/>
        <v>12605</v>
      </c>
      <c r="AD753" s="13" t="str">
        <f t="shared" si="139"/>
        <v>СКГТ (ОЗОН)</v>
      </c>
    </row>
    <row r="754" spans="1:30" s="6" customFormat="1" ht="20.100000000000001" customHeight="1" outlineLevel="1" x14ac:dyDescent="0.25">
      <c r="A754" s="635" t="s">
        <v>978</v>
      </c>
      <c r="B754" s="3"/>
      <c r="C754" s="13" t="s">
        <v>4050</v>
      </c>
      <c r="D754" s="39">
        <v>12606</v>
      </c>
      <c r="E754" s="4">
        <v>2</v>
      </c>
      <c r="F754" s="101"/>
      <c r="G754" s="57"/>
      <c r="H754" s="4" t="s">
        <v>7026</v>
      </c>
      <c r="I754" s="4" t="s">
        <v>1159</v>
      </c>
      <c r="J754" s="4"/>
      <c r="K754" s="54"/>
      <c r="L754" s="57"/>
      <c r="M754" s="57"/>
      <c r="N754" s="4" t="s">
        <v>2583</v>
      </c>
      <c r="O754" s="818">
        <v>579216238</v>
      </c>
      <c r="P754" s="818">
        <v>579216239</v>
      </c>
      <c r="Q754" s="767" t="s">
        <v>1807</v>
      </c>
      <c r="R754" s="767">
        <v>729088658</v>
      </c>
      <c r="S754" s="4">
        <v>729088659</v>
      </c>
      <c r="T754" s="4"/>
      <c r="U754" s="4"/>
      <c r="V754" s="4"/>
      <c r="W754" s="4"/>
      <c r="X754" s="4" t="s">
        <v>2583</v>
      </c>
      <c r="Y754" s="4" t="s">
        <v>4066</v>
      </c>
      <c r="Z754" s="35"/>
      <c r="AA754" s="1" t="str">
        <f>IFERROR(VLOOKUP(D:D,[1]Габариты!$A:$I,9,0),"")</f>
        <v>Вакансия</v>
      </c>
      <c r="AB754" s="6" t="str">
        <f>IFERROR(VLOOKUP(D:D,[1]Габариты!$A:$D,4,0),"")</f>
        <v>ДИВАНЫ</v>
      </c>
      <c r="AC754" s="39">
        <f t="shared" si="159"/>
        <v>12606</v>
      </c>
      <c r="AD754" s="13" t="str">
        <f t="shared" si="139"/>
        <v>СКГТ (ОЗОН)</v>
      </c>
    </row>
    <row r="755" spans="1:30" s="6" customFormat="1" ht="20.100000000000001" customHeight="1" outlineLevel="1" x14ac:dyDescent="0.25">
      <c r="A755" s="635" t="s">
        <v>979</v>
      </c>
      <c r="B755" s="3"/>
      <c r="C755" s="13" t="s">
        <v>3172</v>
      </c>
      <c r="D755" s="39">
        <v>12607</v>
      </c>
      <c r="E755" s="4">
        <v>2</v>
      </c>
      <c r="F755" s="101"/>
      <c r="G755" s="57"/>
      <c r="H755" s="4" t="s">
        <v>7027</v>
      </c>
      <c r="I755" s="4" t="s">
        <v>1160</v>
      </c>
      <c r="J755" s="4"/>
      <c r="K755" s="54"/>
      <c r="L755" s="57"/>
      <c r="M755" s="57"/>
      <c r="N755" s="4" t="s">
        <v>7723</v>
      </c>
      <c r="O755" s="818">
        <v>579252043</v>
      </c>
      <c r="P755" s="818">
        <v>579252044</v>
      </c>
      <c r="Q755" s="767" t="s">
        <v>2680</v>
      </c>
      <c r="R755" s="767">
        <v>729092400</v>
      </c>
      <c r="S755" s="4">
        <v>729092399</v>
      </c>
      <c r="T755" s="4"/>
      <c r="U755" s="4"/>
      <c r="V755" s="4"/>
      <c r="W755" s="4"/>
      <c r="X755" s="4"/>
      <c r="Y755" s="4" t="s">
        <v>4066</v>
      </c>
      <c r="Z755" s="35"/>
      <c r="AA755" s="1" t="str">
        <f>IFERROR(VLOOKUP(D:D,[1]Габариты!$A:$I,9,0),"")</f>
        <v>Вакансия</v>
      </c>
      <c r="AB755" s="6" t="str">
        <f>IFERROR(VLOOKUP(D:D,[1]Габариты!$A:$D,4,0),"")</f>
        <v>ДИВАНЫ</v>
      </c>
      <c r="AC755" s="39">
        <f t="shared" si="159"/>
        <v>12607</v>
      </c>
      <c r="AD755" s="13" t="str">
        <f t="shared" si="139"/>
        <v xml:space="preserve">СКГТ </v>
      </c>
    </row>
    <row r="756" spans="1:30" s="6" customFormat="1" ht="20.100000000000001" customHeight="1" outlineLevel="1" x14ac:dyDescent="0.25">
      <c r="A756" s="635" t="s">
        <v>1087</v>
      </c>
      <c r="B756" s="3"/>
      <c r="C756" s="13" t="s">
        <v>3172</v>
      </c>
      <c r="D756" s="39">
        <v>12613</v>
      </c>
      <c r="E756" s="4">
        <v>2</v>
      </c>
      <c r="F756" s="101"/>
      <c r="G756" s="57"/>
      <c r="H756" s="4"/>
      <c r="I756" s="4"/>
      <c r="J756" s="4"/>
      <c r="K756" s="54"/>
      <c r="L756" s="57"/>
      <c r="M756" s="57"/>
      <c r="N756" s="4"/>
      <c r="O756" s="4"/>
      <c r="P756" s="4"/>
      <c r="Q756" s="767" t="s">
        <v>2681</v>
      </c>
      <c r="R756" s="767">
        <v>729100023</v>
      </c>
      <c r="S756" s="4">
        <v>729100024</v>
      </c>
      <c r="T756" s="4"/>
      <c r="U756" s="4"/>
      <c r="V756" s="4"/>
      <c r="W756" s="4"/>
      <c r="X756" s="4"/>
      <c r="Y756" s="4" t="s">
        <v>4066</v>
      </c>
      <c r="Z756" s="35"/>
      <c r="AA756" s="1" t="str">
        <f>IFERROR(VLOOKUP(D:D,[1]Габариты!$A:$I,9,0),"")</f>
        <v>Вакансия</v>
      </c>
      <c r="AB756" s="6" t="str">
        <f>IFERROR(VLOOKUP(D:D,[1]Габариты!$A:$D,4,0),"")</f>
        <v>ДИВАНЫ</v>
      </c>
      <c r="AC756" s="39">
        <f t="shared" si="159"/>
        <v>12613</v>
      </c>
      <c r="AD756" s="13" t="str">
        <f t="shared" si="139"/>
        <v xml:space="preserve">СКГТ </v>
      </c>
    </row>
    <row r="757" spans="1:30" s="6" customFormat="1" ht="20.100000000000001" customHeight="1" outlineLevel="1" x14ac:dyDescent="0.25">
      <c r="A757" s="635" t="s">
        <v>1127</v>
      </c>
      <c r="B757" s="3"/>
      <c r="C757" s="13" t="s">
        <v>3172</v>
      </c>
      <c r="D757" s="39">
        <v>12608</v>
      </c>
      <c r="E757" s="4"/>
      <c r="F757" s="101"/>
      <c r="G757" s="57"/>
      <c r="H757" s="4"/>
      <c r="I757" s="4"/>
      <c r="J757" s="4"/>
      <c r="K757" s="54"/>
      <c r="L757" s="57"/>
      <c r="M757" s="57"/>
      <c r="N757" s="4" t="s">
        <v>1789</v>
      </c>
      <c r="O757" s="4">
        <v>678209648</v>
      </c>
      <c r="P757" s="4">
        <v>678209649</v>
      </c>
      <c r="Q757" s="767"/>
      <c r="R757" s="767"/>
      <c r="S757" s="4"/>
      <c r="T757" s="4"/>
      <c r="U757" s="4"/>
      <c r="V757" s="4"/>
      <c r="W757" s="4"/>
      <c r="X757" s="4" t="s">
        <v>1789</v>
      </c>
      <c r="Y757" s="4" t="s">
        <v>4066</v>
      </c>
      <c r="Z757" s="35"/>
      <c r="AA757" s="1" t="str">
        <f>IFERROR(VLOOKUP(D:D,[1]Габариты!$A:$I,9,0),"")</f>
        <v>Вакансия</v>
      </c>
      <c r="AB757" s="6" t="str">
        <f>IFERROR(VLOOKUP(D:D,[1]Габариты!$A:$D,4,0),"")</f>
        <v>ДИВАНЫ</v>
      </c>
      <c r="AC757" s="39">
        <f t="shared" si="159"/>
        <v>12608</v>
      </c>
      <c r="AD757" s="13" t="str">
        <f t="shared" si="139"/>
        <v xml:space="preserve">СКГТ </v>
      </c>
    </row>
    <row r="758" spans="1:30" s="6" customFormat="1" ht="20.100000000000001" customHeight="1" outlineLevel="1" x14ac:dyDescent="0.25">
      <c r="A758" s="635" t="s">
        <v>1128</v>
      </c>
      <c r="B758" s="3"/>
      <c r="C758" s="13" t="s">
        <v>3172</v>
      </c>
      <c r="D758" s="39">
        <v>12609</v>
      </c>
      <c r="E758" s="4"/>
      <c r="F758" s="101"/>
      <c r="G758" s="57"/>
      <c r="H758" s="4"/>
      <c r="I758" s="4"/>
      <c r="J758" s="4"/>
      <c r="K758" s="54"/>
      <c r="L758" s="57"/>
      <c r="M758" s="57"/>
      <c r="N758" s="4" t="s">
        <v>1790</v>
      </c>
      <c r="O758" s="4">
        <v>678227114</v>
      </c>
      <c r="P758" s="4">
        <v>678227115</v>
      </c>
      <c r="Q758" s="767"/>
      <c r="R758" s="767"/>
      <c r="S758" s="4"/>
      <c r="T758" s="4"/>
      <c r="U758" s="4"/>
      <c r="V758" s="4"/>
      <c r="W758" s="4"/>
      <c r="X758" s="4" t="s">
        <v>1790</v>
      </c>
      <c r="Y758" s="4" t="s">
        <v>4066</v>
      </c>
      <c r="Z758" s="35"/>
      <c r="AA758" s="1" t="str">
        <f>IFERROR(VLOOKUP(D:D,[1]Габариты!$A:$I,9,0),"")</f>
        <v>Вакансия</v>
      </c>
      <c r="AB758" s="6" t="str">
        <f>IFERROR(VLOOKUP(D:D,[1]Габариты!$A:$D,4,0),"")</f>
        <v>ДИВАНЫ</v>
      </c>
      <c r="AC758" s="39">
        <f t="shared" si="159"/>
        <v>12609</v>
      </c>
      <c r="AD758" s="13" t="str">
        <f t="shared" si="139"/>
        <v xml:space="preserve">СКГТ </v>
      </c>
    </row>
    <row r="759" spans="1:30" s="6" customFormat="1" ht="20.100000000000001" customHeight="1" outlineLevel="1" x14ac:dyDescent="0.25">
      <c r="A759" s="635" t="s">
        <v>1129</v>
      </c>
      <c r="B759" s="3"/>
      <c r="C759" s="13" t="s">
        <v>3172</v>
      </c>
      <c r="D759" s="39">
        <v>12611</v>
      </c>
      <c r="E759" s="4"/>
      <c r="F759" s="101"/>
      <c r="G759" s="57"/>
      <c r="H759" s="4" t="s">
        <v>7028</v>
      </c>
      <c r="I759" s="4"/>
      <c r="J759" s="4"/>
      <c r="K759" s="54"/>
      <c r="L759" s="57"/>
      <c r="M759" s="57"/>
      <c r="N759" s="4" t="s">
        <v>1791</v>
      </c>
      <c r="O759" s="4">
        <v>678233658</v>
      </c>
      <c r="P759" s="4">
        <v>678233657</v>
      </c>
      <c r="Q759" s="767"/>
      <c r="R759" s="767"/>
      <c r="S759" s="4"/>
      <c r="T759" s="4"/>
      <c r="U759" s="4"/>
      <c r="V759" s="4"/>
      <c r="W759" s="4"/>
      <c r="X759" s="4" t="s">
        <v>1791</v>
      </c>
      <c r="Y759" s="4" t="s">
        <v>4066</v>
      </c>
      <c r="Z759" s="35"/>
      <c r="AA759" s="1" t="str">
        <f>IFERROR(VLOOKUP(D:D,[1]Габариты!$A:$I,9,0),"")</f>
        <v>Вакансия</v>
      </c>
      <c r="AB759" s="6" t="str">
        <f>IFERROR(VLOOKUP(D:D,[1]Габариты!$A:$D,4,0),"")</f>
        <v>ДИВАНЫ</v>
      </c>
      <c r="AC759" s="39">
        <f t="shared" si="159"/>
        <v>12611</v>
      </c>
      <c r="AD759" s="13" t="str">
        <f t="shared" si="139"/>
        <v xml:space="preserve">СКГТ </v>
      </c>
    </row>
    <row r="760" spans="1:30" s="6" customFormat="1" ht="20.100000000000001" customHeight="1" outlineLevel="1" x14ac:dyDescent="0.25">
      <c r="A760" s="635" t="s">
        <v>1130</v>
      </c>
      <c r="B760" s="3"/>
      <c r="C760" s="13" t="s">
        <v>3172</v>
      </c>
      <c r="D760" s="39">
        <v>12612</v>
      </c>
      <c r="E760" s="4"/>
      <c r="F760" s="101"/>
      <c r="G760" s="57"/>
      <c r="H760" s="4" t="s">
        <v>7029</v>
      </c>
      <c r="I760" s="4"/>
      <c r="J760" s="4"/>
      <c r="K760" s="54"/>
      <c r="L760" s="57"/>
      <c r="M760" s="57"/>
      <c r="N760" s="4" t="s">
        <v>1792</v>
      </c>
      <c r="O760" s="4">
        <v>678242179</v>
      </c>
      <c r="P760" s="4">
        <v>678242178</v>
      </c>
      <c r="Q760" s="767"/>
      <c r="R760" s="767"/>
      <c r="S760" s="4"/>
      <c r="T760" s="4"/>
      <c r="U760" s="4"/>
      <c r="V760" s="4"/>
      <c r="W760" s="4"/>
      <c r="X760" s="4" t="s">
        <v>1792</v>
      </c>
      <c r="Y760" s="4" t="s">
        <v>4066</v>
      </c>
      <c r="Z760" s="35"/>
      <c r="AA760" s="1" t="str">
        <f>IFERROR(VLOOKUP(D:D,[1]Габариты!$A:$I,9,0),"")</f>
        <v>Вакансия</v>
      </c>
      <c r="AB760" s="6" t="str">
        <f>IFERROR(VLOOKUP(D:D,[1]Габариты!$A:$D,4,0),"")</f>
        <v>ДИВАНЫ</v>
      </c>
      <c r="AC760" s="39">
        <f t="shared" si="159"/>
        <v>12612</v>
      </c>
      <c r="AD760" s="13" t="str">
        <f t="shared" si="139"/>
        <v xml:space="preserve">СКГТ </v>
      </c>
    </row>
    <row r="761" spans="1:30" s="6" customFormat="1" ht="20.100000000000001" customHeight="1" outlineLevel="1" x14ac:dyDescent="0.25">
      <c r="A761" s="635" t="s">
        <v>1359</v>
      </c>
      <c r="B761" s="3"/>
      <c r="C761" s="13" t="s">
        <v>3172</v>
      </c>
      <c r="D761" s="39">
        <v>12614</v>
      </c>
      <c r="E761" s="4"/>
      <c r="F761" s="101"/>
      <c r="G761" s="57"/>
      <c r="H761" s="4" t="s">
        <v>7030</v>
      </c>
      <c r="I761" s="4"/>
      <c r="J761" s="4"/>
      <c r="K761" s="54"/>
      <c r="L761" s="57"/>
      <c r="M761" s="57"/>
      <c r="N761" s="4"/>
      <c r="O761" s="4"/>
      <c r="P761" s="4"/>
      <c r="Q761" s="767" t="s">
        <v>2682</v>
      </c>
      <c r="R761" s="767">
        <v>733606517</v>
      </c>
      <c r="S761" s="4">
        <v>733606518</v>
      </c>
      <c r="T761" s="4"/>
      <c r="U761" s="4"/>
      <c r="V761" s="4"/>
      <c r="W761" s="4"/>
      <c r="X761" s="4" t="s">
        <v>1796</v>
      </c>
      <c r="Y761" s="4" t="s">
        <v>4066</v>
      </c>
      <c r="Z761" s="35"/>
      <c r="AA761" s="1" t="str">
        <f>IFERROR(VLOOKUP(D:D,[1]Габариты!$A:$I,9,0),"")</f>
        <v>Вакансия</v>
      </c>
      <c r="AB761" s="6" t="str">
        <f>IFERROR(VLOOKUP(D:D,[1]Габариты!$A:$D,4,0),"")</f>
        <v>ДИВАНЫ</v>
      </c>
      <c r="AC761" s="39">
        <f t="shared" ref="AC761:AC824" si="168">D761</f>
        <v>12614</v>
      </c>
      <c r="AD761" s="13" t="str">
        <f t="shared" si="139"/>
        <v xml:space="preserve">СКГТ </v>
      </c>
    </row>
    <row r="762" spans="1:30" s="6" customFormat="1" ht="20.100000000000001" customHeight="1" outlineLevel="1" x14ac:dyDescent="0.25">
      <c r="A762" s="635" t="s">
        <v>1360</v>
      </c>
      <c r="B762" s="3"/>
      <c r="C762" s="13" t="s">
        <v>3172</v>
      </c>
      <c r="D762" s="39">
        <v>12615</v>
      </c>
      <c r="E762" s="4"/>
      <c r="F762" s="101"/>
      <c r="G762" s="57"/>
      <c r="H762" s="4"/>
      <c r="I762" s="4"/>
      <c r="J762" s="4"/>
      <c r="K762" s="54"/>
      <c r="L762" s="57"/>
      <c r="M762" s="57"/>
      <c r="N762" s="4"/>
      <c r="O762" s="4"/>
      <c r="P762" s="4"/>
      <c r="Q762" s="767" t="s">
        <v>2683</v>
      </c>
      <c r="R762" s="767">
        <v>733609763</v>
      </c>
      <c r="S762" s="4">
        <v>733609762</v>
      </c>
      <c r="T762" s="4"/>
      <c r="U762" s="4"/>
      <c r="V762" s="4"/>
      <c r="W762" s="4"/>
      <c r="X762" s="4" t="s">
        <v>1797</v>
      </c>
      <c r="Y762" s="4" t="s">
        <v>4066</v>
      </c>
      <c r="Z762" s="35"/>
      <c r="AA762" s="1" t="str">
        <f>IFERROR(VLOOKUP(D:D,[1]Габариты!$A:$I,9,0),"")</f>
        <v>Вакансия</v>
      </c>
      <c r="AB762" s="6" t="str">
        <f>IFERROR(VLOOKUP(D:D,[1]Габариты!$A:$D,4,0),"")</f>
        <v>ДИВАНЫ</v>
      </c>
      <c r="AC762" s="39">
        <f t="shared" si="168"/>
        <v>12615</v>
      </c>
      <c r="AD762" s="13" t="str">
        <f t="shared" si="139"/>
        <v xml:space="preserve">СКГТ </v>
      </c>
    </row>
    <row r="763" spans="1:30" s="6" customFormat="1" ht="20.100000000000001" customHeight="1" outlineLevel="1" x14ac:dyDescent="0.2">
      <c r="A763" s="753" t="s">
        <v>428</v>
      </c>
      <c r="B763" s="753" t="s">
        <v>3846</v>
      </c>
      <c r="C763" s="13"/>
      <c r="D763" s="40"/>
      <c r="E763" s="4"/>
      <c r="F763" s="101"/>
      <c r="G763" s="57"/>
      <c r="H763" s="4"/>
      <c r="I763" s="4"/>
      <c r="J763" s="4"/>
      <c r="K763" s="54"/>
      <c r="L763" s="57"/>
      <c r="M763" s="57"/>
      <c r="N763" s="4"/>
      <c r="O763" s="4"/>
      <c r="P763" s="4"/>
      <c r="Q763" s="767"/>
      <c r="R763" s="767"/>
      <c r="S763" s="4"/>
      <c r="T763" s="4"/>
      <c r="U763" s="4"/>
      <c r="V763" s="4"/>
      <c r="W763" s="4"/>
      <c r="X763" s="4"/>
      <c r="Y763" s="4" t="s">
        <v>4066</v>
      </c>
      <c r="Z763" s="35"/>
      <c r="AA763" s="1" t="str">
        <f>IFERROR(VLOOKUP(D:D,[1]Габариты!$A:$I,9,0),"")</f>
        <v/>
      </c>
      <c r="AB763" s="6" t="str">
        <f>IFERROR(VLOOKUP(D:D,[1]Габариты!$A:$D,4,0),"")</f>
        <v/>
      </c>
      <c r="AC763" s="39"/>
      <c r="AD763" s="3"/>
    </row>
    <row r="764" spans="1:30" s="6" customFormat="1" ht="20.100000000000001" customHeight="1" outlineLevel="1" x14ac:dyDescent="0.25">
      <c r="A764" s="665" t="s">
        <v>255</v>
      </c>
      <c r="B764" s="2"/>
      <c r="C764" s="13" t="s">
        <v>3172</v>
      </c>
      <c r="D764" s="39">
        <v>3012</v>
      </c>
      <c r="E764" s="4">
        <v>18</v>
      </c>
      <c r="F764" s="101">
        <v>3012</v>
      </c>
      <c r="G764" s="57" t="s">
        <v>4949</v>
      </c>
      <c r="H764" s="4" t="s">
        <v>7031</v>
      </c>
      <c r="I764" s="4"/>
      <c r="J764" s="4"/>
      <c r="K764" s="54">
        <v>3012</v>
      </c>
      <c r="L764" s="57">
        <v>281140299</v>
      </c>
      <c r="M764" s="57">
        <v>281140299</v>
      </c>
      <c r="N764" s="4" t="s">
        <v>731</v>
      </c>
      <c r="O764" s="4">
        <v>279477341</v>
      </c>
      <c r="P764" s="4">
        <v>279477356</v>
      </c>
      <c r="Q764" s="767"/>
      <c r="R764" s="767"/>
      <c r="S764" s="4"/>
      <c r="T764" s="4"/>
      <c r="U764" s="4"/>
      <c r="V764" s="4"/>
      <c r="W764" s="4" t="s">
        <v>2103</v>
      </c>
      <c r="X764" s="4" t="s">
        <v>731</v>
      </c>
      <c r="Y764" s="4" t="s">
        <v>4066</v>
      </c>
      <c r="Z764" s="35"/>
      <c r="AA764" s="1" t="str">
        <f>IFERROR(VLOOKUP(D:D,[1]Габариты!$A:$I,9,0),"")</f>
        <v>Вакансия</v>
      </c>
      <c r="AB764" s="6" t="str">
        <f>IFERROR(VLOOKUP(D:D,[1]Габариты!$A:$D,4,0),"")</f>
        <v>КОМОДЫ</v>
      </c>
      <c r="AC764" s="39">
        <f t="shared" si="168"/>
        <v>3012</v>
      </c>
      <c r="AD764" s="13" t="str">
        <f t="shared" si="139"/>
        <v xml:space="preserve">СКГТ </v>
      </c>
    </row>
    <row r="765" spans="1:30" s="6" customFormat="1" ht="20.100000000000001" customHeight="1" outlineLevel="1" x14ac:dyDescent="0.25">
      <c r="A765" s="665" t="s">
        <v>256</v>
      </c>
      <c r="B765" s="2"/>
      <c r="C765" s="13" t="s">
        <v>3172</v>
      </c>
      <c r="D765" s="39">
        <v>3013</v>
      </c>
      <c r="E765" s="4">
        <v>18</v>
      </c>
      <c r="F765" s="101">
        <v>3013</v>
      </c>
      <c r="G765" s="57"/>
      <c r="H765" s="4" t="s">
        <v>7032</v>
      </c>
      <c r="I765" s="4"/>
      <c r="J765" s="4"/>
      <c r="K765" s="54"/>
      <c r="L765" s="57"/>
      <c r="M765" s="57"/>
      <c r="N765" s="4" t="s">
        <v>732</v>
      </c>
      <c r="O765" s="4">
        <v>281462693</v>
      </c>
      <c r="P765" s="4">
        <v>281462699</v>
      </c>
      <c r="Q765" s="767"/>
      <c r="R765" s="767"/>
      <c r="S765" s="4"/>
      <c r="T765" s="4"/>
      <c r="U765" s="4"/>
      <c r="V765" s="4"/>
      <c r="W765" s="4" t="s">
        <v>2104</v>
      </c>
      <c r="X765" s="4" t="s">
        <v>732</v>
      </c>
      <c r="Y765" s="4" t="s">
        <v>4066</v>
      </c>
      <c r="Z765" s="35"/>
      <c r="AA765" s="1" t="str">
        <f>IFERROR(VLOOKUP(D:D,[1]Габариты!$A:$I,9,0),"")</f>
        <v>Вакансия</v>
      </c>
      <c r="AB765" s="6" t="str">
        <f>IFERROR(VLOOKUP(D:D,[1]Габариты!$A:$D,4,0),"")</f>
        <v>КОМОДЫ</v>
      </c>
      <c r="AC765" s="39">
        <f t="shared" si="168"/>
        <v>3013</v>
      </c>
      <c r="AD765" s="13" t="str">
        <f t="shared" si="139"/>
        <v xml:space="preserve">СКГТ </v>
      </c>
    </row>
    <row r="766" spans="1:30" s="6" customFormat="1" ht="20.100000000000001" customHeight="1" outlineLevel="1" x14ac:dyDescent="0.25">
      <c r="A766" s="635" t="s">
        <v>191</v>
      </c>
      <c r="B766" s="3"/>
      <c r="C766" s="13" t="s">
        <v>3172</v>
      </c>
      <c r="D766" s="39">
        <v>2919</v>
      </c>
      <c r="E766" s="4">
        <v>18</v>
      </c>
      <c r="F766" s="101">
        <v>2919</v>
      </c>
      <c r="G766" s="57"/>
      <c r="H766" s="4" t="s">
        <v>7033</v>
      </c>
      <c r="I766" s="4"/>
      <c r="J766" s="4"/>
      <c r="K766" s="54"/>
      <c r="L766" s="57"/>
      <c r="M766" s="57"/>
      <c r="N766" s="4" t="s">
        <v>829</v>
      </c>
      <c r="O766" s="4">
        <v>268900263</v>
      </c>
      <c r="P766" s="4">
        <v>268900274</v>
      </c>
      <c r="Q766" s="767" t="s">
        <v>2691</v>
      </c>
      <c r="R766" s="767">
        <v>356359951</v>
      </c>
      <c r="S766" s="4">
        <v>356359950</v>
      </c>
      <c r="T766" s="4"/>
      <c r="U766" s="4"/>
      <c r="V766" s="4"/>
      <c r="W766" s="4" t="s">
        <v>2113</v>
      </c>
      <c r="X766" s="4" t="s">
        <v>829</v>
      </c>
      <c r="Y766" s="4" t="s">
        <v>4066</v>
      </c>
      <c r="Z766" s="35"/>
      <c r="AA766" s="1" t="str">
        <f>IFERROR(VLOOKUP(D:D,[1]Габариты!$A:$I,9,0),"")</f>
        <v>Вакансия</v>
      </c>
      <c r="AB766" s="6" t="str">
        <f>IFERROR(VLOOKUP(D:D,[1]Габариты!$A:$D,4,0),"")</f>
        <v>КОМОДЫ</v>
      </c>
      <c r="AC766" s="39">
        <f t="shared" si="168"/>
        <v>2919</v>
      </c>
      <c r="AD766" s="13" t="str">
        <f t="shared" si="139"/>
        <v xml:space="preserve">СКГТ </v>
      </c>
    </row>
    <row r="767" spans="1:30" s="6" customFormat="1" ht="20.100000000000001" customHeight="1" outlineLevel="1" x14ac:dyDescent="0.25">
      <c r="A767" s="665" t="s">
        <v>281</v>
      </c>
      <c r="B767" s="2"/>
      <c r="C767" s="13" t="s">
        <v>3172</v>
      </c>
      <c r="D767" s="39">
        <v>3042</v>
      </c>
      <c r="E767" s="4">
        <v>9</v>
      </c>
      <c r="F767" s="101">
        <v>3042</v>
      </c>
      <c r="G767" s="57"/>
      <c r="H767" s="4" t="s">
        <v>7034</v>
      </c>
      <c r="I767" s="4"/>
      <c r="J767" s="4"/>
      <c r="K767" s="54"/>
      <c r="L767" s="57"/>
      <c r="M767" s="57"/>
      <c r="N767" s="4" t="s">
        <v>832</v>
      </c>
      <c r="O767" s="4">
        <v>291740062</v>
      </c>
      <c r="P767" s="4">
        <v>291740067</v>
      </c>
      <c r="Q767" s="767"/>
      <c r="R767" s="767"/>
      <c r="S767" s="4"/>
      <c r="T767" s="4"/>
      <c r="U767" s="4"/>
      <c r="V767" s="4"/>
      <c r="W767" s="4" t="s">
        <v>2116</v>
      </c>
      <c r="X767" s="4" t="s">
        <v>832</v>
      </c>
      <c r="Y767" s="4" t="s">
        <v>4066</v>
      </c>
      <c r="Z767" s="35"/>
      <c r="AA767" s="1" t="str">
        <f>IFERROR(VLOOKUP(D:D,[1]Габариты!$A:$I,9,0),"")</f>
        <v>Вакансия</v>
      </c>
      <c r="AB767" s="6" t="str">
        <f>IFERROR(VLOOKUP(D:D,[1]Габариты!$A:$D,4,0),"")</f>
        <v>КОМОДЫ</v>
      </c>
      <c r="AC767" s="39">
        <f t="shared" si="168"/>
        <v>3042</v>
      </c>
      <c r="AD767" s="13" t="str">
        <f t="shared" ref="AD767:AD831" si="169">C767</f>
        <v xml:space="preserve">СКГТ </v>
      </c>
    </row>
    <row r="768" spans="1:30" s="6" customFormat="1" ht="20.100000000000001" customHeight="1" outlineLevel="1" x14ac:dyDescent="0.25">
      <c r="A768" s="665" t="s">
        <v>38</v>
      </c>
      <c r="B768" s="2"/>
      <c r="C768" s="13" t="s">
        <v>4050</v>
      </c>
      <c r="D768" s="39">
        <v>3043</v>
      </c>
      <c r="E768" s="4">
        <v>9</v>
      </c>
      <c r="F768" s="101">
        <v>3043</v>
      </c>
      <c r="G768" s="57"/>
      <c r="H768" s="4" t="s">
        <v>7035</v>
      </c>
      <c r="I768" s="4"/>
      <c r="J768" s="4"/>
      <c r="K768" s="54">
        <v>3043</v>
      </c>
      <c r="L768" s="57">
        <v>301832267</v>
      </c>
      <c r="M768" s="57">
        <v>301832267</v>
      </c>
      <c r="N768" s="4" t="s">
        <v>833</v>
      </c>
      <c r="O768" s="4">
        <v>301815844</v>
      </c>
      <c r="P768" s="4">
        <v>301817173</v>
      </c>
      <c r="Q768" s="767"/>
      <c r="R768" s="767"/>
      <c r="S768" s="4"/>
      <c r="T768" s="4"/>
      <c r="U768" s="4"/>
      <c r="V768" s="4"/>
      <c r="W768" s="4" t="s">
        <v>2117</v>
      </c>
      <c r="X768" s="4" t="s">
        <v>833</v>
      </c>
      <c r="Y768" s="4" t="s">
        <v>4066</v>
      </c>
      <c r="Z768" s="35"/>
      <c r="AA768" s="1" t="str">
        <f>IFERROR(VLOOKUP(D:D,[1]Габариты!$A:$I,9,0),"")</f>
        <v>Вакансия</v>
      </c>
      <c r="AB768" s="6" t="str">
        <f>IFERROR(VLOOKUP(D:D,[1]Габариты!$A:$D,4,0),"")</f>
        <v>КОМОДЫ</v>
      </c>
      <c r="AC768" s="39">
        <f t="shared" si="168"/>
        <v>3043</v>
      </c>
      <c r="AD768" s="13" t="str">
        <f t="shared" si="169"/>
        <v>СКГТ (ОЗОН)</v>
      </c>
    </row>
    <row r="769" spans="1:30" s="6" customFormat="1" ht="20.100000000000001" customHeight="1" outlineLevel="1" x14ac:dyDescent="0.25">
      <c r="A769" s="665" t="s">
        <v>379</v>
      </c>
      <c r="B769" s="5"/>
      <c r="C769" s="13" t="s">
        <v>3172</v>
      </c>
      <c r="D769" s="40">
        <v>4303376</v>
      </c>
      <c r="E769" s="4"/>
      <c r="F769" s="101"/>
      <c r="G769" s="57"/>
      <c r="H769" s="4" t="s">
        <v>7036</v>
      </c>
      <c r="I769" s="4"/>
      <c r="J769" s="4"/>
      <c r="K769" s="54"/>
      <c r="L769" s="57"/>
      <c r="M769" s="57"/>
      <c r="N769" s="806" t="s">
        <v>7728</v>
      </c>
      <c r="O769" s="4">
        <v>301747438</v>
      </c>
      <c r="P769" s="4">
        <v>301747465</v>
      </c>
      <c r="Q769" s="767"/>
      <c r="R769" s="767"/>
      <c r="S769" s="4"/>
      <c r="T769" s="4"/>
      <c r="U769" s="4"/>
      <c r="V769" s="4"/>
      <c r="W769" s="4" t="s">
        <v>2119</v>
      </c>
      <c r="X769" s="4"/>
      <c r="Y769" s="4" t="s">
        <v>4066</v>
      </c>
      <c r="Z769" s="35"/>
      <c r="AA769" s="1" t="str">
        <f>IFERROR(VLOOKUP(D:D,[1]Габариты!$A:$I,9,0),"")</f>
        <v>Вакансия</v>
      </c>
      <c r="AB769" s="6" t="str">
        <f>IFERROR(VLOOKUP(D:D,[1]Габариты!$A:$D,4,0),"")</f>
        <v>КОМОДЫ</v>
      </c>
      <c r="AC769" s="39">
        <f t="shared" si="168"/>
        <v>4303376</v>
      </c>
      <c r="AD769" s="13" t="str">
        <f t="shared" si="169"/>
        <v xml:space="preserve">СКГТ </v>
      </c>
    </row>
    <row r="770" spans="1:30" s="6" customFormat="1" ht="20.100000000000001" customHeight="1" outlineLevel="1" x14ac:dyDescent="0.25">
      <c r="A770" s="665" t="s">
        <v>380</v>
      </c>
      <c r="B770" s="5"/>
      <c r="C770" s="13" t="s">
        <v>3172</v>
      </c>
      <c r="D770" s="40">
        <v>4303384</v>
      </c>
      <c r="E770" s="4"/>
      <c r="F770" s="101"/>
      <c r="G770" s="57"/>
      <c r="H770" s="4"/>
      <c r="I770" s="4"/>
      <c r="J770" s="4"/>
      <c r="K770" s="54"/>
      <c r="L770" s="57"/>
      <c r="M770" s="57"/>
      <c r="N770" s="806" t="s">
        <v>7729</v>
      </c>
      <c r="O770" s="4">
        <v>302152471</v>
      </c>
      <c r="P770" s="4">
        <v>302152493</v>
      </c>
      <c r="Q770" s="767"/>
      <c r="R770" s="767"/>
      <c r="S770" s="4"/>
      <c r="T770" s="4"/>
      <c r="U770" s="4"/>
      <c r="V770" s="4"/>
      <c r="W770" s="4" t="s">
        <v>2120</v>
      </c>
      <c r="X770" s="4"/>
      <c r="Y770" s="4" t="s">
        <v>4066</v>
      </c>
      <c r="Z770" s="35"/>
      <c r="AA770" s="1" t="str">
        <f>IFERROR(VLOOKUP(D:D,[1]Габариты!$A:$I,9,0),"")</f>
        <v>Вакансия</v>
      </c>
      <c r="AB770" s="6" t="str">
        <f>IFERROR(VLOOKUP(D:D,[1]Габариты!$A:$D,4,0),"")</f>
        <v>КОМОДЫ</v>
      </c>
      <c r="AC770" s="39">
        <f t="shared" si="168"/>
        <v>4303384</v>
      </c>
      <c r="AD770" s="13" t="str">
        <f t="shared" si="169"/>
        <v xml:space="preserve">СКГТ </v>
      </c>
    </row>
    <row r="771" spans="1:30" s="6" customFormat="1" ht="20.100000000000001" customHeight="1" outlineLevel="1" x14ac:dyDescent="0.25">
      <c r="A771" s="635" t="s">
        <v>445</v>
      </c>
      <c r="B771" s="22"/>
      <c r="C771" s="13" t="s">
        <v>2581</v>
      </c>
      <c r="D771" s="39">
        <v>2999</v>
      </c>
      <c r="E771" s="4">
        <v>20</v>
      </c>
      <c r="F771" s="101">
        <v>2999</v>
      </c>
      <c r="G771" s="57" t="s">
        <v>4940</v>
      </c>
      <c r="H771" s="4" t="s">
        <v>7037</v>
      </c>
      <c r="I771" s="4" t="s">
        <v>1178</v>
      </c>
      <c r="J771" s="4"/>
      <c r="K771" s="54">
        <v>2999</v>
      </c>
      <c r="L771" s="57">
        <v>363582522</v>
      </c>
      <c r="M771" s="57">
        <v>363582522</v>
      </c>
      <c r="N771" s="4" t="s">
        <v>721</v>
      </c>
      <c r="O771" s="4">
        <v>363627219</v>
      </c>
      <c r="P771" s="4">
        <v>363627220</v>
      </c>
      <c r="Q771" s="767" t="s">
        <v>2704</v>
      </c>
      <c r="R771" s="767">
        <v>363655501</v>
      </c>
      <c r="S771" s="4">
        <v>363655500</v>
      </c>
      <c r="T771" s="4"/>
      <c r="U771" s="4"/>
      <c r="V771" s="4"/>
      <c r="W771" s="4" t="s">
        <v>2131</v>
      </c>
      <c r="X771" s="4" t="s">
        <v>721</v>
      </c>
      <c r="Y771" s="4">
        <v>2999</v>
      </c>
      <c r="Z771" s="35"/>
      <c r="AA771" s="1" t="str">
        <f>IFERROR(VLOOKUP(D:D,[1]Габариты!$A:$I,9,0),"")</f>
        <v>Вакансия</v>
      </c>
      <c r="AB771" s="6" t="str">
        <f>IFERROR(VLOOKUP(D:D,[1]Габариты!$A:$D,4,0),"")</f>
        <v>КОМОДЫ</v>
      </c>
      <c r="AC771" s="39">
        <f t="shared" si="168"/>
        <v>2999</v>
      </c>
      <c r="AD771" s="13" t="str">
        <f t="shared" si="169"/>
        <v>FBS</v>
      </c>
    </row>
    <row r="772" spans="1:30" s="6" customFormat="1" ht="20.100000000000001" customHeight="1" outlineLevel="1" x14ac:dyDescent="0.25">
      <c r="A772" s="635" t="s">
        <v>467</v>
      </c>
      <c r="B772" s="25"/>
      <c r="C772" s="13" t="s">
        <v>2581</v>
      </c>
      <c r="D772" s="39">
        <v>235531</v>
      </c>
      <c r="E772" s="4"/>
      <c r="F772" s="101"/>
      <c r="G772" s="57"/>
      <c r="H772" s="4" t="s">
        <v>7038</v>
      </c>
      <c r="I772" s="4"/>
      <c r="J772" s="4"/>
      <c r="K772" s="54"/>
      <c r="L772" s="57"/>
      <c r="M772" s="57"/>
      <c r="N772" s="4"/>
      <c r="O772" s="4"/>
      <c r="P772" s="4"/>
      <c r="Q772" s="767"/>
      <c r="R772" s="767"/>
      <c r="S772" s="4"/>
      <c r="T772" s="4"/>
      <c r="U772" s="4"/>
      <c r="V772" s="4"/>
      <c r="W772" s="4"/>
      <c r="X772" s="4"/>
      <c r="Y772" s="4" t="s">
        <v>4066</v>
      </c>
      <c r="Z772" s="35"/>
      <c r="AA772" s="1" t="str">
        <f>IFERROR(VLOOKUP(D:D,[1]Габариты!$A:$I,9,0),"")</f>
        <v>Вакансия</v>
      </c>
      <c r="AB772" s="6" t="str">
        <f>IFERROR(VLOOKUP(D:D,[1]Габариты!$A:$D,4,0),"")</f>
        <v>КОМОДЫ</v>
      </c>
      <c r="AC772" s="39">
        <f t="shared" si="168"/>
        <v>235531</v>
      </c>
      <c r="AD772" s="13" t="str">
        <f t="shared" si="169"/>
        <v>FBS</v>
      </c>
    </row>
    <row r="773" spans="1:30" s="6" customFormat="1" ht="20.100000000000001" customHeight="1" outlineLevel="1" x14ac:dyDescent="0.25">
      <c r="A773" s="635" t="s">
        <v>468</v>
      </c>
      <c r="B773" s="25"/>
      <c r="C773" s="13" t="s">
        <v>2581</v>
      </c>
      <c r="D773" s="39">
        <v>235532</v>
      </c>
      <c r="E773" s="4"/>
      <c r="F773" s="101"/>
      <c r="G773" s="57"/>
      <c r="H773" s="4" t="s">
        <v>7039</v>
      </c>
      <c r="I773" s="4"/>
      <c r="J773" s="4"/>
      <c r="K773" s="54"/>
      <c r="L773" s="57"/>
      <c r="M773" s="57"/>
      <c r="N773" s="4"/>
      <c r="O773" s="4"/>
      <c r="P773" s="4"/>
      <c r="Q773" s="767"/>
      <c r="R773" s="767"/>
      <c r="S773" s="4"/>
      <c r="T773" s="4"/>
      <c r="U773" s="4"/>
      <c r="V773" s="4"/>
      <c r="W773" s="4"/>
      <c r="X773" s="4"/>
      <c r="Y773" s="4" t="s">
        <v>4066</v>
      </c>
      <c r="Z773" s="35"/>
      <c r="AA773" s="1" t="str">
        <f>IFERROR(VLOOKUP(D:D,[1]Габариты!$A:$I,9,0),"")</f>
        <v>Вакансия</v>
      </c>
      <c r="AB773" s="6" t="str">
        <f>IFERROR(VLOOKUP(D:D,[1]Габариты!$A:$D,4,0),"")</f>
        <v>КОМОДЫ</v>
      </c>
      <c r="AC773" s="39">
        <f t="shared" si="168"/>
        <v>235532</v>
      </c>
      <c r="AD773" s="13" t="str">
        <f t="shared" si="169"/>
        <v>FBS</v>
      </c>
    </row>
    <row r="774" spans="1:30" s="6" customFormat="1" ht="20.100000000000001" customHeight="1" outlineLevel="1" x14ac:dyDescent="0.25">
      <c r="A774" s="635" t="s">
        <v>469</v>
      </c>
      <c r="B774" s="25"/>
      <c r="C774" s="13" t="s">
        <v>2581</v>
      </c>
      <c r="D774" s="39">
        <v>235533</v>
      </c>
      <c r="E774" s="4"/>
      <c r="F774" s="101"/>
      <c r="G774" s="57"/>
      <c r="H774" s="4" t="s">
        <v>7040</v>
      </c>
      <c r="I774" s="4"/>
      <c r="J774" s="4"/>
      <c r="K774" s="54"/>
      <c r="L774" s="57"/>
      <c r="M774" s="57"/>
      <c r="N774" s="4"/>
      <c r="O774" s="4"/>
      <c r="P774" s="4"/>
      <c r="Q774" s="767"/>
      <c r="R774" s="767"/>
      <c r="S774" s="4"/>
      <c r="T774" s="4"/>
      <c r="U774" s="4"/>
      <c r="V774" s="4"/>
      <c r="W774" s="4"/>
      <c r="X774" s="4"/>
      <c r="Y774" s="4" t="s">
        <v>4066</v>
      </c>
      <c r="Z774" s="35"/>
      <c r="AA774" s="1" t="str">
        <f>IFERROR(VLOOKUP(D:D,[1]Габариты!$A:$I,9,0),"")</f>
        <v>Вакансия</v>
      </c>
      <c r="AB774" s="6" t="str">
        <f>IFERROR(VLOOKUP(D:D,[1]Габариты!$A:$D,4,0),"")</f>
        <v>КОМОДЫ</v>
      </c>
      <c r="AC774" s="39">
        <f t="shared" si="168"/>
        <v>235533</v>
      </c>
      <c r="AD774" s="13" t="str">
        <f t="shared" si="169"/>
        <v>FBS</v>
      </c>
    </row>
    <row r="775" spans="1:30" s="6" customFormat="1" ht="20.100000000000001" customHeight="1" outlineLevel="1" x14ac:dyDescent="0.25">
      <c r="A775" s="635" t="s">
        <v>546</v>
      </c>
      <c r="B775" s="25"/>
      <c r="C775" s="13" t="s">
        <v>2581</v>
      </c>
      <c r="D775" s="39">
        <v>235534</v>
      </c>
      <c r="E775" s="4"/>
      <c r="F775" s="101"/>
      <c r="G775" s="57"/>
      <c r="H775" s="4" t="s">
        <v>7041</v>
      </c>
      <c r="I775" s="4"/>
      <c r="J775" s="4"/>
      <c r="K775" s="54"/>
      <c r="L775" s="57"/>
      <c r="M775" s="57"/>
      <c r="N775" s="4"/>
      <c r="O775" s="4"/>
      <c r="P775" s="4"/>
      <c r="Q775" s="767"/>
      <c r="R775" s="767"/>
      <c r="S775" s="4"/>
      <c r="T775" s="4"/>
      <c r="U775" s="4"/>
      <c r="V775" s="4"/>
      <c r="W775" s="4"/>
      <c r="X775" s="4"/>
      <c r="Y775" s="4" t="s">
        <v>4066</v>
      </c>
      <c r="Z775" s="35"/>
      <c r="AA775" s="1" t="str">
        <f>IFERROR(VLOOKUP(D:D,[1]Габариты!$A:$I,9,0),"")</f>
        <v>Вакансия</v>
      </c>
      <c r="AB775" s="6" t="str">
        <f>IFERROR(VLOOKUP(D:D,[1]Габариты!$A:$D,4,0),"")</f>
        <v>КОМОДЫ</v>
      </c>
      <c r="AC775" s="39">
        <f t="shared" si="168"/>
        <v>235534</v>
      </c>
      <c r="AD775" s="13" t="str">
        <f t="shared" si="169"/>
        <v>FBS</v>
      </c>
    </row>
    <row r="776" spans="1:30" s="6" customFormat="1" ht="20.100000000000001" customHeight="1" outlineLevel="1" x14ac:dyDescent="0.25">
      <c r="A776" s="635" t="s">
        <v>521</v>
      </c>
      <c r="B776" s="25"/>
      <c r="C776" s="13" t="s">
        <v>2581</v>
      </c>
      <c r="D776" s="39">
        <v>235535</v>
      </c>
      <c r="E776" s="4"/>
      <c r="F776" s="101"/>
      <c r="G776" s="57"/>
      <c r="H776" s="4" t="s">
        <v>7042</v>
      </c>
      <c r="I776" s="4"/>
      <c r="J776" s="4"/>
      <c r="K776" s="54"/>
      <c r="L776" s="57"/>
      <c r="M776" s="57"/>
      <c r="N776" s="4"/>
      <c r="O776" s="4"/>
      <c r="P776" s="4"/>
      <c r="Q776" s="767"/>
      <c r="R776" s="767"/>
      <c r="S776" s="4"/>
      <c r="T776" s="4"/>
      <c r="U776" s="4"/>
      <c r="V776" s="4"/>
      <c r="W776" s="4"/>
      <c r="X776" s="4"/>
      <c r="Y776" s="4" t="s">
        <v>4066</v>
      </c>
      <c r="Z776" s="35"/>
      <c r="AA776" s="1" t="str">
        <f>IFERROR(VLOOKUP(D:D,[1]Габариты!$A:$I,9,0),"")</f>
        <v>Вакансия</v>
      </c>
      <c r="AB776" s="6" t="str">
        <f>IFERROR(VLOOKUP(D:D,[1]Габариты!$A:$D,4,0),"")</f>
        <v>КОМОДЫ</v>
      </c>
      <c r="AC776" s="39">
        <f t="shared" si="168"/>
        <v>235535</v>
      </c>
      <c r="AD776" s="13" t="str">
        <f t="shared" si="169"/>
        <v>FBS</v>
      </c>
    </row>
    <row r="777" spans="1:30" s="6" customFormat="1" ht="20.100000000000001" customHeight="1" outlineLevel="1" x14ac:dyDescent="0.25">
      <c r="A777" s="635" t="s">
        <v>190</v>
      </c>
      <c r="B777" s="3"/>
      <c r="C777" s="13" t="s">
        <v>3172</v>
      </c>
      <c r="D777" s="39">
        <v>2917</v>
      </c>
      <c r="E777" s="4">
        <v>12</v>
      </c>
      <c r="F777" s="101">
        <v>2917</v>
      </c>
      <c r="G777" s="57"/>
      <c r="H777" s="4" t="s">
        <v>7043</v>
      </c>
      <c r="I777" s="4" t="s">
        <v>1186</v>
      </c>
      <c r="J777" s="4"/>
      <c r="K777" s="54"/>
      <c r="L777" s="57"/>
      <c r="M777" s="57"/>
      <c r="N777" s="4" t="s">
        <v>674</v>
      </c>
      <c r="O777" s="4">
        <v>266781836</v>
      </c>
      <c r="P777" s="4">
        <v>266781843</v>
      </c>
      <c r="Q777" s="767"/>
      <c r="R777" s="767">
        <v>348424563</v>
      </c>
      <c r="S777" s="4">
        <v>348424564</v>
      </c>
      <c r="T777" s="4"/>
      <c r="U777" s="4"/>
      <c r="V777" s="4"/>
      <c r="W777" s="4" t="s">
        <v>2143</v>
      </c>
      <c r="X777" s="4" t="s">
        <v>674</v>
      </c>
      <c r="Y777" s="4" t="s">
        <v>4066</v>
      </c>
      <c r="Z777" s="35"/>
      <c r="AA777" s="1" t="str">
        <f>IFERROR(VLOOKUP(D:D,[1]Габариты!$A:$I,9,0),"")</f>
        <v>Вакансия</v>
      </c>
      <c r="AB777" s="6" t="str">
        <f>IFERROR(VLOOKUP(D:D,[1]Габариты!$A:$D,4,0),"")</f>
        <v>КОМОДЫ</v>
      </c>
      <c r="AC777" s="39">
        <f t="shared" si="168"/>
        <v>2917</v>
      </c>
      <c r="AD777" s="13" t="str">
        <f t="shared" si="169"/>
        <v xml:space="preserve">СКГТ </v>
      </c>
    </row>
    <row r="778" spans="1:30" s="6" customFormat="1" ht="20.100000000000001" customHeight="1" outlineLevel="1" x14ac:dyDescent="0.25">
      <c r="A778" s="635" t="s">
        <v>300</v>
      </c>
      <c r="B778" s="3"/>
      <c r="C778" s="13" t="s">
        <v>2581</v>
      </c>
      <c r="D778" s="40">
        <v>3132</v>
      </c>
      <c r="E778" s="4">
        <v>18</v>
      </c>
      <c r="F778" s="101">
        <v>3132</v>
      </c>
      <c r="G778" s="57" t="s">
        <v>5016</v>
      </c>
      <c r="H778" s="4" t="s">
        <v>7044</v>
      </c>
      <c r="I778" s="4"/>
      <c r="J778" s="4"/>
      <c r="K778" s="54"/>
      <c r="L778" s="57"/>
      <c r="M778" s="57"/>
      <c r="N778" s="4" t="s">
        <v>837</v>
      </c>
      <c r="O778" s="4">
        <v>323251000</v>
      </c>
      <c r="P778" s="4">
        <v>323251034</v>
      </c>
      <c r="Q778" s="767"/>
      <c r="R778" s="767">
        <v>348277513</v>
      </c>
      <c r="S778" s="4">
        <v>348277514</v>
      </c>
      <c r="T778" s="4"/>
      <c r="U778" s="4"/>
      <c r="V778" s="4"/>
      <c r="W778" s="4" t="s">
        <v>2145</v>
      </c>
      <c r="X778" s="4" t="s">
        <v>837</v>
      </c>
      <c r="Y778" s="4" t="s">
        <v>4066</v>
      </c>
      <c r="Z778" s="35"/>
      <c r="AA778" s="1" t="str">
        <f>IFERROR(VLOOKUP(D:D,[1]Габариты!$A:$I,9,0),"")</f>
        <v>Вакансия</v>
      </c>
      <c r="AB778" s="6" t="str">
        <f>IFERROR(VLOOKUP(D:D,[1]Габариты!$A:$D,4,0),"")</f>
        <v>КОМОДЫ</v>
      </c>
      <c r="AC778" s="39">
        <f t="shared" si="168"/>
        <v>3132</v>
      </c>
      <c r="AD778" s="13" t="str">
        <f t="shared" si="169"/>
        <v>FBS</v>
      </c>
    </row>
    <row r="779" spans="1:30" s="6" customFormat="1" ht="20.100000000000001" customHeight="1" outlineLevel="1" x14ac:dyDescent="0.25">
      <c r="A779" s="635" t="s">
        <v>498</v>
      </c>
      <c r="B779" s="25"/>
      <c r="C779" s="13" t="s">
        <v>2582</v>
      </c>
      <c r="D779" s="40">
        <v>3151</v>
      </c>
      <c r="E779" s="4">
        <v>30</v>
      </c>
      <c r="F779" s="101">
        <v>3151</v>
      </c>
      <c r="G779" s="57" t="s">
        <v>5026</v>
      </c>
      <c r="H779" s="4" t="s">
        <v>7045</v>
      </c>
      <c r="I779" s="4"/>
      <c r="J779" s="4"/>
      <c r="K779" s="54"/>
      <c r="L779" s="57"/>
      <c r="M779" s="57"/>
      <c r="N779" s="4" t="s">
        <v>841</v>
      </c>
      <c r="O779" s="4">
        <v>715086282</v>
      </c>
      <c r="P779" s="4">
        <v>715086283</v>
      </c>
      <c r="Q779" s="767"/>
      <c r="R779" s="767"/>
      <c r="S779" s="4"/>
      <c r="T779" s="4"/>
      <c r="U779" s="4"/>
      <c r="V779" s="4"/>
      <c r="W779" s="4" t="s">
        <v>2149</v>
      </c>
      <c r="X779" s="4" t="s">
        <v>841</v>
      </c>
      <c r="Y779" s="4">
        <v>3151</v>
      </c>
      <c r="Z779" s="35"/>
      <c r="AA779" s="1" t="str">
        <f>IFERROR(VLOOKUP(D:D,[1]Габариты!$A:$I,9,0),"")</f>
        <v>Вакансия</v>
      </c>
      <c r="AB779" s="6" t="str">
        <f>IFERROR(VLOOKUP(D:D,[1]Габариты!$A:$D,4,0),"")</f>
        <v>КОМОДЫ</v>
      </c>
      <c r="AC779" s="39">
        <f t="shared" si="168"/>
        <v>3151</v>
      </c>
      <c r="AD779" s="13" t="str">
        <f t="shared" si="169"/>
        <v>FBO</v>
      </c>
    </row>
    <row r="780" spans="1:30" s="6" customFormat="1" ht="20.100000000000001" customHeight="1" outlineLevel="1" x14ac:dyDescent="0.25">
      <c r="A780" s="631" t="s">
        <v>519</v>
      </c>
      <c r="B780" s="29"/>
      <c r="C780" s="13" t="s">
        <v>4050</v>
      </c>
      <c r="D780" s="40">
        <v>3170</v>
      </c>
      <c r="E780" s="4">
        <v>16</v>
      </c>
      <c r="F780" s="101">
        <v>3170</v>
      </c>
      <c r="G780" s="57"/>
      <c r="H780" s="4" t="s">
        <v>7046</v>
      </c>
      <c r="I780" s="4"/>
      <c r="J780" s="4"/>
      <c r="K780" s="54"/>
      <c r="L780" s="57"/>
      <c r="M780" s="57"/>
      <c r="N780" s="4" t="s">
        <v>845</v>
      </c>
      <c r="O780" s="4">
        <v>481650252</v>
      </c>
      <c r="P780" s="4">
        <v>481650251</v>
      </c>
      <c r="Q780" s="767"/>
      <c r="R780" s="767"/>
      <c r="S780" s="4"/>
      <c r="T780" s="4"/>
      <c r="U780" s="4"/>
      <c r="V780" s="4"/>
      <c r="W780" s="4" t="s">
        <v>2153</v>
      </c>
      <c r="X780" s="4" t="s">
        <v>845</v>
      </c>
      <c r="Y780" s="4">
        <v>3170</v>
      </c>
      <c r="Z780" s="35"/>
      <c r="AA780" s="1" t="str">
        <f>IFERROR(VLOOKUP(D:D,[1]Габариты!$A:$I,9,0),"")</f>
        <v>Вакансия</v>
      </c>
      <c r="AB780" s="6" t="str">
        <f>IFERROR(VLOOKUP(D:D,[1]Габариты!$A:$D,4,0),"")</f>
        <v>КОМОДЫ</v>
      </c>
      <c r="AC780" s="39">
        <f t="shared" si="168"/>
        <v>3170</v>
      </c>
      <c r="AD780" s="13" t="str">
        <f t="shared" si="169"/>
        <v>СКГТ (ОЗОН)</v>
      </c>
    </row>
    <row r="781" spans="1:30" s="6" customFormat="1" ht="20.100000000000001" customHeight="1" outlineLevel="1" x14ac:dyDescent="0.25">
      <c r="A781" s="635" t="s">
        <v>537</v>
      </c>
      <c r="B781" s="25"/>
      <c r="C781" s="13" t="s">
        <v>2582</v>
      </c>
      <c r="D781" s="40">
        <v>3203</v>
      </c>
      <c r="E781" s="4">
        <v>30</v>
      </c>
      <c r="F781" s="101">
        <v>3203</v>
      </c>
      <c r="G781" s="57" t="s">
        <v>5046</v>
      </c>
      <c r="H781" s="4" t="s">
        <v>7047</v>
      </c>
      <c r="I781" s="4"/>
      <c r="J781" s="4"/>
      <c r="K781" s="54"/>
      <c r="L781" s="57"/>
      <c r="M781" s="57"/>
      <c r="N781" s="4" t="s">
        <v>849</v>
      </c>
      <c r="O781" s="4">
        <v>466307847</v>
      </c>
      <c r="P781" s="4">
        <v>466307846</v>
      </c>
      <c r="Q781" s="767"/>
      <c r="R781" s="767"/>
      <c r="S781" s="4"/>
      <c r="T781" s="4"/>
      <c r="U781" s="4"/>
      <c r="V781" s="4"/>
      <c r="W781" s="4" t="s">
        <v>2157</v>
      </c>
      <c r="X781" s="4" t="s">
        <v>849</v>
      </c>
      <c r="Y781" s="4" t="s">
        <v>4066</v>
      </c>
      <c r="Z781" s="35"/>
      <c r="AA781" s="1" t="str">
        <f>IFERROR(VLOOKUP(D:D,[1]Габариты!$A:$I,9,0),"")</f>
        <v>Вакансия</v>
      </c>
      <c r="AB781" s="6" t="str">
        <f>IFERROR(VLOOKUP(D:D,[1]Габариты!$A:$D,4,0),"")</f>
        <v>КОМОДЫ</v>
      </c>
      <c r="AC781" s="39">
        <f t="shared" si="168"/>
        <v>3203</v>
      </c>
      <c r="AD781" s="13" t="str">
        <f t="shared" si="169"/>
        <v>FBO</v>
      </c>
    </row>
    <row r="782" spans="1:30" s="6" customFormat="1" ht="20.100000000000001" customHeight="1" outlineLevel="1" x14ac:dyDescent="0.25">
      <c r="A782" s="631" t="s">
        <v>1055</v>
      </c>
      <c r="B782" s="29"/>
      <c r="C782" s="13" t="s">
        <v>2581</v>
      </c>
      <c r="D782" s="40">
        <v>140005</v>
      </c>
      <c r="E782" s="4">
        <v>18</v>
      </c>
      <c r="F782" s="101">
        <v>140005</v>
      </c>
      <c r="G782" s="57"/>
      <c r="H782" s="4" t="s">
        <v>7048</v>
      </c>
      <c r="I782" s="4"/>
      <c r="J782" s="4"/>
      <c r="K782" s="54"/>
      <c r="L782" s="57"/>
      <c r="M782" s="57"/>
      <c r="N782" s="4" t="s">
        <v>1107</v>
      </c>
      <c r="O782" s="4">
        <v>631788783</v>
      </c>
      <c r="P782" s="4">
        <v>631788784</v>
      </c>
      <c r="Q782" s="767"/>
      <c r="R782" s="767"/>
      <c r="S782" s="4"/>
      <c r="T782" s="4"/>
      <c r="U782" s="4"/>
      <c r="V782" s="4"/>
      <c r="W782" s="4"/>
      <c r="X782" s="4" t="s">
        <v>1107</v>
      </c>
      <c r="Y782" s="4" t="s">
        <v>4066</v>
      </c>
      <c r="Z782" s="35"/>
      <c r="AA782" s="1" t="str">
        <f>IFERROR(VLOOKUP(D:D,[1]Габариты!$A:$I,9,0),"")</f>
        <v>Вакансия</v>
      </c>
      <c r="AB782" s="6" t="str">
        <f>IFERROR(VLOOKUP(D:D,[1]Габариты!$A:$D,4,0),"")</f>
        <v>КОМОДЫ</v>
      </c>
      <c r="AC782" s="39">
        <f t="shared" si="168"/>
        <v>140005</v>
      </c>
      <c r="AD782" s="13" t="str">
        <f t="shared" si="169"/>
        <v>FBS</v>
      </c>
    </row>
    <row r="783" spans="1:30" s="6" customFormat="1" ht="20.100000000000001" customHeight="1" outlineLevel="1" x14ac:dyDescent="0.25">
      <c r="A783" s="631" t="s">
        <v>1454</v>
      </c>
      <c r="B783" s="29"/>
      <c r="C783" s="13" t="s">
        <v>3172</v>
      </c>
      <c r="D783" s="40">
        <v>135537</v>
      </c>
      <c r="E783" s="4">
        <v>17</v>
      </c>
      <c r="F783" s="101">
        <v>135537</v>
      </c>
      <c r="G783" s="57"/>
      <c r="H783" s="4"/>
      <c r="I783" s="4"/>
      <c r="J783" s="4"/>
      <c r="K783" s="54"/>
      <c r="L783" s="57"/>
      <c r="M783" s="57"/>
      <c r="N783" s="4" t="s">
        <v>1522</v>
      </c>
      <c r="O783" s="4">
        <v>740180697</v>
      </c>
      <c r="P783" s="4">
        <v>740180698</v>
      </c>
      <c r="Q783" s="767"/>
      <c r="R783" s="767"/>
      <c r="S783" s="4"/>
      <c r="T783" s="4"/>
      <c r="U783" s="4"/>
      <c r="V783" s="4"/>
      <c r="W783" s="4"/>
      <c r="X783" s="4" t="s">
        <v>1522</v>
      </c>
      <c r="Y783" s="4" t="s">
        <v>4066</v>
      </c>
      <c r="Z783" s="35"/>
      <c r="AA783" s="1" t="str">
        <f>IFERROR(VLOOKUP(D:D,[1]Габариты!$A:$I,9,0),"")</f>
        <v>Вакансия</v>
      </c>
      <c r="AB783" s="6" t="str">
        <f>IFERROR(VLOOKUP(D:D,[1]Габариты!$A:$D,4,0),"")</f>
        <v>КОМОДЫ</v>
      </c>
      <c r="AC783" s="39">
        <f t="shared" si="168"/>
        <v>135537</v>
      </c>
      <c r="AD783" s="13" t="str">
        <f t="shared" si="169"/>
        <v xml:space="preserve">СКГТ </v>
      </c>
    </row>
    <row r="784" spans="1:30" s="6" customFormat="1" ht="20.100000000000001" customHeight="1" outlineLevel="1" x14ac:dyDescent="0.25">
      <c r="A784" s="631" t="s">
        <v>1455</v>
      </c>
      <c r="B784" s="29"/>
      <c r="C784" s="13" t="s">
        <v>4050</v>
      </c>
      <c r="D784" s="40">
        <v>135538</v>
      </c>
      <c r="E784" s="4">
        <v>17</v>
      </c>
      <c r="F784" s="101">
        <v>135538</v>
      </c>
      <c r="G784" s="57"/>
      <c r="H784" s="4"/>
      <c r="I784" s="4"/>
      <c r="J784" s="4"/>
      <c r="K784" s="54"/>
      <c r="L784" s="57"/>
      <c r="M784" s="57"/>
      <c r="N784" s="4" t="s">
        <v>1523</v>
      </c>
      <c r="O784" s="4">
        <v>740160543</v>
      </c>
      <c r="P784" s="4">
        <v>740160544</v>
      </c>
      <c r="Q784" s="767"/>
      <c r="R784" s="767"/>
      <c r="S784" s="4"/>
      <c r="T784" s="4"/>
      <c r="U784" s="4"/>
      <c r="V784" s="4"/>
      <c r="W784" s="4"/>
      <c r="X784" s="4" t="s">
        <v>1523</v>
      </c>
      <c r="Y784" s="4">
        <v>135538</v>
      </c>
      <c r="Z784" s="35"/>
      <c r="AA784" s="1" t="str">
        <f>IFERROR(VLOOKUP(D:D,[1]Габариты!$A:$I,9,0),"")</f>
        <v>Вакансия</v>
      </c>
      <c r="AB784" s="6" t="str">
        <f>IFERROR(VLOOKUP(D:D,[1]Габариты!$A:$D,4,0),"")</f>
        <v>КОМОДЫ</v>
      </c>
      <c r="AC784" s="39">
        <f t="shared" si="168"/>
        <v>135538</v>
      </c>
      <c r="AD784" s="13" t="str">
        <f t="shared" si="169"/>
        <v>СКГТ (ОЗОН)</v>
      </c>
    </row>
    <row r="785" spans="1:30" s="6" customFormat="1" ht="20.100000000000001" customHeight="1" outlineLevel="1" x14ac:dyDescent="0.25">
      <c r="A785" s="631" t="s">
        <v>1578</v>
      </c>
      <c r="B785" s="29"/>
      <c r="C785" s="13" t="s">
        <v>2581</v>
      </c>
      <c r="D785" s="40">
        <v>3452</v>
      </c>
      <c r="E785" s="4">
        <v>20</v>
      </c>
      <c r="F785" s="101">
        <v>3452</v>
      </c>
      <c r="G785" s="57" t="s">
        <v>5074</v>
      </c>
      <c r="H785" s="4" t="s">
        <v>7049</v>
      </c>
      <c r="I785" s="4"/>
      <c r="J785" s="4"/>
      <c r="K785" s="54">
        <v>3452</v>
      </c>
      <c r="L785" s="57">
        <v>974240170</v>
      </c>
      <c r="M785" s="57">
        <v>974240170</v>
      </c>
      <c r="N785" s="4" t="s">
        <v>1598</v>
      </c>
      <c r="O785" s="4">
        <v>791083504</v>
      </c>
      <c r="P785" s="4">
        <v>791083503</v>
      </c>
      <c r="Q785" s="767"/>
      <c r="R785" s="767"/>
      <c r="S785" s="4"/>
      <c r="T785" s="4"/>
      <c r="U785" s="4"/>
      <c r="V785" s="4"/>
      <c r="W785" s="4"/>
      <c r="X785" s="4" t="s">
        <v>1598</v>
      </c>
      <c r="Y785" s="4" t="s">
        <v>4066</v>
      </c>
      <c r="Z785" s="35"/>
      <c r="AA785" s="1" t="str">
        <f>IFERROR(VLOOKUP(D:D,[1]Габариты!$A:$I,9,0),"")</f>
        <v>Вакансия</v>
      </c>
      <c r="AB785" s="6" t="str">
        <f>IFERROR(VLOOKUP(D:D,[1]Габариты!$A:$D,4,0),"")</f>
        <v>КОМОДЫ</v>
      </c>
      <c r="AC785" s="39">
        <f t="shared" si="168"/>
        <v>3452</v>
      </c>
      <c r="AD785" s="13" t="str">
        <f t="shared" si="169"/>
        <v>FBS</v>
      </c>
    </row>
    <row r="786" spans="1:30" s="6" customFormat="1" ht="20.100000000000001" customHeight="1" outlineLevel="1" x14ac:dyDescent="0.25">
      <c r="A786" s="665" t="s">
        <v>257</v>
      </c>
      <c r="B786" s="2"/>
      <c r="C786" s="13" t="s">
        <v>4050</v>
      </c>
      <c r="D786" s="39">
        <v>3014</v>
      </c>
      <c r="E786" s="4">
        <v>18</v>
      </c>
      <c r="F786" s="101">
        <v>3014</v>
      </c>
      <c r="G786" s="57" t="s">
        <v>4950</v>
      </c>
      <c r="H786" s="4" t="s">
        <v>7050</v>
      </c>
      <c r="I786" s="4" t="s">
        <v>1170</v>
      </c>
      <c r="J786" s="4"/>
      <c r="K786" s="54">
        <v>3014</v>
      </c>
      <c r="L786" s="57">
        <v>293918959</v>
      </c>
      <c r="M786" s="57">
        <v>293918959</v>
      </c>
      <c r="N786" s="4" t="s">
        <v>733</v>
      </c>
      <c r="O786" s="4">
        <v>291587046</v>
      </c>
      <c r="P786" s="4">
        <v>291587057</v>
      </c>
      <c r="Q786" s="767" t="s">
        <v>2685</v>
      </c>
      <c r="R786" s="767">
        <v>359619612</v>
      </c>
      <c r="S786" s="4">
        <v>359619613</v>
      </c>
      <c r="T786" s="4"/>
      <c r="U786" s="4"/>
      <c r="V786" s="4"/>
      <c r="W786" s="4" t="s">
        <v>2105</v>
      </c>
      <c r="X786" s="4" t="s">
        <v>733</v>
      </c>
      <c r="Y786" s="4" t="s">
        <v>4066</v>
      </c>
      <c r="Z786" s="35"/>
      <c r="AA786" s="1" t="str">
        <f>IFERROR(VLOOKUP(D:D,[1]Габариты!$A:$I,9,0),"")</f>
        <v>Вакансия</v>
      </c>
      <c r="AB786" s="6" t="str">
        <f>IFERROR(VLOOKUP(D:D,[1]Габариты!$A:$D,4,0),"")</f>
        <v>КОМОДЫ</v>
      </c>
      <c r="AC786" s="39">
        <f t="shared" si="168"/>
        <v>3014</v>
      </c>
      <c r="AD786" s="13" t="str">
        <f t="shared" si="169"/>
        <v>СКГТ (ОЗОН)</v>
      </c>
    </row>
    <row r="787" spans="1:30" s="6" customFormat="1" ht="20.100000000000001" customHeight="1" outlineLevel="1" x14ac:dyDescent="0.25">
      <c r="A787" s="635" t="s">
        <v>208</v>
      </c>
      <c r="B787" s="3"/>
      <c r="C787" s="13" t="s">
        <v>2582</v>
      </c>
      <c r="D787" s="39">
        <v>2945</v>
      </c>
      <c r="E787" s="4">
        <v>24</v>
      </c>
      <c r="F787" s="101">
        <v>2945</v>
      </c>
      <c r="G787" s="57" t="s">
        <v>4905</v>
      </c>
      <c r="H787" s="4" t="s">
        <v>7051</v>
      </c>
      <c r="I787" s="4" t="s">
        <v>2060</v>
      </c>
      <c r="J787" s="4" t="s">
        <v>3157</v>
      </c>
      <c r="K787" s="54">
        <v>2945</v>
      </c>
      <c r="L787" s="57">
        <v>267005855</v>
      </c>
      <c r="M787" s="57">
        <v>267005855</v>
      </c>
      <c r="N787" s="4" t="s">
        <v>687</v>
      </c>
      <c r="O787" s="4">
        <v>270536948</v>
      </c>
      <c r="P787" s="4">
        <v>270536968</v>
      </c>
      <c r="Q787" s="767"/>
      <c r="R787" s="767"/>
      <c r="S787" s="4"/>
      <c r="T787" s="4"/>
      <c r="U787" s="4"/>
      <c r="V787" s="4"/>
      <c r="W787" s="4" t="s">
        <v>2109</v>
      </c>
      <c r="X787" s="4" t="s">
        <v>687</v>
      </c>
      <c r="Y787" s="4">
        <v>2945</v>
      </c>
      <c r="Z787" s="35"/>
      <c r="AA787" s="1" t="str">
        <f>IFERROR(VLOOKUP(D:D,[1]Габариты!$A:$I,9,0),"")</f>
        <v>Вакансия</v>
      </c>
      <c r="AB787" s="6" t="str">
        <f>IFERROR(VLOOKUP(D:D,[1]Габариты!$A:$D,4,0),"")</f>
        <v>КОМОДЫ</v>
      </c>
      <c r="AC787" s="39">
        <f t="shared" si="168"/>
        <v>2945</v>
      </c>
      <c r="AD787" s="13" t="str">
        <f t="shared" si="169"/>
        <v>FBO</v>
      </c>
    </row>
    <row r="788" spans="1:30" s="6" customFormat="1" ht="20.100000000000001" customHeight="1" outlineLevel="1" x14ac:dyDescent="0.25">
      <c r="A788" s="635" t="s">
        <v>209</v>
      </c>
      <c r="B788" s="3"/>
      <c r="C788" s="13" t="s">
        <v>2582</v>
      </c>
      <c r="D788" s="39">
        <v>2946</v>
      </c>
      <c r="E788" s="4">
        <v>24</v>
      </c>
      <c r="F788" s="101">
        <v>2946</v>
      </c>
      <c r="G788" s="57" t="s">
        <v>4906</v>
      </c>
      <c r="H788" s="4" t="s">
        <v>7052</v>
      </c>
      <c r="I788" s="4" t="s">
        <v>2061</v>
      </c>
      <c r="J788" s="4"/>
      <c r="K788" s="54">
        <v>2946</v>
      </c>
      <c r="L788" s="57">
        <v>266997724</v>
      </c>
      <c r="M788" s="57">
        <v>266997724</v>
      </c>
      <c r="N788" s="4" t="s">
        <v>688</v>
      </c>
      <c r="O788" s="4">
        <v>270055776</v>
      </c>
      <c r="P788" s="4">
        <v>270055797</v>
      </c>
      <c r="Q788" s="767" t="s">
        <v>2689</v>
      </c>
      <c r="R788" s="767">
        <v>356498783</v>
      </c>
      <c r="S788" s="4">
        <v>356498781</v>
      </c>
      <c r="T788" s="4"/>
      <c r="U788" s="4"/>
      <c r="V788" s="4"/>
      <c r="W788" s="4" t="s">
        <v>2110</v>
      </c>
      <c r="X788" s="4" t="s">
        <v>688</v>
      </c>
      <c r="Y788" s="4" t="s">
        <v>4066</v>
      </c>
      <c r="Z788" s="35"/>
      <c r="AA788" s="1" t="str">
        <f>IFERROR(VLOOKUP(D:D,[1]Габариты!$A:$I,9,0),"")</f>
        <v>Вакансия</v>
      </c>
      <c r="AB788" s="6" t="str">
        <f>IFERROR(VLOOKUP(D:D,[1]Габариты!$A:$D,4,0),"")</f>
        <v>КОМОДЫ</v>
      </c>
      <c r="AC788" s="39">
        <f t="shared" si="168"/>
        <v>2946</v>
      </c>
      <c r="AD788" s="13" t="str">
        <f t="shared" si="169"/>
        <v>FBO</v>
      </c>
    </row>
    <row r="789" spans="1:30" s="6" customFormat="1" ht="20.100000000000001" customHeight="1" outlineLevel="1" x14ac:dyDescent="0.25">
      <c r="A789" s="635" t="s">
        <v>210</v>
      </c>
      <c r="B789" s="3"/>
      <c r="C789" s="13" t="s">
        <v>2582</v>
      </c>
      <c r="D789" s="39">
        <v>2947</v>
      </c>
      <c r="E789" s="4">
        <v>24</v>
      </c>
      <c r="F789" s="101">
        <v>2947</v>
      </c>
      <c r="G789" s="57" t="s">
        <v>4907</v>
      </c>
      <c r="H789" s="4" t="s">
        <v>7053</v>
      </c>
      <c r="I789" s="4" t="s">
        <v>2062</v>
      </c>
      <c r="J789" s="4"/>
      <c r="K789" s="54">
        <v>2947</v>
      </c>
      <c r="L789" s="57">
        <v>267004183</v>
      </c>
      <c r="M789" s="57">
        <v>267004183</v>
      </c>
      <c r="N789" s="4" t="s">
        <v>689</v>
      </c>
      <c r="O789" s="4">
        <v>270055678</v>
      </c>
      <c r="P789" s="4">
        <v>270055729</v>
      </c>
      <c r="Q789" s="767" t="s">
        <v>2690</v>
      </c>
      <c r="R789" s="767">
        <v>375448373</v>
      </c>
      <c r="S789" s="4">
        <v>375448374</v>
      </c>
      <c r="T789" s="4"/>
      <c r="U789" s="4"/>
      <c r="V789" s="4"/>
      <c r="W789" s="4" t="s">
        <v>2111</v>
      </c>
      <c r="X789" s="4" t="s">
        <v>689</v>
      </c>
      <c r="Y789" s="4">
        <v>2947</v>
      </c>
      <c r="Z789" s="35"/>
      <c r="AA789" s="1" t="str">
        <f>IFERROR(VLOOKUP(D:D,[1]Габариты!$A:$I,9,0),"")</f>
        <v>Вакансия</v>
      </c>
      <c r="AB789" s="6" t="str">
        <f>IFERROR(VLOOKUP(D:D,[1]Габариты!$A:$D,4,0),"")</f>
        <v>КОМОДЫ</v>
      </c>
      <c r="AC789" s="39">
        <f t="shared" si="168"/>
        <v>2947</v>
      </c>
      <c r="AD789" s="13" t="str">
        <f t="shared" si="169"/>
        <v>FBO</v>
      </c>
    </row>
    <row r="790" spans="1:30" s="6" customFormat="1" ht="20.100000000000001" customHeight="1" outlineLevel="1" x14ac:dyDescent="0.25">
      <c r="A790" s="665" t="s">
        <v>242</v>
      </c>
      <c r="B790" s="8"/>
      <c r="C790" s="13" t="s">
        <v>2581</v>
      </c>
      <c r="D790" s="39">
        <v>2997</v>
      </c>
      <c r="E790" s="4">
        <v>20</v>
      </c>
      <c r="F790" s="101">
        <v>2997</v>
      </c>
      <c r="G790" s="57" t="s">
        <v>4938</v>
      </c>
      <c r="H790" s="4" t="s">
        <v>7054</v>
      </c>
      <c r="I790" s="4"/>
      <c r="J790" s="4" t="s">
        <v>3158</v>
      </c>
      <c r="K790" s="54">
        <v>2997</v>
      </c>
      <c r="L790" s="57">
        <v>425891254</v>
      </c>
      <c r="M790" s="57">
        <v>425891254</v>
      </c>
      <c r="N790" s="4" t="s">
        <v>828</v>
      </c>
      <c r="O790" s="4">
        <v>311522336</v>
      </c>
      <c r="P790" s="4">
        <v>311522380</v>
      </c>
      <c r="Q790" s="767"/>
      <c r="R790" s="767"/>
      <c r="S790" s="4"/>
      <c r="T790" s="4"/>
      <c r="U790" s="4"/>
      <c r="V790" s="4"/>
      <c r="W790" s="4" t="s">
        <v>2112</v>
      </c>
      <c r="X790" s="4" t="s">
        <v>828</v>
      </c>
      <c r="Y790" s="4">
        <v>2997</v>
      </c>
      <c r="Z790" s="35"/>
      <c r="AA790" s="1" t="str">
        <f>IFERROR(VLOOKUP(D:D,[1]Габариты!$A:$I,9,0),"")</f>
        <v>Вакансия</v>
      </c>
      <c r="AB790" s="6" t="str">
        <f>IFERROR(VLOOKUP(D:D,[1]Габариты!$A:$D,4,0),"")</f>
        <v>КОМОДЫ</v>
      </c>
      <c r="AC790" s="39">
        <f t="shared" si="168"/>
        <v>2997</v>
      </c>
      <c r="AD790" s="13" t="str">
        <f t="shared" si="169"/>
        <v>FBS</v>
      </c>
    </row>
    <row r="791" spans="1:30" s="6" customFormat="1" ht="20.100000000000001" customHeight="1" outlineLevel="1" x14ac:dyDescent="0.25">
      <c r="A791" s="635" t="s">
        <v>192</v>
      </c>
      <c r="B791" s="3"/>
      <c r="C791" s="13" t="s">
        <v>4050</v>
      </c>
      <c r="D791" s="39">
        <v>2920</v>
      </c>
      <c r="E791" s="4">
        <v>18</v>
      </c>
      <c r="F791" s="101">
        <v>2920</v>
      </c>
      <c r="G791" s="57"/>
      <c r="H791" s="4" t="s">
        <v>7055</v>
      </c>
      <c r="I791" s="4" t="s">
        <v>1174</v>
      </c>
      <c r="J791" s="4"/>
      <c r="K791" s="54"/>
      <c r="L791" s="57"/>
      <c r="M791" s="57"/>
      <c r="N791" s="4" t="s">
        <v>830</v>
      </c>
      <c r="O791" s="4">
        <v>268900969</v>
      </c>
      <c r="P791" s="4">
        <v>268900984</v>
      </c>
      <c r="Q791" s="767" t="s">
        <v>2692</v>
      </c>
      <c r="R791" s="767">
        <v>356357352</v>
      </c>
      <c r="S791" s="4">
        <v>356357353</v>
      </c>
      <c r="T791" s="4"/>
      <c r="U791" s="4"/>
      <c r="V791" s="4"/>
      <c r="W791" s="4" t="s">
        <v>2114</v>
      </c>
      <c r="X791" s="4" t="s">
        <v>830</v>
      </c>
      <c r="Y791" s="4">
        <v>2920</v>
      </c>
      <c r="Z791" s="35"/>
      <c r="AA791" s="1" t="str">
        <f>IFERROR(VLOOKUP(D:D,[1]Габариты!$A:$I,9,0),"")</f>
        <v>Вакансия</v>
      </c>
      <c r="AB791" s="6" t="str">
        <f>IFERROR(VLOOKUP(D:D,[1]Габариты!$A:$D,4,0),"")</f>
        <v>КОМОДЫ</v>
      </c>
      <c r="AC791" s="39">
        <f t="shared" si="168"/>
        <v>2920</v>
      </c>
      <c r="AD791" s="13" t="str">
        <f t="shared" si="169"/>
        <v>СКГТ (ОЗОН)</v>
      </c>
    </row>
    <row r="792" spans="1:30" s="6" customFormat="1" ht="20.100000000000001" customHeight="1" outlineLevel="1" x14ac:dyDescent="0.25">
      <c r="A792" s="665" t="s">
        <v>35</v>
      </c>
      <c r="B792" s="2"/>
      <c r="C792" s="13" t="s">
        <v>3172</v>
      </c>
      <c r="D792" s="39">
        <v>3044</v>
      </c>
      <c r="E792" s="4">
        <v>9</v>
      </c>
      <c r="F792" s="101">
        <v>3044</v>
      </c>
      <c r="G792" s="57"/>
      <c r="H792" s="4" t="s">
        <v>7056</v>
      </c>
      <c r="I792" s="4"/>
      <c r="J792" s="4"/>
      <c r="K792" s="54"/>
      <c r="L792" s="57"/>
      <c r="M792" s="57"/>
      <c r="N792" s="4" t="s">
        <v>834</v>
      </c>
      <c r="O792" s="4">
        <v>291592780</v>
      </c>
      <c r="P792" s="4">
        <v>291592793</v>
      </c>
      <c r="Q792" s="767"/>
      <c r="R792" s="767"/>
      <c r="S792" s="4"/>
      <c r="T792" s="4"/>
      <c r="U792" s="4"/>
      <c r="V792" s="4"/>
      <c r="W792" s="4" t="s">
        <v>2118</v>
      </c>
      <c r="X792" s="4" t="s">
        <v>834</v>
      </c>
      <c r="Y792" s="4" t="s">
        <v>4066</v>
      </c>
      <c r="Z792" s="35"/>
      <c r="AA792" s="1" t="str">
        <f>IFERROR(VLOOKUP(D:D,[1]Габариты!$A:$I,9,0),"")</f>
        <v>Вакансия</v>
      </c>
      <c r="AB792" s="6" t="str">
        <f>IFERROR(VLOOKUP(D:D,[1]Габариты!$A:$D,4,0),"")</f>
        <v>КОМОДЫ</v>
      </c>
      <c r="AC792" s="39">
        <f t="shared" si="168"/>
        <v>3044</v>
      </c>
      <c r="AD792" s="13" t="str">
        <f t="shared" si="169"/>
        <v xml:space="preserve">СКГТ </v>
      </c>
    </row>
    <row r="793" spans="1:30" s="6" customFormat="1" ht="20.100000000000001" customHeight="1" outlineLevel="1" x14ac:dyDescent="0.25">
      <c r="A793" s="635" t="s">
        <v>121</v>
      </c>
      <c r="B793" s="3"/>
      <c r="C793" s="13" t="s">
        <v>2582</v>
      </c>
      <c r="D793" s="39">
        <v>2699</v>
      </c>
      <c r="E793" s="4">
        <v>20</v>
      </c>
      <c r="F793" s="101">
        <v>2699</v>
      </c>
      <c r="G793" s="57" t="s">
        <v>4881</v>
      </c>
      <c r="H793" s="4" t="s">
        <v>7057</v>
      </c>
      <c r="I793" s="4" t="s">
        <v>1175</v>
      </c>
      <c r="J793" s="4"/>
      <c r="K793" s="54">
        <v>2699</v>
      </c>
      <c r="L793" s="57">
        <v>239889260</v>
      </c>
      <c r="M793" s="57">
        <v>239889260</v>
      </c>
      <c r="N793" s="4" t="s">
        <v>660</v>
      </c>
      <c r="O793" s="4">
        <v>262984714</v>
      </c>
      <c r="P793" s="4">
        <v>262984734</v>
      </c>
      <c r="Q793" s="767" t="s">
        <v>2694</v>
      </c>
      <c r="R793" s="767">
        <v>322008492</v>
      </c>
      <c r="S793" s="4">
        <v>322008530</v>
      </c>
      <c r="T793" s="4"/>
      <c r="U793" s="4"/>
      <c r="V793" s="4"/>
      <c r="W793" s="4" t="s">
        <v>2121</v>
      </c>
      <c r="X793" s="4" t="s">
        <v>660</v>
      </c>
      <c r="Y793" s="4">
        <v>2699</v>
      </c>
      <c r="Z793" s="35"/>
      <c r="AA793" s="1" t="str">
        <f>IFERROR(VLOOKUP(D:D,[1]Габариты!$A:$I,9,0),"")</f>
        <v>Вакансия</v>
      </c>
      <c r="AB793" s="6" t="str">
        <f>IFERROR(VLOOKUP(D:D,[1]Габариты!$A:$D,4,0),"")</f>
        <v>КОМОДЫ</v>
      </c>
      <c r="AC793" s="39">
        <f t="shared" si="168"/>
        <v>2699</v>
      </c>
      <c r="AD793" s="13" t="str">
        <f t="shared" si="169"/>
        <v>FBO</v>
      </c>
    </row>
    <row r="794" spans="1:30" s="6" customFormat="1" ht="20.100000000000001" customHeight="1" outlineLevel="1" x14ac:dyDescent="0.25">
      <c r="A794" s="745" t="s">
        <v>107</v>
      </c>
      <c r="B794" s="7"/>
      <c r="C794" s="13" t="s">
        <v>2582</v>
      </c>
      <c r="D794" s="39">
        <v>2628</v>
      </c>
      <c r="E794" s="4">
        <v>20</v>
      </c>
      <c r="F794" s="101">
        <v>2628</v>
      </c>
      <c r="G794" s="57" t="s">
        <v>4845</v>
      </c>
      <c r="H794" s="4" t="s">
        <v>7058</v>
      </c>
      <c r="I794" s="4" t="s">
        <v>1176</v>
      </c>
      <c r="J794" s="4"/>
      <c r="K794" s="54">
        <v>2628</v>
      </c>
      <c r="L794" s="57">
        <v>200047853</v>
      </c>
      <c r="M794" s="57">
        <v>200047853</v>
      </c>
      <c r="N794" s="4" t="s">
        <v>625</v>
      </c>
      <c r="O794" s="4">
        <v>262871223</v>
      </c>
      <c r="P794" s="4">
        <v>262871226</v>
      </c>
      <c r="Q794" s="767" t="s">
        <v>2695</v>
      </c>
      <c r="R794" s="767">
        <v>322011690</v>
      </c>
      <c r="S794" s="4">
        <v>322011714</v>
      </c>
      <c r="T794" s="4"/>
      <c r="U794" s="4"/>
      <c r="V794" s="4"/>
      <c r="W794" s="4" t="s">
        <v>2122</v>
      </c>
      <c r="X794" s="4" t="s">
        <v>625</v>
      </c>
      <c r="Y794" s="4">
        <v>2628</v>
      </c>
      <c r="Z794" s="35"/>
      <c r="AA794" s="1" t="str">
        <f>IFERROR(VLOOKUP(D:D,[1]Габариты!$A:$I,9,0),"")</f>
        <v>Вакансия</v>
      </c>
      <c r="AB794" s="6" t="str">
        <f>IFERROR(VLOOKUP(D:D,[1]Габариты!$A:$D,4,0),"")</f>
        <v>КОМОДЫ</v>
      </c>
      <c r="AC794" s="39">
        <f t="shared" si="168"/>
        <v>2628</v>
      </c>
      <c r="AD794" s="13" t="str">
        <f t="shared" si="169"/>
        <v>FBO</v>
      </c>
    </row>
    <row r="795" spans="1:30" s="6" customFormat="1" ht="20.100000000000001" customHeight="1" outlineLevel="1" x14ac:dyDescent="0.25">
      <c r="A795" s="635" t="s">
        <v>76</v>
      </c>
      <c r="B795" s="3"/>
      <c r="C795" s="13" t="s">
        <v>2582</v>
      </c>
      <c r="D795" s="39">
        <v>2486</v>
      </c>
      <c r="E795" s="4">
        <v>20</v>
      </c>
      <c r="F795" s="101">
        <v>2486</v>
      </c>
      <c r="G795" s="57" t="s">
        <v>4795</v>
      </c>
      <c r="H795" s="4" t="s">
        <v>7059</v>
      </c>
      <c r="I795" s="4" t="s">
        <v>1177</v>
      </c>
      <c r="J795" s="4"/>
      <c r="K795" s="54">
        <v>2486</v>
      </c>
      <c r="L795" s="57">
        <v>197398449</v>
      </c>
      <c r="M795" s="57">
        <v>197398449</v>
      </c>
      <c r="N795" s="4" t="s">
        <v>583</v>
      </c>
      <c r="O795" s="4">
        <v>262924019</v>
      </c>
      <c r="P795" s="4">
        <v>262924030</v>
      </c>
      <c r="Q795" s="767" t="s">
        <v>2696</v>
      </c>
      <c r="R795" s="767">
        <v>322019102</v>
      </c>
      <c r="S795" s="4">
        <v>322019129</v>
      </c>
      <c r="T795" s="4"/>
      <c r="U795" s="4"/>
      <c r="V795" s="4"/>
      <c r="W795" s="4" t="s">
        <v>2123</v>
      </c>
      <c r="X795" s="4" t="s">
        <v>583</v>
      </c>
      <c r="Y795" s="4">
        <v>2486</v>
      </c>
      <c r="Z795" s="35"/>
      <c r="AA795" s="1" t="str">
        <f>IFERROR(VLOOKUP(D:D,[1]Габариты!$A:$I,9,0),"")</f>
        <v>Вакансия</v>
      </c>
      <c r="AB795" s="6" t="str">
        <f>IFERROR(VLOOKUP(D:D,[1]Габариты!$A:$D,4,0),"")</f>
        <v>КОМОДЫ</v>
      </c>
      <c r="AC795" s="39">
        <f t="shared" si="168"/>
        <v>2486</v>
      </c>
      <c r="AD795" s="13" t="str">
        <f t="shared" si="169"/>
        <v>FBO</v>
      </c>
    </row>
    <row r="796" spans="1:30" s="6" customFormat="1" ht="20.100000000000001" customHeight="1" outlineLevel="1" x14ac:dyDescent="0.25">
      <c r="A796" s="635" t="s">
        <v>193</v>
      </c>
      <c r="B796" s="3"/>
      <c r="C796" s="13" t="s">
        <v>4328</v>
      </c>
      <c r="D796" s="39">
        <v>2921</v>
      </c>
      <c r="E796" s="4">
        <v>18</v>
      </c>
      <c r="F796" s="101">
        <v>2921</v>
      </c>
      <c r="G796" s="57"/>
      <c r="H796" s="4" t="s">
        <v>7060</v>
      </c>
      <c r="I796" s="4"/>
      <c r="J796" s="4"/>
      <c r="K796" s="54">
        <v>2921</v>
      </c>
      <c r="L796" s="57">
        <v>272667725</v>
      </c>
      <c r="M796" s="57">
        <v>272667725</v>
      </c>
      <c r="N796" s="4" t="s">
        <v>831</v>
      </c>
      <c r="O796" s="4">
        <v>272094691</v>
      </c>
      <c r="P796" s="4">
        <v>272094695</v>
      </c>
      <c r="Q796" s="767" t="s">
        <v>2693</v>
      </c>
      <c r="R796" s="767">
        <v>375440444</v>
      </c>
      <c r="S796" s="4">
        <v>375440443</v>
      </c>
      <c r="T796" s="4"/>
      <c r="U796" s="4"/>
      <c r="V796" s="4"/>
      <c r="W796" s="4" t="s">
        <v>2115</v>
      </c>
      <c r="X796" s="4" t="s">
        <v>831</v>
      </c>
      <c r="Y796" s="4">
        <v>2921</v>
      </c>
      <c r="Z796" s="35"/>
      <c r="AA796" s="1" t="str">
        <f>IFERROR(VLOOKUP(D:D,[1]Габариты!$A:$I,9,0),"")</f>
        <v>Вакансия</v>
      </c>
      <c r="AB796" s="6" t="str">
        <f>IFERROR(VLOOKUP(D:D,[1]Габариты!$A:$D,4,0),"")</f>
        <v>КОМОДЫ</v>
      </c>
      <c r="AC796" s="39">
        <f t="shared" si="168"/>
        <v>2921</v>
      </c>
      <c r="AD796" s="13" t="str">
        <f t="shared" si="169"/>
        <v>СКГТ</v>
      </c>
    </row>
    <row r="797" spans="1:30" s="6" customFormat="1" ht="20.100000000000001" customHeight="1" outlineLevel="1" x14ac:dyDescent="0.25">
      <c r="A797" s="635" t="s">
        <v>188</v>
      </c>
      <c r="B797" s="3"/>
      <c r="C797" s="13" t="s">
        <v>2581</v>
      </c>
      <c r="D797" s="39">
        <v>2912</v>
      </c>
      <c r="E797" s="4">
        <v>33</v>
      </c>
      <c r="F797" s="101">
        <v>2912</v>
      </c>
      <c r="G797" s="57" t="s">
        <v>4894</v>
      </c>
      <c r="H797" s="4" t="s">
        <v>7061</v>
      </c>
      <c r="I797" s="4" t="s">
        <v>2067</v>
      </c>
      <c r="J797" s="4"/>
      <c r="K797" s="54"/>
      <c r="L797" s="57"/>
      <c r="M797" s="57"/>
      <c r="N797" s="4" t="s">
        <v>672</v>
      </c>
      <c r="O797" s="4">
        <v>264418805</v>
      </c>
      <c r="P797" s="4">
        <v>264418848</v>
      </c>
      <c r="Q797" s="767" t="s">
        <v>2701</v>
      </c>
      <c r="R797" s="767">
        <v>358386726</v>
      </c>
      <c r="S797" s="4">
        <v>358386727</v>
      </c>
      <c r="T797" s="4"/>
      <c r="U797" s="4"/>
      <c r="V797" s="4"/>
      <c r="W797" s="4" t="s">
        <v>2128</v>
      </c>
      <c r="X797" s="4" t="s">
        <v>672</v>
      </c>
      <c r="Y797" s="4" t="s">
        <v>4066</v>
      </c>
      <c r="Z797" s="35"/>
      <c r="AA797" s="1" t="str">
        <f>IFERROR(VLOOKUP(D:D,[1]Габариты!$A:$I,9,0),"")</f>
        <v>Вакансия</v>
      </c>
      <c r="AB797" s="6" t="str">
        <f>IFERROR(VLOOKUP(D:D,[1]Габариты!$A:$D,4,0),"")</f>
        <v>КОМОДЫ</v>
      </c>
      <c r="AC797" s="39">
        <f t="shared" si="168"/>
        <v>2912</v>
      </c>
      <c r="AD797" s="13" t="str">
        <f t="shared" si="169"/>
        <v>FBS</v>
      </c>
    </row>
    <row r="798" spans="1:30" s="6" customFormat="1" ht="20.100000000000001" customHeight="1" outlineLevel="1" x14ac:dyDescent="0.25">
      <c r="A798" s="635" t="s">
        <v>444</v>
      </c>
      <c r="B798" s="22"/>
      <c r="C798" s="13" t="s">
        <v>2581</v>
      </c>
      <c r="D798" s="39">
        <v>2998</v>
      </c>
      <c r="E798" s="4">
        <v>20</v>
      </c>
      <c r="F798" s="101">
        <v>2998</v>
      </c>
      <c r="G798" s="57" t="s">
        <v>4939</v>
      </c>
      <c r="H798" s="4" t="s">
        <v>7062</v>
      </c>
      <c r="I798" s="4"/>
      <c r="J798" s="4"/>
      <c r="K798" s="54">
        <v>2998</v>
      </c>
      <c r="L798" s="57">
        <v>363562992</v>
      </c>
      <c r="M798" s="57">
        <v>363562992</v>
      </c>
      <c r="N798" s="4" t="s">
        <v>720</v>
      </c>
      <c r="O798" s="4">
        <v>363609182</v>
      </c>
      <c r="P798" s="4">
        <v>363609183</v>
      </c>
      <c r="Q798" s="767" t="s">
        <v>2703</v>
      </c>
      <c r="R798" s="767">
        <v>363636273</v>
      </c>
      <c r="S798" s="4">
        <v>363636259</v>
      </c>
      <c r="T798" s="4"/>
      <c r="U798" s="4"/>
      <c r="V798" s="4"/>
      <c r="W798" s="4" t="s">
        <v>2130</v>
      </c>
      <c r="X798" s="4" t="s">
        <v>720</v>
      </c>
      <c r="Y798" s="4" t="s">
        <v>4066</v>
      </c>
      <c r="Z798" s="35"/>
      <c r="AA798" s="1" t="str">
        <f>IFERROR(VLOOKUP(D:D,[1]Габариты!$A:$I,9,0),"")</f>
        <v>Вакансия</v>
      </c>
      <c r="AB798" s="6" t="str">
        <f>IFERROR(VLOOKUP(D:D,[1]Габариты!$A:$D,4,0),"")</f>
        <v>КОМОДЫ</v>
      </c>
      <c r="AC798" s="39">
        <f t="shared" si="168"/>
        <v>2998</v>
      </c>
      <c r="AD798" s="13" t="str">
        <f t="shared" si="169"/>
        <v>FBS</v>
      </c>
    </row>
    <row r="799" spans="1:30" s="6" customFormat="1" ht="20.100000000000001" customHeight="1" outlineLevel="1" x14ac:dyDescent="0.25">
      <c r="A799" s="631" t="s">
        <v>1380</v>
      </c>
      <c r="B799" s="29"/>
      <c r="C799" s="13" t="s">
        <v>2582</v>
      </c>
      <c r="D799" s="40">
        <v>10002</v>
      </c>
      <c r="E799" s="4">
        <v>30</v>
      </c>
      <c r="F799" s="101">
        <v>10002</v>
      </c>
      <c r="G799" s="57"/>
      <c r="H799" s="4" t="s">
        <v>7063</v>
      </c>
      <c r="I799" s="4"/>
      <c r="J799" s="4"/>
      <c r="K799" s="54"/>
      <c r="L799" s="57"/>
      <c r="M799" s="57"/>
      <c r="N799" s="806" t="s">
        <v>7666</v>
      </c>
      <c r="O799" s="4">
        <v>730204058</v>
      </c>
      <c r="P799" s="4">
        <v>730204059</v>
      </c>
      <c r="Q799" s="767"/>
      <c r="R799" s="767"/>
      <c r="S799" s="4"/>
      <c r="T799" s="4"/>
      <c r="U799" s="4"/>
      <c r="V799" s="4"/>
      <c r="W799" s="4"/>
      <c r="X799" s="4"/>
      <c r="Y799" s="4" t="s">
        <v>4066</v>
      </c>
      <c r="Z799" s="35"/>
      <c r="AA799" s="1" t="str">
        <f>IFERROR(VLOOKUP(D:D,[1]Габариты!$A:$I,9,0),"")</f>
        <v>Вакансия</v>
      </c>
      <c r="AB799" s="6" t="str">
        <f>IFERROR(VLOOKUP(D:D,[1]Габариты!$A:$D,4,0),"")</f>
        <v>КОМОДЫ</v>
      </c>
      <c r="AC799" s="39">
        <f t="shared" si="168"/>
        <v>10002</v>
      </c>
      <c r="AD799" s="13" t="str">
        <f t="shared" si="169"/>
        <v>FBO</v>
      </c>
    </row>
    <row r="800" spans="1:30" s="6" customFormat="1" ht="20.100000000000001" customHeight="1" outlineLevel="1" x14ac:dyDescent="0.25">
      <c r="A800" s="631" t="s">
        <v>1444</v>
      </c>
      <c r="B800" s="29"/>
      <c r="C800" s="13" t="s">
        <v>2581</v>
      </c>
      <c r="D800" s="40" t="s">
        <v>1445</v>
      </c>
      <c r="E800" s="4">
        <v>14</v>
      </c>
      <c r="F800" s="101" t="s">
        <v>4727</v>
      </c>
      <c r="G800" s="57" t="s">
        <v>5213</v>
      </c>
      <c r="H800" s="4" t="s">
        <v>7064</v>
      </c>
      <c r="I800" s="4"/>
      <c r="J800" s="4"/>
      <c r="K800" s="54" t="s">
        <v>4727</v>
      </c>
      <c r="L800" s="57">
        <v>933356352</v>
      </c>
      <c r="M800" s="57">
        <v>933356352</v>
      </c>
      <c r="N800" s="4" t="s">
        <v>1516</v>
      </c>
      <c r="O800" s="4">
        <v>750507240</v>
      </c>
      <c r="P800" s="4">
        <v>750507241</v>
      </c>
      <c r="Q800" s="767"/>
      <c r="R800" s="767"/>
      <c r="S800" s="4"/>
      <c r="T800" s="4"/>
      <c r="U800" s="4"/>
      <c r="V800" s="4"/>
      <c r="W800" s="4"/>
      <c r="X800" s="4" t="s">
        <v>1516</v>
      </c>
      <c r="Y800" s="4" t="s">
        <v>4066</v>
      </c>
      <c r="Z800" s="35"/>
      <c r="AA800" s="1" t="str">
        <f>IFERROR(VLOOKUP(D:D,[1]Габариты!$A:$I,9,0),"")</f>
        <v>Вакансия</v>
      </c>
      <c r="AB800" s="6" t="str">
        <f>IFERROR(VLOOKUP(D:D,[1]Габариты!$A:$D,4,0),"")</f>
        <v>КОМОДЫ</v>
      </c>
      <c r="AC800" s="39" t="str">
        <f t="shared" si="168"/>
        <v>MK142010102</v>
      </c>
      <c r="AD800" s="13" t="str">
        <f t="shared" si="169"/>
        <v>FBS</v>
      </c>
    </row>
    <row r="801" spans="1:30" s="6" customFormat="1" ht="20.100000000000001" customHeight="1" outlineLevel="1" x14ac:dyDescent="0.25">
      <c r="A801" s="665" t="s">
        <v>460</v>
      </c>
      <c r="B801" s="20"/>
      <c r="C801" s="13" t="s">
        <v>2581</v>
      </c>
      <c r="D801" s="879">
        <v>3119</v>
      </c>
      <c r="E801" s="4">
        <v>18</v>
      </c>
      <c r="F801" s="101">
        <v>3119</v>
      </c>
      <c r="G801" s="57" t="s">
        <v>5012</v>
      </c>
      <c r="H801" s="4" t="s">
        <v>7065</v>
      </c>
      <c r="I801" s="4" t="s">
        <v>2073</v>
      </c>
      <c r="J801" s="4"/>
      <c r="K801" s="54">
        <v>3119</v>
      </c>
      <c r="L801" s="57">
        <v>396865696</v>
      </c>
      <c r="M801" s="57">
        <v>396865696</v>
      </c>
      <c r="N801" s="4" t="s">
        <v>835</v>
      </c>
      <c r="O801" s="4">
        <v>375521328</v>
      </c>
      <c r="P801" s="4">
        <v>375521327</v>
      </c>
      <c r="Q801" s="767" t="s">
        <v>2705</v>
      </c>
      <c r="R801" s="767">
        <v>375623785</v>
      </c>
      <c r="S801" s="4">
        <v>375623784</v>
      </c>
      <c r="T801" s="4"/>
      <c r="U801" s="4"/>
      <c r="V801" s="4"/>
      <c r="W801" s="4" t="s">
        <v>2132</v>
      </c>
      <c r="X801" s="4" t="s">
        <v>835</v>
      </c>
      <c r="Y801" s="4" t="s">
        <v>4066</v>
      </c>
      <c r="Z801" s="35"/>
      <c r="AA801" s="1" t="str">
        <f>IFERROR(VLOOKUP(D:D,[1]Габариты!$A:$I,9,0),"")</f>
        <v>Вакансия</v>
      </c>
      <c r="AB801" s="6" t="str">
        <f>IFERROR(VLOOKUP(D:D,[1]Габариты!$A:$D,4,0),"")</f>
        <v>КОМОДЫ</v>
      </c>
      <c r="AC801" s="39">
        <f t="shared" si="168"/>
        <v>3119</v>
      </c>
      <c r="AD801" s="13" t="str">
        <f t="shared" si="169"/>
        <v>FBS</v>
      </c>
    </row>
    <row r="802" spans="1:30" s="6" customFormat="1" ht="20.100000000000001" customHeight="1" outlineLevel="1" x14ac:dyDescent="0.25">
      <c r="A802" s="665" t="s">
        <v>462</v>
      </c>
      <c r="B802" s="20"/>
      <c r="C802" s="13" t="s">
        <v>2582</v>
      </c>
      <c r="D802" s="879">
        <v>3125</v>
      </c>
      <c r="E802" s="4">
        <v>18</v>
      </c>
      <c r="F802" s="101">
        <v>3125</v>
      </c>
      <c r="G802" s="57" t="s">
        <v>5014</v>
      </c>
      <c r="H802" s="4"/>
      <c r="I802" s="4"/>
      <c r="J802" s="4"/>
      <c r="K802" s="54"/>
      <c r="L802" s="57"/>
      <c r="M802" s="57"/>
      <c r="N802" s="4" t="s">
        <v>836</v>
      </c>
      <c r="O802" s="818">
        <v>577094175</v>
      </c>
      <c r="P802" s="818">
        <v>577094176</v>
      </c>
      <c r="Q802" s="767"/>
      <c r="R802" s="767"/>
      <c r="S802" s="4"/>
      <c r="T802" s="4"/>
      <c r="U802" s="4"/>
      <c r="V802" s="4"/>
      <c r="W802" s="4" t="s">
        <v>2133</v>
      </c>
      <c r="X802" s="4" t="s">
        <v>836</v>
      </c>
      <c r="Y802" s="4" t="s">
        <v>4066</v>
      </c>
      <c r="Z802" s="35"/>
      <c r="AA802" s="1" t="str">
        <f>IFERROR(VLOOKUP(D:D,[1]Габариты!$A:$I,9,0),"")</f>
        <v>Вакансия</v>
      </c>
      <c r="AB802" s="6" t="str">
        <f>IFERROR(VLOOKUP(D:D,[1]Габариты!$A:$D,4,0),"")</f>
        <v>КОМОДЫ</v>
      </c>
      <c r="AC802" s="39">
        <f t="shared" si="168"/>
        <v>3125</v>
      </c>
      <c r="AD802" s="13" t="str">
        <f t="shared" si="169"/>
        <v>FBO</v>
      </c>
    </row>
    <row r="803" spans="1:30" s="6" customFormat="1" ht="20.100000000000001" customHeight="1" outlineLevel="1" x14ac:dyDescent="0.25">
      <c r="A803" s="635" t="s">
        <v>92</v>
      </c>
      <c r="B803" s="3"/>
      <c r="C803" s="13" t="s">
        <v>2581</v>
      </c>
      <c r="D803" s="39">
        <v>2606</v>
      </c>
      <c r="E803" s="4">
        <v>24</v>
      </c>
      <c r="F803" s="101">
        <v>2606</v>
      </c>
      <c r="G803" s="57" t="s">
        <v>4828</v>
      </c>
      <c r="H803" s="4" t="s">
        <v>7066</v>
      </c>
      <c r="I803" s="4" t="s">
        <v>1182</v>
      </c>
      <c r="J803" s="4"/>
      <c r="K803" s="54">
        <v>2606</v>
      </c>
      <c r="L803" s="57">
        <v>200975472</v>
      </c>
      <c r="M803" s="57">
        <v>200975472</v>
      </c>
      <c r="N803" s="4" t="s">
        <v>611</v>
      </c>
      <c r="O803" s="4">
        <v>265226040</v>
      </c>
      <c r="P803" s="4">
        <v>265226063</v>
      </c>
      <c r="Q803" s="767" t="s">
        <v>2711</v>
      </c>
      <c r="R803" s="767">
        <v>359081539</v>
      </c>
      <c r="S803" s="4">
        <v>359081540</v>
      </c>
      <c r="T803" s="4"/>
      <c r="U803" s="4"/>
      <c r="V803" s="4"/>
      <c r="W803" s="4" t="s">
        <v>2139</v>
      </c>
      <c r="X803" s="4" t="s">
        <v>611</v>
      </c>
      <c r="Y803" s="4">
        <v>2606</v>
      </c>
      <c r="Z803" s="35"/>
      <c r="AA803" s="1" t="str">
        <f>IFERROR(VLOOKUP(D:D,[1]Габариты!$A:$I,9,0),"")</f>
        <v>Вакансия</v>
      </c>
      <c r="AB803" s="6" t="str">
        <f>IFERROR(VLOOKUP(D:D,[1]Габариты!$A:$D,4,0),"")</f>
        <v>КОМОДЫ</v>
      </c>
      <c r="AC803" s="39">
        <f t="shared" si="168"/>
        <v>2606</v>
      </c>
      <c r="AD803" s="13" t="str">
        <f t="shared" si="169"/>
        <v>FBS</v>
      </c>
    </row>
    <row r="804" spans="1:30" s="6" customFormat="1" ht="20.100000000000001" customHeight="1" outlineLevel="1" x14ac:dyDescent="0.25">
      <c r="A804" s="635" t="s">
        <v>214</v>
      </c>
      <c r="B804" s="3"/>
      <c r="C804" s="13" t="s">
        <v>4050</v>
      </c>
      <c r="D804" s="39">
        <v>2951</v>
      </c>
      <c r="E804" s="4">
        <v>12</v>
      </c>
      <c r="F804" s="101">
        <v>2951</v>
      </c>
      <c r="G804" s="57"/>
      <c r="H804" s="4" t="s">
        <v>7067</v>
      </c>
      <c r="I804" s="4" t="s">
        <v>1187</v>
      </c>
      <c r="J804" s="4"/>
      <c r="K804" s="54"/>
      <c r="L804" s="57"/>
      <c r="M804" s="57"/>
      <c r="N804" s="4" t="s">
        <v>693</v>
      </c>
      <c r="O804" s="4">
        <v>266783273</v>
      </c>
      <c r="P804" s="4">
        <v>266783277</v>
      </c>
      <c r="Q804" s="767"/>
      <c r="R804" s="767">
        <v>348361888</v>
      </c>
      <c r="S804" s="4">
        <v>348361887</v>
      </c>
      <c r="T804" s="4"/>
      <c r="U804" s="4"/>
      <c r="V804" s="4"/>
      <c r="W804" s="4" t="s">
        <v>2144</v>
      </c>
      <c r="X804" s="4" t="s">
        <v>693</v>
      </c>
      <c r="Y804" s="4" t="s">
        <v>4066</v>
      </c>
      <c r="Z804" s="35"/>
      <c r="AA804" s="1" t="str">
        <f>IFERROR(VLOOKUP(D:D,[1]Габариты!$A:$I,9,0),"")</f>
        <v>Вакансия</v>
      </c>
      <c r="AB804" s="6" t="str">
        <f>IFERROR(VLOOKUP(D:D,[1]Габариты!$A:$D,4,0),"")</f>
        <v>КОМОДЫ</v>
      </c>
      <c r="AC804" s="39">
        <f t="shared" si="168"/>
        <v>2951</v>
      </c>
      <c r="AD804" s="13" t="str">
        <f t="shared" si="169"/>
        <v>СКГТ (ОЗОН)</v>
      </c>
    </row>
    <row r="805" spans="1:30" s="6" customFormat="1" ht="20.100000000000001" customHeight="1" outlineLevel="1" x14ac:dyDescent="0.25">
      <c r="A805" s="635" t="s">
        <v>494</v>
      </c>
      <c r="B805" s="25"/>
      <c r="C805" s="13" t="s">
        <v>2581</v>
      </c>
      <c r="D805" s="40">
        <v>3143</v>
      </c>
      <c r="E805" s="4">
        <v>16</v>
      </c>
      <c r="F805" s="101">
        <v>3143</v>
      </c>
      <c r="G805" s="57" t="s">
        <v>5022</v>
      </c>
      <c r="H805" s="4" t="s">
        <v>7068</v>
      </c>
      <c r="I805" s="4"/>
      <c r="J805" s="4"/>
      <c r="K805" s="54">
        <v>3143</v>
      </c>
      <c r="L805" s="57">
        <v>418196598</v>
      </c>
      <c r="M805" s="57">
        <v>418196598</v>
      </c>
      <c r="N805" s="4" t="s">
        <v>838</v>
      </c>
      <c r="O805" s="4">
        <v>715117179</v>
      </c>
      <c r="P805" s="4">
        <v>715117178</v>
      </c>
      <c r="Q805" s="767"/>
      <c r="R805" s="767"/>
      <c r="S805" s="4"/>
      <c r="T805" s="4"/>
      <c r="U805" s="4"/>
      <c r="V805" s="4"/>
      <c r="W805" s="4" t="s">
        <v>2146</v>
      </c>
      <c r="X805" s="4" t="s">
        <v>838</v>
      </c>
      <c r="Y805" s="4" t="s">
        <v>4066</v>
      </c>
      <c r="Z805" s="35"/>
      <c r="AA805" s="1" t="str">
        <f>IFERROR(VLOOKUP(D:D,[1]Габариты!$A:$I,9,0),"")</f>
        <v>Вакансия</v>
      </c>
      <c r="AB805" s="6" t="str">
        <f>IFERROR(VLOOKUP(D:D,[1]Габариты!$A:$D,4,0),"")</f>
        <v>КОМОДЫ</v>
      </c>
      <c r="AC805" s="39">
        <f t="shared" si="168"/>
        <v>3143</v>
      </c>
      <c r="AD805" s="13" t="str">
        <f t="shared" si="169"/>
        <v>FBS</v>
      </c>
    </row>
    <row r="806" spans="1:30" s="6" customFormat="1" ht="20.100000000000001" customHeight="1" outlineLevel="1" x14ac:dyDescent="0.25">
      <c r="A806" s="635" t="s">
        <v>496</v>
      </c>
      <c r="B806" s="25"/>
      <c r="C806" s="13" t="s">
        <v>2581</v>
      </c>
      <c r="D806" s="40">
        <v>3149</v>
      </c>
      <c r="E806" s="4">
        <v>15</v>
      </c>
      <c r="F806" s="101">
        <v>3149</v>
      </c>
      <c r="G806" s="57" t="s">
        <v>5024</v>
      </c>
      <c r="H806" s="4"/>
      <c r="I806" s="4"/>
      <c r="J806" s="4"/>
      <c r="K806" s="54"/>
      <c r="L806" s="57"/>
      <c r="M806" s="57"/>
      <c r="N806" s="4" t="s">
        <v>839</v>
      </c>
      <c r="O806" s="4">
        <v>715092523</v>
      </c>
      <c r="P806" s="4">
        <v>715092522</v>
      </c>
      <c r="Q806" s="767"/>
      <c r="R806" s="767"/>
      <c r="S806" s="4"/>
      <c r="T806" s="4"/>
      <c r="U806" s="4"/>
      <c r="V806" s="4"/>
      <c r="W806" s="4" t="s">
        <v>2147</v>
      </c>
      <c r="X806" s="4" t="s">
        <v>839</v>
      </c>
      <c r="Y806" s="4" t="s">
        <v>4066</v>
      </c>
      <c r="Z806" s="35"/>
      <c r="AA806" s="1" t="str">
        <f>IFERROR(VLOOKUP(D:D,[1]Габариты!$A:$I,9,0),"")</f>
        <v>Вакансия</v>
      </c>
      <c r="AB806" s="6" t="str">
        <f>IFERROR(VLOOKUP(D:D,[1]Габариты!$A:$D,4,0),"")</f>
        <v>КОМОДЫ</v>
      </c>
      <c r="AC806" s="39">
        <f t="shared" si="168"/>
        <v>3149</v>
      </c>
      <c r="AD806" s="13" t="str">
        <f t="shared" si="169"/>
        <v>FBS</v>
      </c>
    </row>
    <row r="807" spans="1:30" s="6" customFormat="1" ht="20.100000000000001" customHeight="1" outlineLevel="1" x14ac:dyDescent="0.25">
      <c r="A807" s="635" t="s">
        <v>497</v>
      </c>
      <c r="B807" s="25"/>
      <c r="C807" s="13" t="s">
        <v>2582</v>
      </c>
      <c r="D807" s="40">
        <v>3150</v>
      </c>
      <c r="E807" s="4">
        <v>21</v>
      </c>
      <c r="F807" s="101">
        <v>3150</v>
      </c>
      <c r="G807" s="57" t="s">
        <v>5025</v>
      </c>
      <c r="H807" s="4" t="s">
        <v>7069</v>
      </c>
      <c r="I807" s="4"/>
      <c r="J807" s="4"/>
      <c r="K807" s="54">
        <v>3150</v>
      </c>
      <c r="L807" s="57">
        <v>419783890</v>
      </c>
      <c r="M807" s="57">
        <v>419783890</v>
      </c>
      <c r="N807" s="4" t="s">
        <v>840</v>
      </c>
      <c r="O807" s="4">
        <v>715105327</v>
      </c>
      <c r="P807" s="4">
        <v>715105326</v>
      </c>
      <c r="Q807" s="767"/>
      <c r="R807" s="767"/>
      <c r="S807" s="4"/>
      <c r="T807" s="4"/>
      <c r="U807" s="4"/>
      <c r="V807" s="4"/>
      <c r="W807" s="4" t="s">
        <v>2148</v>
      </c>
      <c r="X807" s="4" t="s">
        <v>840</v>
      </c>
      <c r="Y807" s="4" t="s">
        <v>4066</v>
      </c>
      <c r="Z807" s="35"/>
      <c r="AA807" s="1" t="str">
        <f>IFERROR(VLOOKUP(D:D,[1]Габариты!$A:$I,9,0),"")</f>
        <v>Вакансия</v>
      </c>
      <c r="AB807" s="6" t="str">
        <f>IFERROR(VLOOKUP(D:D,[1]Габариты!$A:$D,4,0),"")</f>
        <v>КОМОДЫ</v>
      </c>
      <c r="AC807" s="39">
        <f t="shared" si="168"/>
        <v>3150</v>
      </c>
      <c r="AD807" s="13" t="str">
        <f t="shared" si="169"/>
        <v>FBO</v>
      </c>
    </row>
    <row r="808" spans="1:30" s="6" customFormat="1" ht="20.100000000000001" customHeight="1" outlineLevel="1" x14ac:dyDescent="0.25">
      <c r="A808" s="631" t="s">
        <v>1056</v>
      </c>
      <c r="B808" s="29"/>
      <c r="C808" s="13" t="s">
        <v>2581</v>
      </c>
      <c r="D808" s="40">
        <v>140006</v>
      </c>
      <c r="E808" s="4">
        <v>18</v>
      </c>
      <c r="F808" s="101">
        <v>140006</v>
      </c>
      <c r="G808" s="57"/>
      <c r="H808" s="4" t="s">
        <v>7070</v>
      </c>
      <c r="I808" s="4"/>
      <c r="J808" s="4"/>
      <c r="K808" s="54"/>
      <c r="L808" s="57"/>
      <c r="M808" s="57"/>
      <c r="N808" s="4" t="s">
        <v>1108</v>
      </c>
      <c r="O808" s="4">
        <v>631793702</v>
      </c>
      <c r="P808" s="4">
        <v>631793703</v>
      </c>
      <c r="Q808" s="767"/>
      <c r="R808" s="767"/>
      <c r="S808" s="4"/>
      <c r="T808" s="4"/>
      <c r="U808" s="4"/>
      <c r="V808" s="4"/>
      <c r="W808" s="4"/>
      <c r="X808" s="4" t="s">
        <v>1108</v>
      </c>
      <c r="Y808" s="4" t="s">
        <v>4066</v>
      </c>
      <c r="Z808" s="35"/>
      <c r="AA808" s="1" t="str">
        <f>IFERROR(VLOOKUP(D:D,[1]Габариты!$A:$I,9,0),"")</f>
        <v>Вакансия</v>
      </c>
      <c r="AB808" s="6" t="str">
        <f>IFERROR(VLOOKUP(D:D,[1]Габариты!$A:$D,4,0),"")</f>
        <v>КОМОДЫ</v>
      </c>
      <c r="AC808" s="39">
        <f t="shared" si="168"/>
        <v>140006</v>
      </c>
      <c r="AD808" s="13" t="str">
        <f t="shared" si="169"/>
        <v>FBS</v>
      </c>
    </row>
    <row r="809" spans="1:30" s="6" customFormat="1" ht="20.100000000000001" customHeight="1" outlineLevel="1" x14ac:dyDescent="0.25">
      <c r="A809" s="631" t="s">
        <v>1139</v>
      </c>
      <c r="B809" s="29"/>
      <c r="C809" s="13" t="s">
        <v>4050</v>
      </c>
      <c r="D809" s="40">
        <v>135536</v>
      </c>
      <c r="E809" s="4">
        <v>17</v>
      </c>
      <c r="F809" s="101">
        <v>135536</v>
      </c>
      <c r="G809" s="57"/>
      <c r="H809" s="4"/>
      <c r="I809" s="4"/>
      <c r="J809" s="4" t="s">
        <v>3159</v>
      </c>
      <c r="K809" s="54"/>
      <c r="L809" s="57"/>
      <c r="M809" s="57"/>
      <c r="N809" s="4" t="s">
        <v>1148</v>
      </c>
      <c r="O809" s="4">
        <v>677428712</v>
      </c>
      <c r="P809" s="4">
        <v>677428711</v>
      </c>
      <c r="Q809" s="767"/>
      <c r="R809" s="767"/>
      <c r="S809" s="4"/>
      <c r="T809" s="4"/>
      <c r="U809" s="4"/>
      <c r="V809" s="4"/>
      <c r="W809" s="4"/>
      <c r="X809" s="4" t="s">
        <v>1148</v>
      </c>
      <c r="Y809" s="4">
        <v>135536</v>
      </c>
      <c r="Z809" s="35"/>
      <c r="AA809" s="1" t="str">
        <f>IFERROR(VLOOKUP(D:D,[1]Габариты!$A:$I,9,0),"")</f>
        <v>Вакансия</v>
      </c>
      <c r="AB809" s="6" t="str">
        <f>IFERROR(VLOOKUP(D:D,[1]Габариты!$A:$D,4,0),"")</f>
        <v>КОМОДЫ</v>
      </c>
      <c r="AC809" s="39">
        <f t="shared" si="168"/>
        <v>135536</v>
      </c>
      <c r="AD809" s="13" t="str">
        <f t="shared" si="169"/>
        <v>СКГТ (ОЗОН)</v>
      </c>
    </row>
    <row r="810" spans="1:30" s="6" customFormat="1" ht="20.100000000000001" customHeight="1" outlineLevel="1" x14ac:dyDescent="0.25">
      <c r="A810" s="631" t="s">
        <v>1030</v>
      </c>
      <c r="B810" s="29"/>
      <c r="C810" s="13" t="s">
        <v>2581</v>
      </c>
      <c r="D810" s="40">
        <v>3388</v>
      </c>
      <c r="E810" s="4">
        <v>18</v>
      </c>
      <c r="F810" s="101">
        <v>3388</v>
      </c>
      <c r="G810" s="57" t="s">
        <v>5067</v>
      </c>
      <c r="H810" s="4" t="s">
        <v>7071</v>
      </c>
      <c r="I810" s="4"/>
      <c r="J810" s="4"/>
      <c r="K810" s="54">
        <v>3388</v>
      </c>
      <c r="L810" s="57">
        <v>1052862579</v>
      </c>
      <c r="M810" s="57">
        <v>1052862579</v>
      </c>
      <c r="N810" s="4" t="s">
        <v>1039</v>
      </c>
      <c r="O810" s="4">
        <v>609081084</v>
      </c>
      <c r="P810" s="4">
        <v>609081089</v>
      </c>
      <c r="Q810" s="767"/>
      <c r="R810" s="767"/>
      <c r="S810" s="4"/>
      <c r="T810" s="4"/>
      <c r="U810" s="4"/>
      <c r="V810" s="4"/>
      <c r="W810" s="4"/>
      <c r="X810" s="4" t="s">
        <v>1039</v>
      </c>
      <c r="Y810" s="4" t="s">
        <v>4066</v>
      </c>
      <c r="Z810" s="35"/>
      <c r="AA810" s="1" t="str">
        <f>IFERROR(VLOOKUP(D:D,[1]Габариты!$A:$I,9,0),"")</f>
        <v>Вакансия</v>
      </c>
      <c r="AB810" s="6" t="str">
        <f>IFERROR(VLOOKUP(D:D,[1]Габариты!$A:$D,4,0),"")</f>
        <v>КОМОДЫ</v>
      </c>
      <c r="AC810" s="39">
        <f t="shared" si="168"/>
        <v>3388</v>
      </c>
      <c r="AD810" s="13" t="str">
        <f t="shared" si="169"/>
        <v>FBS</v>
      </c>
    </row>
    <row r="811" spans="1:30" s="6" customFormat="1" ht="20.100000000000001" customHeight="1" outlineLevel="1" x14ac:dyDescent="0.25">
      <c r="A811" s="631" t="s">
        <v>1031</v>
      </c>
      <c r="B811" s="29"/>
      <c r="C811" s="13" t="s">
        <v>2581</v>
      </c>
      <c r="D811" s="40">
        <v>3389</v>
      </c>
      <c r="E811" s="4">
        <v>18</v>
      </c>
      <c r="F811" s="101">
        <v>3389</v>
      </c>
      <c r="G811" s="57" t="s">
        <v>5068</v>
      </c>
      <c r="H811" s="4" t="s">
        <v>7072</v>
      </c>
      <c r="I811" s="4"/>
      <c r="J811" s="4"/>
      <c r="K811" s="54">
        <v>3389</v>
      </c>
      <c r="L811" s="57">
        <v>1029885153</v>
      </c>
      <c r="M811" s="57">
        <v>1029885153</v>
      </c>
      <c r="N811" s="4" t="s">
        <v>1040</v>
      </c>
      <c r="O811" s="4">
        <v>609047862</v>
      </c>
      <c r="P811" s="4">
        <v>609047863</v>
      </c>
      <c r="Q811" s="767"/>
      <c r="R811" s="767"/>
      <c r="S811" s="4"/>
      <c r="T811" s="4"/>
      <c r="U811" s="4"/>
      <c r="V811" s="4"/>
      <c r="W811" s="4"/>
      <c r="X811" s="4" t="s">
        <v>1040</v>
      </c>
      <c r="Y811" s="4" t="s">
        <v>4066</v>
      </c>
      <c r="Z811" s="35"/>
      <c r="AA811" s="1" t="str">
        <f>IFERROR(VLOOKUP(D:D,[1]Габариты!$A:$I,9,0),"")</f>
        <v>Вакансия</v>
      </c>
      <c r="AB811" s="6" t="str">
        <f>IFERROR(VLOOKUP(D:D,[1]Габариты!$A:$D,4,0),"")</f>
        <v>КОМОДЫ</v>
      </c>
      <c r="AC811" s="39">
        <f t="shared" si="168"/>
        <v>3389</v>
      </c>
      <c r="AD811" s="13" t="str">
        <f t="shared" si="169"/>
        <v>FBS</v>
      </c>
    </row>
    <row r="812" spans="1:30" s="6" customFormat="1" ht="20.100000000000001" customHeight="1" outlineLevel="1" x14ac:dyDescent="0.25">
      <c r="A812" s="631" t="s">
        <v>1054</v>
      </c>
      <c r="B812" s="29"/>
      <c r="C812" s="13" t="s">
        <v>2581</v>
      </c>
      <c r="D812" s="40">
        <v>140004</v>
      </c>
      <c r="E812" s="4">
        <v>18</v>
      </c>
      <c r="F812" s="101">
        <v>140004</v>
      </c>
      <c r="G812" s="57"/>
      <c r="H812" s="4" t="s">
        <v>7073</v>
      </c>
      <c r="I812" s="4"/>
      <c r="J812" s="4"/>
      <c r="K812" s="54"/>
      <c r="L812" s="57"/>
      <c r="M812" s="57"/>
      <c r="N812" s="4" t="s">
        <v>1106</v>
      </c>
      <c r="O812" s="4">
        <v>631758550</v>
      </c>
      <c r="P812" s="4">
        <v>631758549</v>
      </c>
      <c r="Q812" s="767"/>
      <c r="R812" s="767"/>
      <c r="S812" s="4"/>
      <c r="T812" s="4"/>
      <c r="U812" s="4"/>
      <c r="V812" s="4"/>
      <c r="W812" s="4"/>
      <c r="X812" s="4" t="s">
        <v>1106</v>
      </c>
      <c r="Y812" s="4" t="s">
        <v>4066</v>
      </c>
      <c r="Z812" s="35"/>
      <c r="AA812" s="1" t="str">
        <f>IFERROR(VLOOKUP(D:D,[1]Габариты!$A:$I,9,0),"")</f>
        <v>Вакансия</v>
      </c>
      <c r="AB812" s="6" t="str">
        <f>IFERROR(VLOOKUP(D:D,[1]Габариты!$A:$D,4,0),"")</f>
        <v>КОМОДЫ</v>
      </c>
      <c r="AC812" s="39">
        <f t="shared" si="168"/>
        <v>140004</v>
      </c>
      <c r="AD812" s="13" t="str">
        <f t="shared" si="169"/>
        <v>FBS</v>
      </c>
    </row>
    <row r="813" spans="1:30" s="6" customFormat="1" ht="20.100000000000001" customHeight="1" outlineLevel="1" x14ac:dyDescent="0.25">
      <c r="A813" s="635" t="s">
        <v>499</v>
      </c>
      <c r="B813" s="24"/>
      <c r="C813" s="13" t="s">
        <v>2581</v>
      </c>
      <c r="D813" s="40">
        <v>3152</v>
      </c>
      <c r="E813" s="4">
        <v>17</v>
      </c>
      <c r="F813" s="101">
        <v>3152</v>
      </c>
      <c r="G813" s="57" t="s">
        <v>5027</v>
      </c>
      <c r="H813" s="4" t="s">
        <v>7074</v>
      </c>
      <c r="I813" s="4"/>
      <c r="J813" s="4"/>
      <c r="K813" s="54"/>
      <c r="L813" s="57"/>
      <c r="M813" s="57"/>
      <c r="N813" s="4" t="s">
        <v>842</v>
      </c>
      <c r="O813" s="4">
        <v>715073951</v>
      </c>
      <c r="P813" s="4">
        <v>715073950</v>
      </c>
      <c r="Q813" s="767"/>
      <c r="R813" s="767"/>
      <c r="S813" s="4"/>
      <c r="T813" s="4"/>
      <c r="U813" s="4"/>
      <c r="V813" s="4"/>
      <c r="W813" s="4" t="s">
        <v>2150</v>
      </c>
      <c r="X813" s="4" t="s">
        <v>842</v>
      </c>
      <c r="Y813" s="4" t="s">
        <v>4066</v>
      </c>
      <c r="Z813" s="35"/>
      <c r="AA813" s="1" t="str">
        <f>IFERROR(VLOOKUP(D:D,[1]Габариты!$A:$I,9,0),"")</f>
        <v>Вакансия</v>
      </c>
      <c r="AB813" s="6" t="str">
        <f>IFERROR(VLOOKUP(D:D,[1]Габариты!$A:$D,4,0),"")</f>
        <v>КОМОДЫ</v>
      </c>
      <c r="AC813" s="39">
        <f t="shared" si="168"/>
        <v>3152</v>
      </c>
      <c r="AD813" s="13" t="str">
        <f t="shared" si="169"/>
        <v>FBS</v>
      </c>
    </row>
    <row r="814" spans="1:30" s="6" customFormat="1" ht="20.100000000000001" customHeight="1" outlineLevel="1" x14ac:dyDescent="0.25">
      <c r="A814" s="746" t="s">
        <v>507</v>
      </c>
      <c r="B814" s="27"/>
      <c r="C814" s="13" t="s">
        <v>2581</v>
      </c>
      <c r="D814" s="40">
        <v>3107</v>
      </c>
      <c r="E814" s="4">
        <v>20</v>
      </c>
      <c r="F814" s="101">
        <v>3107</v>
      </c>
      <c r="G814" s="57" t="s">
        <v>5008</v>
      </c>
      <c r="H814" s="4" t="s">
        <v>7075</v>
      </c>
      <c r="I814" s="4"/>
      <c r="J814" s="4"/>
      <c r="K814" s="54">
        <v>3107</v>
      </c>
      <c r="L814" s="57">
        <v>427711885</v>
      </c>
      <c r="M814" s="57">
        <v>427711885</v>
      </c>
      <c r="N814" s="4" t="s">
        <v>843</v>
      </c>
      <c r="O814" s="4">
        <v>624706860</v>
      </c>
      <c r="P814" s="4">
        <v>624706863</v>
      </c>
      <c r="Q814" s="767"/>
      <c r="R814" s="767"/>
      <c r="S814" s="4"/>
      <c r="T814" s="4"/>
      <c r="U814" s="4"/>
      <c r="V814" s="4"/>
      <c r="W814" s="4" t="s">
        <v>2151</v>
      </c>
      <c r="X814" s="4" t="s">
        <v>843</v>
      </c>
      <c r="Y814" s="4">
        <v>3107</v>
      </c>
      <c r="Z814" s="35"/>
      <c r="AA814" s="1" t="str">
        <f>IFERROR(VLOOKUP(D:D,[1]Габариты!$A:$I,9,0),"")</f>
        <v>Вакансия</v>
      </c>
      <c r="AB814" s="6" t="str">
        <f>IFERROR(VLOOKUP(D:D,[1]Габариты!$A:$D,4,0),"")</f>
        <v>КОМОДЫ</v>
      </c>
      <c r="AC814" s="39">
        <f t="shared" si="168"/>
        <v>3107</v>
      </c>
      <c r="AD814" s="13" t="str">
        <f t="shared" si="169"/>
        <v>FBS</v>
      </c>
    </row>
    <row r="815" spans="1:30" s="6" customFormat="1" ht="20.100000000000001" customHeight="1" outlineLevel="1" x14ac:dyDescent="0.25">
      <c r="A815" s="631" t="s">
        <v>517</v>
      </c>
      <c r="B815" s="29"/>
      <c r="C815" s="13" t="s">
        <v>4050</v>
      </c>
      <c r="D815" s="40">
        <v>3164</v>
      </c>
      <c r="E815" s="4">
        <v>16</v>
      </c>
      <c r="F815" s="101">
        <v>3164</v>
      </c>
      <c r="G815" s="57"/>
      <c r="H815" s="4" t="s">
        <v>7076</v>
      </c>
      <c r="I815" s="4"/>
      <c r="J815" s="4"/>
      <c r="K815" s="54"/>
      <c r="L815" s="57"/>
      <c r="M815" s="57"/>
      <c r="N815" s="4" t="s">
        <v>844</v>
      </c>
      <c r="O815" s="4">
        <v>481646311</v>
      </c>
      <c r="P815" s="4">
        <v>481646310</v>
      </c>
      <c r="Q815" s="767"/>
      <c r="R815" s="767"/>
      <c r="S815" s="4"/>
      <c r="T815" s="4"/>
      <c r="U815" s="4"/>
      <c r="V815" s="4"/>
      <c r="W815" s="4" t="s">
        <v>2152</v>
      </c>
      <c r="X815" s="4" t="s">
        <v>844</v>
      </c>
      <c r="Y815" s="4" t="s">
        <v>4066</v>
      </c>
      <c r="Z815" s="35"/>
      <c r="AA815" s="1" t="str">
        <f>IFERROR(VLOOKUP(D:D,[1]Габариты!$A:$I,9,0),"")</f>
        <v>Вакансия</v>
      </c>
      <c r="AB815" s="6" t="str">
        <f>IFERROR(VLOOKUP(D:D,[1]Габариты!$A:$D,4,0),"")</f>
        <v>КОМОДЫ</v>
      </c>
      <c r="AC815" s="39">
        <f t="shared" si="168"/>
        <v>3164</v>
      </c>
      <c r="AD815" s="13" t="str">
        <f t="shared" si="169"/>
        <v>СКГТ (ОЗОН)</v>
      </c>
    </row>
    <row r="816" spans="1:30" s="6" customFormat="1" ht="20.100000000000001" customHeight="1" outlineLevel="1" x14ac:dyDescent="0.25">
      <c r="A816" s="631" t="s">
        <v>527</v>
      </c>
      <c r="B816" s="29"/>
      <c r="C816" s="13" t="s">
        <v>2581</v>
      </c>
      <c r="D816" s="40">
        <v>3177</v>
      </c>
      <c r="E816" s="4">
        <v>28</v>
      </c>
      <c r="F816" s="101">
        <v>3177</v>
      </c>
      <c r="G816" s="57" t="s">
        <v>5038</v>
      </c>
      <c r="H816" s="4" t="s">
        <v>7079</v>
      </c>
      <c r="I816" s="4"/>
      <c r="J816" s="4"/>
      <c r="K816" s="54">
        <v>3177</v>
      </c>
      <c r="L816" s="57">
        <v>935891381</v>
      </c>
      <c r="M816" s="57">
        <v>935891381</v>
      </c>
      <c r="N816" s="4" t="s">
        <v>848</v>
      </c>
      <c r="O816" s="4">
        <v>484323290</v>
      </c>
      <c r="P816" s="4">
        <v>484323291</v>
      </c>
      <c r="Q816" s="767"/>
      <c r="R816" s="767"/>
      <c r="S816" s="4"/>
      <c r="T816" s="4"/>
      <c r="U816" s="4"/>
      <c r="V816" s="4"/>
      <c r="W816" s="4" t="s">
        <v>2156</v>
      </c>
      <c r="X816" s="4" t="s">
        <v>848</v>
      </c>
      <c r="Y816" s="4" t="s">
        <v>4066</v>
      </c>
      <c r="Z816" s="35"/>
      <c r="AA816" s="1" t="str">
        <f>IFERROR(VLOOKUP(D:D,[1]Габариты!$A:$I,9,0),"")</f>
        <v>Вакансия</v>
      </c>
      <c r="AB816" s="6" t="str">
        <f>IFERROR(VLOOKUP(D:D,[1]Габариты!$A:$D,4,0),"")</f>
        <v>КОМОДЫ</v>
      </c>
      <c r="AC816" s="39">
        <f t="shared" si="168"/>
        <v>3177</v>
      </c>
      <c r="AD816" s="13" t="str">
        <f t="shared" si="169"/>
        <v>FBS</v>
      </c>
    </row>
    <row r="817" spans="1:30" s="6" customFormat="1" ht="20.100000000000001" customHeight="1" outlineLevel="1" x14ac:dyDescent="0.25">
      <c r="A817" s="631" t="s">
        <v>542</v>
      </c>
      <c r="B817" s="29"/>
      <c r="C817" s="13" t="s">
        <v>2581</v>
      </c>
      <c r="D817" s="40">
        <v>3162</v>
      </c>
      <c r="E817" s="4">
        <v>18</v>
      </c>
      <c r="F817" s="101">
        <v>3162</v>
      </c>
      <c r="G817" s="57"/>
      <c r="H817" s="4" t="s">
        <v>7080</v>
      </c>
      <c r="I817" s="4"/>
      <c r="J817" s="4"/>
      <c r="K817" s="54"/>
      <c r="L817" s="57"/>
      <c r="M817" s="57"/>
      <c r="N817" s="4" t="s">
        <v>850</v>
      </c>
      <c r="O817" s="4">
        <v>469647457</v>
      </c>
      <c r="P817" s="4">
        <v>469647458</v>
      </c>
      <c r="Q817" s="767"/>
      <c r="R817" s="767"/>
      <c r="S817" s="4"/>
      <c r="T817" s="4"/>
      <c r="U817" s="4"/>
      <c r="V817" s="4"/>
      <c r="W817" s="4" t="s">
        <v>2158</v>
      </c>
      <c r="X817" s="4" t="s">
        <v>850</v>
      </c>
      <c r="Y817" s="4" t="s">
        <v>4066</v>
      </c>
      <c r="Z817" s="35"/>
      <c r="AA817" s="1" t="str">
        <f>IFERROR(VLOOKUP(D:D,[1]Габариты!$A:$I,9,0),"")</f>
        <v>Вакансия</v>
      </c>
      <c r="AB817" s="6" t="str">
        <f>IFERROR(VLOOKUP(D:D,[1]Габариты!$A:$D,4,0),"")</f>
        <v>КОМОДЫ</v>
      </c>
      <c r="AC817" s="39">
        <f t="shared" si="168"/>
        <v>3162</v>
      </c>
      <c r="AD817" s="13" t="str">
        <f t="shared" si="169"/>
        <v>FBS</v>
      </c>
    </row>
    <row r="818" spans="1:30" s="6" customFormat="1" ht="20.100000000000001" customHeight="1" outlineLevel="1" x14ac:dyDescent="0.25">
      <c r="A818" s="631" t="s">
        <v>1026</v>
      </c>
      <c r="B818" s="29"/>
      <c r="C818" s="13" t="s">
        <v>4050</v>
      </c>
      <c r="D818" s="40">
        <v>3296</v>
      </c>
      <c r="E818" s="4">
        <v>14</v>
      </c>
      <c r="F818" s="101">
        <v>3296</v>
      </c>
      <c r="G818" s="57" t="s">
        <v>5052</v>
      </c>
      <c r="H818" s="4" t="s">
        <v>7081</v>
      </c>
      <c r="I818" s="4"/>
      <c r="J818" s="4"/>
      <c r="K818" s="54">
        <v>3296</v>
      </c>
      <c r="L818" s="57">
        <v>935874915</v>
      </c>
      <c r="M818" s="57">
        <v>935874915</v>
      </c>
      <c r="N818" s="4" t="s">
        <v>2584</v>
      </c>
      <c r="O818" s="4">
        <v>609014471</v>
      </c>
      <c r="P818" s="4">
        <v>609014472</v>
      </c>
      <c r="Q818" s="767"/>
      <c r="R818" s="767"/>
      <c r="S818" s="4"/>
      <c r="T818" s="4"/>
      <c r="U818" s="4"/>
      <c r="V818" s="4"/>
      <c r="W818" s="4"/>
      <c r="X818" s="4"/>
      <c r="Y818" s="4" t="s">
        <v>4066</v>
      </c>
      <c r="Z818" s="35"/>
      <c r="AA818" s="1" t="str">
        <f>IFERROR(VLOOKUP(D:D,[1]Габариты!$A:$I,9,0),"")</f>
        <v>Вакансия</v>
      </c>
      <c r="AB818" s="6" t="str">
        <f>IFERROR(VLOOKUP(D:D,[1]Габариты!$A:$D,4,0),"")</f>
        <v>КОМОДЫ</v>
      </c>
      <c r="AC818" s="39">
        <f t="shared" si="168"/>
        <v>3296</v>
      </c>
      <c r="AD818" s="13" t="str">
        <f t="shared" si="169"/>
        <v>СКГТ (ОЗОН)</v>
      </c>
    </row>
    <row r="819" spans="1:30" s="6" customFormat="1" ht="20.100000000000001" customHeight="1" outlineLevel="1" x14ac:dyDescent="0.25">
      <c r="A819" s="631" t="s">
        <v>3492</v>
      </c>
      <c r="B819" s="29"/>
      <c r="C819" s="13" t="s">
        <v>2582</v>
      </c>
      <c r="D819" s="40">
        <v>1355363</v>
      </c>
      <c r="E819" s="4">
        <v>18</v>
      </c>
      <c r="F819" s="101">
        <v>1355363</v>
      </c>
      <c r="G819" s="57"/>
      <c r="H819" s="4"/>
      <c r="I819" s="4"/>
      <c r="J819" s="4"/>
      <c r="K819" s="54"/>
      <c r="L819" s="57"/>
      <c r="M819" s="57"/>
      <c r="N819" s="766"/>
      <c r="O819" s="4"/>
      <c r="P819" s="4"/>
      <c r="Q819" s="767"/>
      <c r="R819" s="767"/>
      <c r="S819" s="4"/>
      <c r="T819" s="4"/>
      <c r="U819" s="4"/>
      <c r="V819" s="4"/>
      <c r="W819" s="4"/>
      <c r="X819" s="4"/>
      <c r="Y819" s="4" t="s">
        <v>4066</v>
      </c>
      <c r="Z819" s="35"/>
      <c r="AA819" s="1" t="str">
        <f>IFERROR(VLOOKUP(D:D,[1]Габариты!$A:$I,9,0),"")</f>
        <v>Вакансия</v>
      </c>
      <c r="AB819" s="6" t="str">
        <f>IFERROR(VLOOKUP(D:D,[1]Габариты!$A:$D,4,0),"")</f>
        <v>КОМОДЫ</v>
      </c>
      <c r="AC819" s="39">
        <f t="shared" si="168"/>
        <v>1355363</v>
      </c>
      <c r="AD819" s="13" t="str">
        <f t="shared" si="169"/>
        <v>FBO</v>
      </c>
    </row>
    <row r="820" spans="1:30" s="6" customFormat="1" ht="20.100000000000001" customHeight="1" outlineLevel="1" x14ac:dyDescent="0.25">
      <c r="A820" s="631" t="s">
        <v>3505</v>
      </c>
      <c r="B820" s="29"/>
      <c r="C820" s="13" t="s">
        <v>2582</v>
      </c>
      <c r="D820" s="40">
        <v>1355344</v>
      </c>
      <c r="E820" s="4">
        <v>19</v>
      </c>
      <c r="F820" s="101">
        <v>1355344</v>
      </c>
      <c r="G820" s="57"/>
      <c r="H820" s="4"/>
      <c r="I820" s="4"/>
      <c r="J820" s="4"/>
      <c r="K820" s="54"/>
      <c r="L820" s="57"/>
      <c r="M820" s="57"/>
      <c r="N820" s="766"/>
      <c r="O820" s="4"/>
      <c r="P820" s="4"/>
      <c r="Q820" s="767"/>
      <c r="R820" s="767"/>
      <c r="S820" s="4"/>
      <c r="T820" s="4"/>
      <c r="U820" s="4"/>
      <c r="V820" s="4"/>
      <c r="W820" s="4"/>
      <c r="X820" s="4"/>
      <c r="Y820" s="4" t="s">
        <v>4066</v>
      </c>
      <c r="Z820" s="35"/>
      <c r="AA820" s="1" t="str">
        <f>IFERROR(VLOOKUP(D:D,[1]Габариты!$A:$I,9,0),"")</f>
        <v>Вакансия</v>
      </c>
      <c r="AB820" s="6" t="str">
        <f>IFERROR(VLOOKUP(D:D,[1]Габариты!$A:$D,4,0),"")</f>
        <v>КОМОДЫ</v>
      </c>
      <c r="AC820" s="39">
        <f t="shared" si="168"/>
        <v>1355344</v>
      </c>
      <c r="AD820" s="13" t="str">
        <f t="shared" si="169"/>
        <v>FBO</v>
      </c>
    </row>
    <row r="821" spans="1:30" s="6" customFormat="1" ht="20.100000000000001" customHeight="1" outlineLevel="1" x14ac:dyDescent="0.25">
      <c r="A821" s="631" t="s">
        <v>1088</v>
      </c>
      <c r="B821" s="29"/>
      <c r="C821" s="13" t="s">
        <v>2581</v>
      </c>
      <c r="D821" s="40">
        <v>140007</v>
      </c>
      <c r="E821" s="4">
        <v>20</v>
      </c>
      <c r="F821" s="101">
        <v>140007</v>
      </c>
      <c r="G821" s="57"/>
      <c r="H821" s="4" t="s">
        <v>7082</v>
      </c>
      <c r="I821" s="4" t="s">
        <v>3778</v>
      </c>
      <c r="J821" s="4" t="s">
        <v>3795</v>
      </c>
      <c r="K821" s="54"/>
      <c r="L821" s="57"/>
      <c r="M821" s="57"/>
      <c r="N821" s="4" t="s">
        <v>1109</v>
      </c>
      <c r="O821" s="4">
        <v>652107004</v>
      </c>
      <c r="P821" s="4">
        <v>652107003</v>
      </c>
      <c r="Q821" s="767" t="s">
        <v>3794</v>
      </c>
      <c r="R821" s="767">
        <v>1272880256</v>
      </c>
      <c r="S821" s="4">
        <v>1272880256</v>
      </c>
      <c r="T821" s="4"/>
      <c r="U821" s="4"/>
      <c r="V821" s="4"/>
      <c r="W821" s="4"/>
      <c r="X821" s="4" t="s">
        <v>1109</v>
      </c>
      <c r="Y821" s="4">
        <v>140007</v>
      </c>
      <c r="Z821" s="35"/>
      <c r="AA821" s="1" t="str">
        <f>IFERROR(VLOOKUP(D:D,[1]Габариты!$A:$I,9,0),"")</f>
        <v>Вакансия</v>
      </c>
      <c r="AB821" s="6" t="str">
        <f>IFERROR(VLOOKUP(D:D,[1]Габариты!$A:$D,4,0),"")</f>
        <v>КОМОДЫ</v>
      </c>
      <c r="AC821" s="39">
        <f t="shared" si="168"/>
        <v>140007</v>
      </c>
      <c r="AD821" s="13" t="str">
        <f t="shared" si="169"/>
        <v>FBS</v>
      </c>
    </row>
    <row r="822" spans="1:30" s="6" customFormat="1" ht="20.100000000000001" customHeight="1" outlineLevel="1" x14ac:dyDescent="0.25">
      <c r="A822" s="631" t="s">
        <v>1089</v>
      </c>
      <c r="B822" s="29"/>
      <c r="C822" s="13" t="s">
        <v>2581</v>
      </c>
      <c r="D822" s="40">
        <v>140008</v>
      </c>
      <c r="E822" s="4">
        <v>20</v>
      </c>
      <c r="F822" s="101">
        <v>140008</v>
      </c>
      <c r="G822" s="57"/>
      <c r="H822" s="4" t="s">
        <v>7083</v>
      </c>
      <c r="I822" s="880" t="s">
        <v>3898</v>
      </c>
      <c r="J822" s="4" t="s">
        <v>3796</v>
      </c>
      <c r="K822" s="54"/>
      <c r="L822" s="57"/>
      <c r="M822" s="57"/>
      <c r="N822" s="4" t="s">
        <v>1110</v>
      </c>
      <c r="O822" s="4">
        <v>652121364</v>
      </c>
      <c r="P822" s="4">
        <v>652121363</v>
      </c>
      <c r="Q822" s="767" t="s">
        <v>3813</v>
      </c>
      <c r="R822" s="767">
        <v>1328711008</v>
      </c>
      <c r="S822" s="4">
        <v>1328711008</v>
      </c>
      <c r="T822" s="4"/>
      <c r="U822" s="4"/>
      <c r="V822" s="4"/>
      <c r="W822" s="4"/>
      <c r="X822" s="4" t="s">
        <v>1110</v>
      </c>
      <c r="Y822" s="4">
        <v>140008</v>
      </c>
      <c r="Z822" s="35"/>
      <c r="AA822" s="1" t="str">
        <f>IFERROR(VLOOKUP(D:D,[1]Габариты!$A:$I,9,0),"")</f>
        <v>Вакансия</v>
      </c>
      <c r="AB822" s="6" t="str">
        <f>IFERROR(VLOOKUP(D:D,[1]Габариты!$A:$D,4,0),"")</f>
        <v>КОМОДЫ</v>
      </c>
      <c r="AC822" s="39">
        <f t="shared" si="168"/>
        <v>140008</v>
      </c>
      <c r="AD822" s="13" t="str">
        <f t="shared" si="169"/>
        <v>FBS</v>
      </c>
    </row>
    <row r="823" spans="1:30" s="6" customFormat="1" ht="20.100000000000001" customHeight="1" outlineLevel="1" x14ac:dyDescent="0.25">
      <c r="A823" s="631" t="s">
        <v>1090</v>
      </c>
      <c r="B823" s="29"/>
      <c r="C823" s="13" t="s">
        <v>2581</v>
      </c>
      <c r="D823" s="40">
        <v>140009</v>
      </c>
      <c r="E823" s="4">
        <v>20</v>
      </c>
      <c r="F823" s="101">
        <v>140009</v>
      </c>
      <c r="G823" s="57"/>
      <c r="H823" s="4" t="s">
        <v>7084</v>
      </c>
      <c r="I823" s="4" t="s">
        <v>3779</v>
      </c>
      <c r="J823" s="4" t="s">
        <v>3797</v>
      </c>
      <c r="K823" s="54"/>
      <c r="L823" s="57"/>
      <c r="M823" s="57"/>
      <c r="N823" s="4" t="s">
        <v>1111</v>
      </c>
      <c r="O823" s="4">
        <v>652123774</v>
      </c>
      <c r="P823" s="4">
        <v>652123775</v>
      </c>
      <c r="Q823" s="767" t="s">
        <v>3814</v>
      </c>
      <c r="R823" s="767">
        <v>1328730010</v>
      </c>
      <c r="S823" s="4">
        <v>1328730010</v>
      </c>
      <c r="T823" s="4"/>
      <c r="U823" s="4"/>
      <c r="V823" s="4"/>
      <c r="W823" s="4"/>
      <c r="X823" s="4" t="s">
        <v>1111</v>
      </c>
      <c r="Y823" s="4" t="s">
        <v>4066</v>
      </c>
      <c r="Z823" s="35"/>
      <c r="AA823" s="1" t="str">
        <f>IFERROR(VLOOKUP(D:D,[1]Габариты!$A:$I,9,0),"")</f>
        <v>Вакансия</v>
      </c>
      <c r="AB823" s="6" t="str">
        <f>IFERROR(VLOOKUP(D:D,[1]Габариты!$A:$D,4,0),"")</f>
        <v>КОМОДЫ</v>
      </c>
      <c r="AC823" s="39">
        <f t="shared" si="168"/>
        <v>140009</v>
      </c>
      <c r="AD823" s="13" t="str">
        <f t="shared" si="169"/>
        <v>FBS</v>
      </c>
    </row>
    <row r="824" spans="1:30" s="6" customFormat="1" ht="20.100000000000001" customHeight="1" outlineLevel="1" x14ac:dyDescent="0.25">
      <c r="A824" s="631" t="s">
        <v>1353</v>
      </c>
      <c r="B824" s="29"/>
      <c r="C824" s="13" t="s">
        <v>2581</v>
      </c>
      <c r="D824" s="40">
        <v>140010</v>
      </c>
      <c r="E824" s="4">
        <v>20</v>
      </c>
      <c r="F824" s="101">
        <v>140010</v>
      </c>
      <c r="G824" s="57"/>
      <c r="H824" s="4" t="s">
        <v>7085</v>
      </c>
      <c r="I824" s="4" t="s">
        <v>3780</v>
      </c>
      <c r="J824" s="4" t="s">
        <v>3798</v>
      </c>
      <c r="K824" s="54"/>
      <c r="L824" s="57"/>
      <c r="M824" s="57"/>
      <c r="N824" s="4" t="s">
        <v>1381</v>
      </c>
      <c r="O824" s="4">
        <v>667955920</v>
      </c>
      <c r="P824" s="4">
        <v>667955921</v>
      </c>
      <c r="Q824" s="767" t="s">
        <v>3815</v>
      </c>
      <c r="R824" s="767">
        <v>1328870137</v>
      </c>
      <c r="S824" s="4">
        <v>1328870137</v>
      </c>
      <c r="T824" s="4"/>
      <c r="U824" s="4"/>
      <c r="V824" s="4"/>
      <c r="W824" s="4"/>
      <c r="X824" s="4" t="s">
        <v>1381</v>
      </c>
      <c r="Y824" s="4" t="s">
        <v>4066</v>
      </c>
      <c r="Z824" s="35"/>
      <c r="AA824" s="1" t="str">
        <f>IFERROR(VLOOKUP(D:D,[1]Габариты!$A:$I,9,0),"")</f>
        <v>Вакансия</v>
      </c>
      <c r="AB824" s="6" t="str">
        <f>IFERROR(VLOOKUP(D:D,[1]Габариты!$A:$D,4,0),"")</f>
        <v>КОМОДЫ</v>
      </c>
      <c r="AC824" s="39">
        <f t="shared" si="168"/>
        <v>140010</v>
      </c>
      <c r="AD824" s="13" t="str">
        <f t="shared" si="169"/>
        <v>FBS</v>
      </c>
    </row>
    <row r="825" spans="1:30" s="6" customFormat="1" ht="20.100000000000001" customHeight="1" outlineLevel="1" x14ac:dyDescent="0.25">
      <c r="A825" s="665" t="s">
        <v>240</v>
      </c>
      <c r="B825" s="2"/>
      <c r="C825" s="13" t="s">
        <v>2582</v>
      </c>
      <c r="D825" s="39">
        <v>2995</v>
      </c>
      <c r="E825" s="4">
        <v>22</v>
      </c>
      <c r="F825" s="101">
        <v>2995</v>
      </c>
      <c r="G825" s="57" t="s">
        <v>4936</v>
      </c>
      <c r="H825" s="4" t="s">
        <v>6376</v>
      </c>
      <c r="I825" s="4" t="s">
        <v>2063</v>
      </c>
      <c r="J825" s="4" t="s">
        <v>3251</v>
      </c>
      <c r="K825" s="54" t="s">
        <v>2125</v>
      </c>
      <c r="L825" s="57">
        <v>277900304</v>
      </c>
      <c r="M825" s="57">
        <v>277900304</v>
      </c>
      <c r="N825" s="4" t="s">
        <v>718</v>
      </c>
      <c r="O825" s="4">
        <v>278257634</v>
      </c>
      <c r="P825" s="4">
        <v>278257648</v>
      </c>
      <c r="Q825" s="767" t="s">
        <v>2698</v>
      </c>
      <c r="R825" s="767">
        <v>355479652</v>
      </c>
      <c r="S825" s="4">
        <v>355479653</v>
      </c>
      <c r="T825" s="4" t="s">
        <v>2980</v>
      </c>
      <c r="U825" s="4">
        <v>955317342</v>
      </c>
      <c r="V825" s="4">
        <v>955317342</v>
      </c>
      <c r="W825" s="4" t="s">
        <v>2125</v>
      </c>
      <c r="X825" s="4" t="s">
        <v>718</v>
      </c>
      <c r="Y825" s="4">
        <v>2995</v>
      </c>
      <c r="Z825" s="35"/>
      <c r="AA825" s="1" t="str">
        <f>IFERROR(VLOOKUP(D:D,[1]Габариты!$A:$I,9,0),"")</f>
        <v>Вакансия</v>
      </c>
      <c r="AB825" s="6" t="str">
        <f>IFERROR(VLOOKUP(D:D,[1]Габариты!$A:$D,4,0),"")</f>
        <v>КОМОДЫ</v>
      </c>
      <c r="AC825" s="39">
        <f>D825</f>
        <v>2995</v>
      </c>
      <c r="AD825" s="13" t="str">
        <f>C825</f>
        <v>FBO</v>
      </c>
    </row>
    <row r="826" spans="1:30" s="6" customFormat="1" ht="20.100000000000001" customHeight="1" outlineLevel="1" x14ac:dyDescent="0.25">
      <c r="A826" s="635" t="s">
        <v>187</v>
      </c>
      <c r="B826" s="3"/>
      <c r="C826" s="13" t="s">
        <v>2581</v>
      </c>
      <c r="D826" s="39">
        <v>2911</v>
      </c>
      <c r="E826" s="4">
        <v>33</v>
      </c>
      <c r="F826" s="101">
        <v>2911</v>
      </c>
      <c r="G826" s="57" t="s">
        <v>4893</v>
      </c>
      <c r="H826" s="4" t="s">
        <v>7086</v>
      </c>
      <c r="I826" s="4" t="s">
        <v>2066</v>
      </c>
      <c r="J826" s="4"/>
      <c r="K826" s="54"/>
      <c r="L826" s="57"/>
      <c r="M826" s="57"/>
      <c r="N826" s="4" t="s">
        <v>671</v>
      </c>
      <c r="O826" s="4">
        <v>264411807</v>
      </c>
      <c r="P826" s="4">
        <v>264411819</v>
      </c>
      <c r="Q826" s="767" t="s">
        <v>2700</v>
      </c>
      <c r="R826" s="767">
        <v>343644006</v>
      </c>
      <c r="S826" s="4">
        <v>343644047</v>
      </c>
      <c r="T826" s="4"/>
      <c r="U826" s="4"/>
      <c r="V826" s="4"/>
      <c r="W826" s="4" t="s">
        <v>2127</v>
      </c>
      <c r="X826" s="4" t="s">
        <v>671</v>
      </c>
      <c r="Y826" s="4">
        <v>2911</v>
      </c>
      <c r="Z826" s="35"/>
      <c r="AA826" s="1" t="str">
        <f>IFERROR(VLOOKUP(D:D,[1]Габариты!$A:$I,9,0),"")</f>
        <v>Вакансия</v>
      </c>
      <c r="AB826" s="6" t="str">
        <f>IFERROR(VLOOKUP(D:D,[1]Габариты!$A:$D,4,0),"")</f>
        <v>КОМОДЫ</v>
      </c>
      <c r="AC826" s="39">
        <f t="shared" ref="AC826:AC911" si="170">D826</f>
        <v>2911</v>
      </c>
      <c r="AD826" s="13" t="str">
        <f t="shared" si="169"/>
        <v>FBS</v>
      </c>
    </row>
    <row r="827" spans="1:30" s="6" customFormat="1" ht="20.100000000000001" customHeight="1" outlineLevel="1" x14ac:dyDescent="0.25">
      <c r="A827" s="635" t="s">
        <v>189</v>
      </c>
      <c r="B827" s="3"/>
      <c r="C827" s="13" t="s">
        <v>2581</v>
      </c>
      <c r="D827" s="39">
        <v>2913</v>
      </c>
      <c r="E827" s="4">
        <v>33</v>
      </c>
      <c r="F827" s="101">
        <v>2913</v>
      </c>
      <c r="G827" s="57" t="s">
        <v>4895</v>
      </c>
      <c r="H827" s="4" t="s">
        <v>7087</v>
      </c>
      <c r="I827" s="4" t="s">
        <v>2068</v>
      </c>
      <c r="J827" s="4"/>
      <c r="K827" s="54"/>
      <c r="L827" s="57"/>
      <c r="M827" s="57"/>
      <c r="N827" s="4" t="s">
        <v>673</v>
      </c>
      <c r="O827" s="4">
        <v>264442221</v>
      </c>
      <c r="P827" s="4">
        <v>264442223</v>
      </c>
      <c r="Q827" s="767" t="s">
        <v>2702</v>
      </c>
      <c r="R827" s="767">
        <v>358441421</v>
      </c>
      <c r="S827" s="4">
        <v>358441420</v>
      </c>
      <c r="T827" s="4"/>
      <c r="U827" s="4"/>
      <c r="V827" s="4"/>
      <c r="W827" s="4" t="s">
        <v>2129</v>
      </c>
      <c r="X827" s="4" t="s">
        <v>673</v>
      </c>
      <c r="Y827" s="4">
        <v>2913</v>
      </c>
      <c r="Z827" s="35"/>
      <c r="AA827" s="1" t="str">
        <f>IFERROR(VLOOKUP(D:D,[1]Габариты!$A:$I,9,0),"")</f>
        <v>Вакансия</v>
      </c>
      <c r="AB827" s="6" t="str">
        <f>IFERROR(VLOOKUP(D:D,[1]Габариты!$A:$D,4,0),"")</f>
        <v>КОМОДЫ</v>
      </c>
      <c r="AC827" s="39">
        <f t="shared" si="170"/>
        <v>2913</v>
      </c>
      <c r="AD827" s="13" t="str">
        <f t="shared" si="169"/>
        <v>FBS</v>
      </c>
    </row>
    <row r="828" spans="1:30" s="6" customFormat="1" ht="20.100000000000001" customHeight="1" outlineLevel="1" x14ac:dyDescent="0.25">
      <c r="A828" s="631" t="s">
        <v>1725</v>
      </c>
      <c r="B828" s="29"/>
      <c r="C828" s="13" t="s">
        <v>3172</v>
      </c>
      <c r="D828" s="40" t="s">
        <v>1726</v>
      </c>
      <c r="E828" s="4">
        <v>12</v>
      </c>
      <c r="F828" s="101" t="s">
        <v>4606</v>
      </c>
      <c r="G828" s="57" t="s">
        <v>6340</v>
      </c>
      <c r="H828" s="4" t="s">
        <v>7088</v>
      </c>
      <c r="I828" s="4"/>
      <c r="J828" s="4"/>
      <c r="K828" s="54" t="s">
        <v>4606</v>
      </c>
      <c r="L828" s="57">
        <v>1162454951</v>
      </c>
      <c r="M828" s="57">
        <v>1162454951</v>
      </c>
      <c r="N828" s="4" t="s">
        <v>1732</v>
      </c>
      <c r="O828" s="4">
        <v>839989113</v>
      </c>
      <c r="P828" s="4">
        <v>839989112</v>
      </c>
      <c r="Q828" s="767"/>
      <c r="R828" s="767"/>
      <c r="S828" s="4"/>
      <c r="T828" s="4"/>
      <c r="U828" s="4"/>
      <c r="V828" s="4"/>
      <c r="W828" s="4"/>
      <c r="X828" s="4" t="s">
        <v>1732</v>
      </c>
      <c r="Y828" s="4" t="s">
        <v>4066</v>
      </c>
      <c r="Z828" s="35"/>
      <c r="AA828" s="1" t="str">
        <f>IFERROR(VLOOKUP(D:D,[1]Габариты!$A:$I,9,0),"")</f>
        <v>Вакансия</v>
      </c>
      <c r="AB828" s="6" t="str">
        <f>IFERROR(VLOOKUP(D:D,[1]Габариты!$A:$D,4,0),"")</f>
        <v>КОМОДЫ</v>
      </c>
      <c r="AC828" s="39" t="str">
        <f t="shared" si="170"/>
        <v>MK1840101</v>
      </c>
      <c r="AD828" s="13" t="str">
        <f t="shared" si="169"/>
        <v xml:space="preserve">СКГТ </v>
      </c>
    </row>
    <row r="829" spans="1:30" s="6" customFormat="1" ht="20.100000000000001" customHeight="1" outlineLevel="1" x14ac:dyDescent="0.25">
      <c r="A829" s="665" t="s">
        <v>241</v>
      </c>
      <c r="B829" s="2"/>
      <c r="C829" s="13" t="s">
        <v>2582</v>
      </c>
      <c r="D829" s="39">
        <v>2996</v>
      </c>
      <c r="E829" s="4">
        <v>22</v>
      </c>
      <c r="F829" s="101">
        <v>2996</v>
      </c>
      <c r="G829" s="57" t="s">
        <v>4937</v>
      </c>
      <c r="H829" s="4" t="s">
        <v>6377</v>
      </c>
      <c r="I829" s="4" t="s">
        <v>2064</v>
      </c>
      <c r="J829" s="4" t="s">
        <v>2018</v>
      </c>
      <c r="K829" s="54" t="s">
        <v>2126</v>
      </c>
      <c r="L829" s="57">
        <v>276263043</v>
      </c>
      <c r="M829" s="57">
        <v>276263043</v>
      </c>
      <c r="N829" s="4" t="s">
        <v>719</v>
      </c>
      <c r="O829" s="4">
        <v>277793923</v>
      </c>
      <c r="P829" s="4">
        <v>277793940</v>
      </c>
      <c r="Q829" s="767" t="s">
        <v>2699</v>
      </c>
      <c r="R829" s="767">
        <v>384049492</v>
      </c>
      <c r="S829" s="4">
        <v>384049493</v>
      </c>
      <c r="T829" s="4" t="s">
        <v>2981</v>
      </c>
      <c r="U829" s="4">
        <v>955317348</v>
      </c>
      <c r="V829" s="4">
        <v>955317348</v>
      </c>
      <c r="W829" s="4" t="s">
        <v>2126</v>
      </c>
      <c r="X829" s="4" t="s">
        <v>719</v>
      </c>
      <c r="Y829" s="4">
        <v>2996</v>
      </c>
      <c r="Z829" s="35"/>
      <c r="AA829" s="1" t="str">
        <f>IFERROR(VLOOKUP(D:D,[1]Габариты!$A:$I,9,0),"")</f>
        <v>Вакансия</v>
      </c>
      <c r="AB829" s="6" t="str">
        <f>IFERROR(VLOOKUP(D:D,[1]Габариты!$A:$D,4,0),"")</f>
        <v>КОМОДЫ</v>
      </c>
      <c r="AC829" s="39">
        <f t="shared" si="170"/>
        <v>2996</v>
      </c>
      <c r="AD829" s="13" t="str">
        <f t="shared" si="169"/>
        <v>FBO</v>
      </c>
    </row>
    <row r="830" spans="1:30" s="6" customFormat="1" ht="20.100000000000001" customHeight="1" outlineLevel="1" x14ac:dyDescent="0.25">
      <c r="A830" s="635" t="s">
        <v>181</v>
      </c>
      <c r="B830" s="3"/>
      <c r="C830" s="13" t="s">
        <v>2582</v>
      </c>
      <c r="D830" s="39">
        <v>2900</v>
      </c>
      <c r="E830" s="4">
        <v>30</v>
      </c>
      <c r="F830" s="101">
        <v>2900</v>
      </c>
      <c r="G830" s="57" t="s">
        <v>4887</v>
      </c>
      <c r="H830" s="4" t="s">
        <v>6378</v>
      </c>
      <c r="I830" s="4" t="s">
        <v>1183</v>
      </c>
      <c r="J830" s="4" t="s">
        <v>2576</v>
      </c>
      <c r="K830" s="54" t="s">
        <v>2140</v>
      </c>
      <c r="L830" s="57">
        <v>252674156</v>
      </c>
      <c r="M830" s="57">
        <v>252674156</v>
      </c>
      <c r="N830" s="4" t="s">
        <v>665</v>
      </c>
      <c r="O830" s="4">
        <v>266783241</v>
      </c>
      <c r="P830" s="4">
        <v>266783249</v>
      </c>
      <c r="Q830" s="767" t="s">
        <v>2712</v>
      </c>
      <c r="R830" s="767">
        <v>323510415</v>
      </c>
      <c r="S830" s="4">
        <v>323510443</v>
      </c>
      <c r="T830" s="4" t="s">
        <v>2987</v>
      </c>
      <c r="U830" s="4">
        <v>955317382</v>
      </c>
      <c r="V830" s="4">
        <v>955317382</v>
      </c>
      <c r="W830" s="4" t="s">
        <v>2140</v>
      </c>
      <c r="X830" s="4" t="s">
        <v>665</v>
      </c>
      <c r="Y830" s="4">
        <v>2900</v>
      </c>
      <c r="Z830" s="35"/>
      <c r="AA830" s="1" t="str">
        <f>IFERROR(VLOOKUP(D:D,[1]Габариты!$A:$I,9,0),"")</f>
        <v>Вакансия</v>
      </c>
      <c r="AB830" s="6" t="str">
        <f>IFERROR(VLOOKUP(D:D,[1]Габариты!$A:$D,4,0),"")</f>
        <v>КОМОДЫ</v>
      </c>
      <c r="AC830" s="39">
        <f t="shared" si="170"/>
        <v>2900</v>
      </c>
      <c r="AD830" s="13" t="str">
        <f t="shared" si="169"/>
        <v>FBO</v>
      </c>
    </row>
    <row r="831" spans="1:30" s="6" customFormat="1" ht="20.100000000000001" customHeight="1" outlineLevel="1" x14ac:dyDescent="0.25">
      <c r="A831" s="635" t="s">
        <v>183</v>
      </c>
      <c r="B831" s="3"/>
      <c r="C831" s="13" t="s">
        <v>2582</v>
      </c>
      <c r="D831" s="39">
        <v>2902</v>
      </c>
      <c r="E831" s="4">
        <v>30</v>
      </c>
      <c r="F831" s="101">
        <v>2902</v>
      </c>
      <c r="G831" s="57" t="s">
        <v>4889</v>
      </c>
      <c r="H831" s="4" t="s">
        <v>6380</v>
      </c>
      <c r="I831" s="4" t="s">
        <v>1185</v>
      </c>
      <c r="J831" s="4" t="s">
        <v>2577</v>
      </c>
      <c r="K831" s="54" t="s">
        <v>2142</v>
      </c>
      <c r="L831" s="57">
        <v>252732036</v>
      </c>
      <c r="M831" s="57">
        <v>252732036</v>
      </c>
      <c r="N831" s="4" t="s">
        <v>667</v>
      </c>
      <c r="O831" s="4">
        <v>266785171</v>
      </c>
      <c r="P831" s="4">
        <v>266785180</v>
      </c>
      <c r="Q831" s="767" t="s">
        <v>2714</v>
      </c>
      <c r="R831" s="767">
        <v>323503174</v>
      </c>
      <c r="S831" s="4">
        <v>323503206</v>
      </c>
      <c r="T831" s="4" t="s">
        <v>2989</v>
      </c>
      <c r="U831" s="4">
        <v>955317337</v>
      </c>
      <c r="V831" s="4">
        <v>955317337</v>
      </c>
      <c r="W831" s="4" t="s">
        <v>2142</v>
      </c>
      <c r="X831" s="4" t="s">
        <v>667</v>
      </c>
      <c r="Y831" s="4">
        <v>2902</v>
      </c>
      <c r="Z831" s="35"/>
      <c r="AA831" s="1" t="str">
        <f>IFERROR(VLOOKUP(D:D,[1]Габариты!$A:$I,9,0),"")</f>
        <v>Вакансия</v>
      </c>
      <c r="AB831" s="6" t="str">
        <f>IFERROR(VLOOKUP(D:D,[1]Габариты!$A:$D,4,0),"")</f>
        <v>КОМОДЫ</v>
      </c>
      <c r="AC831" s="39">
        <f t="shared" si="170"/>
        <v>2902</v>
      </c>
      <c r="AD831" s="13" t="str">
        <f t="shared" si="169"/>
        <v>FBO</v>
      </c>
    </row>
    <row r="832" spans="1:30" s="6" customFormat="1" ht="20.100000000000001" customHeight="1" outlineLevel="1" x14ac:dyDescent="0.25">
      <c r="A832" s="631" t="s">
        <v>1047</v>
      </c>
      <c r="B832" s="29"/>
      <c r="C832" s="13" t="s">
        <v>2581</v>
      </c>
      <c r="D832" s="40" t="s">
        <v>1478</v>
      </c>
      <c r="E832" s="4">
        <v>16</v>
      </c>
      <c r="F832" s="101" t="s">
        <v>4700</v>
      </c>
      <c r="G832" s="57" t="s">
        <v>5175</v>
      </c>
      <c r="H832" s="4" t="s">
        <v>6417</v>
      </c>
      <c r="I832" s="4"/>
      <c r="J832" s="4"/>
      <c r="K832" s="54" t="s">
        <v>4700</v>
      </c>
      <c r="L832" s="57">
        <v>1386768407</v>
      </c>
      <c r="M832" s="57">
        <v>1386768407</v>
      </c>
      <c r="N832" s="4" t="s">
        <v>1406</v>
      </c>
      <c r="O832" s="4">
        <v>634280704</v>
      </c>
      <c r="P832" s="4">
        <v>634280703</v>
      </c>
      <c r="Q832" s="767"/>
      <c r="R832" s="767"/>
      <c r="S832" s="4"/>
      <c r="T832" s="4"/>
      <c r="U832" s="4"/>
      <c r="V832" s="4"/>
      <c r="W832" s="4"/>
      <c r="X832" s="4" t="s">
        <v>1406</v>
      </c>
      <c r="Y832" s="4" t="s">
        <v>1478</v>
      </c>
      <c r="Z832" s="35"/>
      <c r="AA832" s="1" t="str">
        <f>IFERROR(VLOOKUP(D:D,[1]Габариты!$A:$I,9,0),"")</f>
        <v>Вакансия</v>
      </c>
      <c r="AB832" s="6" t="str">
        <f>IFERROR(VLOOKUP(D:D,[1]Габариты!$A:$D,4,0),"")</f>
        <v>КОМОДЫ</v>
      </c>
      <c r="AC832" s="39" t="str">
        <f t="shared" si="170"/>
        <v>MK00033</v>
      </c>
      <c r="AD832" s="13" t="str">
        <f t="shared" ref="AD832:AD949" si="171">C832</f>
        <v>FBS</v>
      </c>
    </row>
    <row r="833" spans="1:30" s="6" customFormat="1" ht="20.100000000000001" customHeight="1" outlineLevel="1" x14ac:dyDescent="0.25">
      <c r="A833" s="631" t="s">
        <v>3437</v>
      </c>
      <c r="B833" s="29"/>
      <c r="C833" s="13" t="s">
        <v>2582</v>
      </c>
      <c r="D833" s="40">
        <v>4068</v>
      </c>
      <c r="E833" s="4">
        <v>20</v>
      </c>
      <c r="F833" s="101"/>
      <c r="G833" s="57"/>
      <c r="H833" s="4" t="s">
        <v>6387</v>
      </c>
      <c r="I833" s="4" t="s">
        <v>3557</v>
      </c>
      <c r="J833" s="4" t="s">
        <v>3567</v>
      </c>
      <c r="K833" s="54"/>
      <c r="L833" s="57"/>
      <c r="M833" s="57"/>
      <c r="N833" s="4" t="s">
        <v>3528</v>
      </c>
      <c r="O833" s="4">
        <v>1053833630</v>
      </c>
      <c r="P833" s="4">
        <v>1053833629</v>
      </c>
      <c r="Q833" s="767" t="s">
        <v>3578</v>
      </c>
      <c r="R833" s="767">
        <v>1056274282</v>
      </c>
      <c r="S833" s="4">
        <v>1056274283</v>
      </c>
      <c r="T833" s="4" t="s">
        <v>3540</v>
      </c>
      <c r="U833" s="4">
        <v>1056316267</v>
      </c>
      <c r="V833" s="4">
        <v>1056316267</v>
      </c>
      <c r="W833" s="4"/>
      <c r="X833" s="4" t="s">
        <v>3528</v>
      </c>
      <c r="Y833" s="4" t="s">
        <v>4066</v>
      </c>
      <c r="Z833" s="35"/>
      <c r="AA833" s="1" t="str">
        <f>IFERROR(VLOOKUP(D:D,[1]Габариты!$A:$I,9,0),"")</f>
        <v>Вакансия</v>
      </c>
      <c r="AB833" s="6" t="str">
        <f>IFERROR(VLOOKUP(D:D,[1]Габариты!$A:$D,4,0),"")</f>
        <v>КОМОДЫ</v>
      </c>
      <c r="AC833" s="39">
        <f t="shared" si="170"/>
        <v>4068</v>
      </c>
      <c r="AD833" s="13" t="str">
        <f t="shared" si="171"/>
        <v>FBO</v>
      </c>
    </row>
    <row r="834" spans="1:30" s="6" customFormat="1" ht="20.100000000000001" customHeight="1" outlineLevel="1" x14ac:dyDescent="0.25">
      <c r="A834" s="631" t="s">
        <v>3497</v>
      </c>
      <c r="B834" s="29"/>
      <c r="C834" s="13" t="s">
        <v>2582</v>
      </c>
      <c r="D834" s="40">
        <v>29980</v>
      </c>
      <c r="E834" s="4">
        <v>22</v>
      </c>
      <c r="F834" s="101"/>
      <c r="G834" s="57"/>
      <c r="H834" s="4" t="s">
        <v>6406</v>
      </c>
      <c r="I834" s="4" t="s">
        <v>3599</v>
      </c>
      <c r="J834" s="4" t="s">
        <v>3602</v>
      </c>
      <c r="K834" s="54"/>
      <c r="L834" s="57"/>
      <c r="M834" s="57"/>
      <c r="N834" s="4" t="s">
        <v>3606</v>
      </c>
      <c r="O834" s="4">
        <v>1079143634</v>
      </c>
      <c r="P834" s="4">
        <v>1079143631</v>
      </c>
      <c r="Q834" s="767" t="s">
        <v>3609</v>
      </c>
      <c r="R834" s="767">
        <v>1079286357</v>
      </c>
      <c r="S834" s="4">
        <v>1079286356</v>
      </c>
      <c r="T834" s="4" t="s">
        <v>3613</v>
      </c>
      <c r="U834" s="4">
        <v>1079271972</v>
      </c>
      <c r="V834" s="4">
        <v>1079271972</v>
      </c>
      <c r="W834" s="4"/>
      <c r="X834" s="4" t="s">
        <v>4179</v>
      </c>
      <c r="Y834" s="4" t="s">
        <v>4066</v>
      </c>
      <c r="Z834" s="35"/>
      <c r="AA834" s="1" t="str">
        <f>IFERROR(VLOOKUP(D:D,[1]Габариты!$A:$I,9,0),"")</f>
        <v>Вакансия</v>
      </c>
      <c r="AB834" s="6" t="str">
        <f>IFERROR(VLOOKUP(D:D,[1]Габариты!$A:$D,4,0),"")</f>
        <v>КОМОДЫ</v>
      </c>
      <c r="AC834" s="39">
        <f t="shared" si="170"/>
        <v>29980</v>
      </c>
      <c r="AD834" s="13" t="str">
        <f t="shared" si="171"/>
        <v>FBO</v>
      </c>
    </row>
    <row r="835" spans="1:30" s="6" customFormat="1" ht="20.100000000000001" customHeight="1" outlineLevel="1" x14ac:dyDescent="0.25">
      <c r="A835" s="631" t="s">
        <v>3498</v>
      </c>
      <c r="B835" s="29"/>
      <c r="C835" s="13" t="s">
        <v>2582</v>
      </c>
      <c r="D835" s="40">
        <v>29990</v>
      </c>
      <c r="E835" s="4">
        <v>22</v>
      </c>
      <c r="F835" s="101"/>
      <c r="G835" s="57"/>
      <c r="H835" s="4" t="s">
        <v>6407</v>
      </c>
      <c r="I835" s="4" t="s">
        <v>3598</v>
      </c>
      <c r="J835" s="4" t="s">
        <v>3601</v>
      </c>
      <c r="K835" s="54"/>
      <c r="L835" s="57"/>
      <c r="M835" s="57"/>
      <c r="N835" s="4" t="s">
        <v>3607</v>
      </c>
      <c r="O835" s="4">
        <v>1079152353</v>
      </c>
      <c r="P835" s="4">
        <v>1079152349</v>
      </c>
      <c r="Q835" s="767" t="s">
        <v>3610</v>
      </c>
      <c r="R835" s="767">
        <v>1079289603</v>
      </c>
      <c r="S835" s="4">
        <v>1079289608</v>
      </c>
      <c r="T835" s="4" t="s">
        <v>3612</v>
      </c>
      <c r="U835" s="4">
        <v>1079261893</v>
      </c>
      <c r="V835" s="4">
        <v>1079261893</v>
      </c>
      <c r="W835" s="4"/>
      <c r="X835" s="4" t="s">
        <v>4352</v>
      </c>
      <c r="Y835" s="4" t="s">
        <v>4066</v>
      </c>
      <c r="Z835" s="35"/>
      <c r="AA835" s="1" t="str">
        <f>IFERROR(VLOOKUP(D:D,[1]Габариты!$A:$I,9,0),"")</f>
        <v>Вакансия</v>
      </c>
      <c r="AB835" s="6" t="str">
        <f>IFERROR(VLOOKUP(D:D,[1]Габариты!$A:$D,4,0),"")</f>
        <v>КОМОДЫ</v>
      </c>
      <c r="AC835" s="39">
        <f t="shared" si="170"/>
        <v>29990</v>
      </c>
      <c r="AD835" s="13" t="str">
        <f t="shared" si="171"/>
        <v>FBO</v>
      </c>
    </row>
    <row r="836" spans="1:30" s="6" customFormat="1" ht="20.100000000000001" customHeight="1" outlineLevel="1" x14ac:dyDescent="0.25">
      <c r="A836" s="631" t="s">
        <v>3305</v>
      </c>
      <c r="B836" s="29"/>
      <c r="C836" s="13" t="s">
        <v>2582</v>
      </c>
      <c r="D836" s="40">
        <v>135593</v>
      </c>
      <c r="E836" s="4">
        <v>20</v>
      </c>
      <c r="F836" s="101"/>
      <c r="G836" s="57"/>
      <c r="H836" s="4" t="s">
        <v>6446</v>
      </c>
      <c r="I836" s="4"/>
      <c r="J836" s="4" t="s">
        <v>3347</v>
      </c>
      <c r="K836" s="54"/>
      <c r="L836" s="57"/>
      <c r="M836" s="57"/>
      <c r="N836" s="4" t="s">
        <v>3340</v>
      </c>
      <c r="O836" s="4">
        <v>1017102780</v>
      </c>
      <c r="P836" s="4">
        <v>1017102782</v>
      </c>
      <c r="Q836" s="767"/>
      <c r="R836" s="767"/>
      <c r="S836" s="4"/>
      <c r="T836" s="4" t="s">
        <v>3368</v>
      </c>
      <c r="U836" s="4">
        <v>1017724997</v>
      </c>
      <c r="V836" s="4">
        <v>1017724997</v>
      </c>
      <c r="W836" s="4"/>
      <c r="X836" s="4" t="s">
        <v>3340</v>
      </c>
      <c r="Y836" s="4" t="s">
        <v>4066</v>
      </c>
      <c r="Z836" s="35"/>
      <c r="AA836" s="1" t="str">
        <f>IFERROR(VLOOKUP(D:D,[1]Габариты!$A:$I,9,0),"")</f>
        <v>Вакансия</v>
      </c>
      <c r="AB836" s="6" t="str">
        <f>IFERROR(VLOOKUP(D:D,[1]Габариты!$A:$D,4,0),"")</f>
        <v>КОМОДЫ</v>
      </c>
      <c r="AC836" s="39">
        <f t="shared" si="170"/>
        <v>135593</v>
      </c>
      <c r="AD836" s="13" t="str">
        <f t="shared" si="171"/>
        <v>FBO</v>
      </c>
    </row>
    <row r="837" spans="1:30" s="6" customFormat="1" ht="20.100000000000001" customHeight="1" outlineLevel="1" x14ac:dyDescent="0.25">
      <c r="A837" s="665" t="s">
        <v>239</v>
      </c>
      <c r="B837" s="2"/>
      <c r="C837" s="13" t="s">
        <v>2582</v>
      </c>
      <c r="D837" s="39">
        <v>2994</v>
      </c>
      <c r="E837" s="4">
        <v>22</v>
      </c>
      <c r="F837" s="101">
        <v>2994</v>
      </c>
      <c r="G837" s="57" t="s">
        <v>4935</v>
      </c>
      <c r="H837" s="4" t="s">
        <v>6375</v>
      </c>
      <c r="I837" s="4" t="s">
        <v>2065</v>
      </c>
      <c r="J837" s="4" t="s">
        <v>2017</v>
      </c>
      <c r="K837" s="54" t="s">
        <v>2124</v>
      </c>
      <c r="L837" s="57">
        <v>275922205</v>
      </c>
      <c r="M837" s="57">
        <v>275922205</v>
      </c>
      <c r="N837" s="4" t="s">
        <v>717</v>
      </c>
      <c r="O837" s="4">
        <v>277781790</v>
      </c>
      <c r="P837" s="4">
        <v>277781799</v>
      </c>
      <c r="Q837" s="767" t="s">
        <v>2697</v>
      </c>
      <c r="R837" s="767">
        <v>352881300</v>
      </c>
      <c r="S837" s="4">
        <v>352881301</v>
      </c>
      <c r="T837" s="4" t="s">
        <v>2979</v>
      </c>
      <c r="U837" s="4">
        <v>955317403</v>
      </c>
      <c r="V837" s="4">
        <v>955317403</v>
      </c>
      <c r="W837" s="4" t="s">
        <v>2124</v>
      </c>
      <c r="X837" s="4" t="s">
        <v>717</v>
      </c>
      <c r="Y837" s="4">
        <v>2994</v>
      </c>
      <c r="Z837" s="35"/>
      <c r="AA837" s="1" t="str">
        <f>IFERROR(VLOOKUP(D:D,[1]Габариты!$A:$I,9,0),"")</f>
        <v>Вакансия</v>
      </c>
      <c r="AB837" s="6" t="str">
        <f>IFERROR(VLOOKUP(D:D,[1]Габариты!$A:$D,4,0),"")</f>
        <v>КОМОДЫ</v>
      </c>
      <c r="AC837" s="39">
        <f t="shared" si="170"/>
        <v>2994</v>
      </c>
      <c r="AD837" s="13" t="str">
        <f t="shared" ref="AD837:AD868" si="172">C837</f>
        <v>FBO</v>
      </c>
    </row>
    <row r="838" spans="1:30" s="6" customFormat="1" ht="20.100000000000001" customHeight="1" outlineLevel="1" x14ac:dyDescent="0.25">
      <c r="A838" s="635" t="s">
        <v>182</v>
      </c>
      <c r="B838" s="3"/>
      <c r="C838" s="13" t="s">
        <v>2582</v>
      </c>
      <c r="D838" s="39">
        <v>2901</v>
      </c>
      <c r="E838" s="4">
        <v>30</v>
      </c>
      <c r="F838" s="101">
        <v>2901</v>
      </c>
      <c r="G838" s="57" t="s">
        <v>4888</v>
      </c>
      <c r="H838" s="4" t="s">
        <v>6379</v>
      </c>
      <c r="I838" s="4" t="s">
        <v>1184</v>
      </c>
      <c r="J838" s="4" t="s">
        <v>2578</v>
      </c>
      <c r="K838" s="54" t="s">
        <v>2141</v>
      </c>
      <c r="L838" s="57">
        <v>252713091</v>
      </c>
      <c r="M838" s="57">
        <v>252713091</v>
      </c>
      <c r="N838" s="4" t="s">
        <v>666</v>
      </c>
      <c r="O838" s="4">
        <v>266794294</v>
      </c>
      <c r="P838" s="4">
        <v>266794306</v>
      </c>
      <c r="Q838" s="767" t="s">
        <v>2713</v>
      </c>
      <c r="R838" s="767">
        <v>323499148</v>
      </c>
      <c r="S838" s="4">
        <v>323499188</v>
      </c>
      <c r="T838" s="4" t="s">
        <v>2988</v>
      </c>
      <c r="U838" s="4">
        <v>955317432</v>
      </c>
      <c r="V838" s="4">
        <v>955317432</v>
      </c>
      <c r="W838" s="4" t="s">
        <v>2141</v>
      </c>
      <c r="X838" s="4" t="s">
        <v>666</v>
      </c>
      <c r="Y838" s="4">
        <v>2901</v>
      </c>
      <c r="Z838" s="35"/>
      <c r="AA838" s="1" t="str">
        <f>IFERROR(VLOOKUP(D:D,[1]Габариты!$A:$I,9,0),"")</f>
        <v>Вакансия</v>
      </c>
      <c r="AB838" s="6" t="str">
        <f>IFERROR(VLOOKUP(D:D,[1]Габариты!$A:$D,4,0),"")</f>
        <v>КОМОДЫ</v>
      </c>
      <c r="AC838" s="39">
        <f t="shared" si="170"/>
        <v>2901</v>
      </c>
      <c r="AD838" s="13" t="str">
        <f t="shared" si="172"/>
        <v>FBO</v>
      </c>
    </row>
    <row r="839" spans="1:30" s="6" customFormat="1" ht="20.100000000000001" customHeight="1" outlineLevel="1" x14ac:dyDescent="0.25">
      <c r="A839" s="631" t="s">
        <v>2013</v>
      </c>
      <c r="B839" s="29"/>
      <c r="C839" s="13" t="s">
        <v>2582</v>
      </c>
      <c r="D839" s="40">
        <v>4060</v>
      </c>
      <c r="E839" s="4">
        <v>20</v>
      </c>
      <c r="F839" s="101"/>
      <c r="G839" s="57"/>
      <c r="H839" s="4" t="s">
        <v>6386</v>
      </c>
      <c r="I839" s="4" t="s">
        <v>2548</v>
      </c>
      <c r="J839" s="4" t="s">
        <v>2523</v>
      </c>
      <c r="K839" s="54"/>
      <c r="L839" s="57"/>
      <c r="M839" s="57"/>
      <c r="N839" s="4" t="s">
        <v>2544</v>
      </c>
      <c r="O839" s="4">
        <v>951774294</v>
      </c>
      <c r="P839" s="4">
        <v>951774293</v>
      </c>
      <c r="Q839" s="767" t="s">
        <v>3115</v>
      </c>
      <c r="R839" s="767">
        <v>952826905</v>
      </c>
      <c r="S839" s="4">
        <v>952826903</v>
      </c>
      <c r="T839" s="4" t="s">
        <v>3009</v>
      </c>
      <c r="U839" s="4">
        <v>952807882</v>
      </c>
      <c r="V839" s="4">
        <v>952807882</v>
      </c>
      <c r="W839" s="4"/>
      <c r="X839" s="4" t="s">
        <v>2544</v>
      </c>
      <c r="Y839" s="4" t="s">
        <v>4066</v>
      </c>
      <c r="Z839" s="35"/>
      <c r="AA839" s="1" t="str">
        <f>IFERROR(VLOOKUP(D:D,[1]Габариты!$A:$I,9,0),"")</f>
        <v>Вакансия</v>
      </c>
      <c r="AB839" s="6" t="str">
        <f>IFERROR(VLOOKUP(D:D,[1]Габариты!$A:$D,4,0),"")</f>
        <v>КОМОДЫ</v>
      </c>
      <c r="AC839" s="39">
        <f t="shared" si="170"/>
        <v>4060</v>
      </c>
      <c r="AD839" s="13" t="str">
        <f t="shared" si="172"/>
        <v>FBO</v>
      </c>
    </row>
    <row r="840" spans="1:30" s="6" customFormat="1" ht="20.100000000000001" customHeight="1" outlineLevel="1" x14ac:dyDescent="0.25">
      <c r="A840" s="631" t="s">
        <v>3438</v>
      </c>
      <c r="B840" s="29"/>
      <c r="C840" s="13" t="s">
        <v>2582</v>
      </c>
      <c r="D840" s="40">
        <v>4069</v>
      </c>
      <c r="E840" s="4">
        <v>20</v>
      </c>
      <c r="F840" s="101"/>
      <c r="G840" s="57"/>
      <c r="H840" s="4" t="s">
        <v>6388</v>
      </c>
      <c r="I840" s="4" t="s">
        <v>3558</v>
      </c>
      <c r="J840" s="4" t="s">
        <v>3568</v>
      </c>
      <c r="K840" s="54"/>
      <c r="L840" s="57"/>
      <c r="M840" s="57"/>
      <c r="N840" s="4" t="s">
        <v>3529</v>
      </c>
      <c r="O840" s="4">
        <v>1053860756</v>
      </c>
      <c r="P840" s="4">
        <v>1053860752</v>
      </c>
      <c r="Q840" s="767" t="s">
        <v>3579</v>
      </c>
      <c r="R840" s="767">
        <v>1057252996</v>
      </c>
      <c r="S840" s="4">
        <v>1057252997</v>
      </c>
      <c r="T840" s="4" t="s">
        <v>3543</v>
      </c>
      <c r="U840" s="4">
        <v>1056384866</v>
      </c>
      <c r="V840" s="4">
        <v>1056384866</v>
      </c>
      <c r="W840" s="4"/>
      <c r="X840" s="4" t="s">
        <v>3529</v>
      </c>
      <c r="Y840" s="4" t="s">
        <v>4066</v>
      </c>
      <c r="Z840" s="35"/>
      <c r="AA840" s="1" t="str">
        <f>IFERROR(VLOOKUP(D:D,[1]Габариты!$A:$I,9,0),"")</f>
        <v>Вакансия</v>
      </c>
      <c r="AB840" s="6" t="str">
        <f>IFERROR(VLOOKUP(D:D,[1]Габариты!$A:$D,4,0),"")</f>
        <v>КОМОДЫ</v>
      </c>
      <c r="AC840" s="39">
        <f t="shared" si="170"/>
        <v>4069</v>
      </c>
      <c r="AD840" s="13" t="str">
        <f t="shared" si="172"/>
        <v>FBO</v>
      </c>
    </row>
    <row r="841" spans="1:30" s="6" customFormat="1" ht="20.100000000000001" customHeight="1" outlineLevel="1" x14ac:dyDescent="0.25">
      <c r="A841" s="631" t="s">
        <v>3468</v>
      </c>
      <c r="B841" s="29"/>
      <c r="C841" s="13" t="s">
        <v>2582</v>
      </c>
      <c r="D841" s="40">
        <v>4160</v>
      </c>
      <c r="E841" s="4">
        <v>20</v>
      </c>
      <c r="F841" s="101"/>
      <c r="G841" s="57"/>
      <c r="H841" s="4" t="s">
        <v>6389</v>
      </c>
      <c r="I841" s="4" t="s">
        <v>3596</v>
      </c>
      <c r="J841" s="4" t="s">
        <v>3604</v>
      </c>
      <c r="K841" s="54"/>
      <c r="L841" s="57"/>
      <c r="M841" s="57"/>
      <c r="N841" s="4" t="s">
        <v>3530</v>
      </c>
      <c r="O841" s="4">
        <v>1053916871</v>
      </c>
      <c r="P841" s="4">
        <v>1053916872</v>
      </c>
      <c r="Q841" s="767" t="s">
        <v>3580</v>
      </c>
      <c r="R841" s="767">
        <v>1057274285</v>
      </c>
      <c r="S841" s="4">
        <v>1057274289</v>
      </c>
      <c r="T841" s="4" t="s">
        <v>3544</v>
      </c>
      <c r="U841" s="4">
        <v>1056404074</v>
      </c>
      <c r="V841" s="4">
        <v>1056404074</v>
      </c>
      <c r="W841" s="4"/>
      <c r="X841" s="4" t="s">
        <v>3530</v>
      </c>
      <c r="Y841" s="4" t="s">
        <v>4066</v>
      </c>
      <c r="Z841" s="35"/>
      <c r="AA841" s="1" t="str">
        <f>IFERROR(VLOOKUP(D:D,[1]Габариты!$A:$I,9,0),"")</f>
        <v>Вакансия</v>
      </c>
      <c r="AB841" s="6" t="str">
        <f>IFERROR(VLOOKUP(D:D,[1]Габариты!$A:$D,4,0),"")</f>
        <v>КОМОДЫ</v>
      </c>
      <c r="AC841" s="39">
        <f t="shared" si="170"/>
        <v>4160</v>
      </c>
      <c r="AD841" s="13" t="str">
        <f t="shared" si="172"/>
        <v>FBO</v>
      </c>
    </row>
    <row r="842" spans="1:30" s="6" customFormat="1" ht="20.100000000000001" customHeight="1" outlineLevel="1" x14ac:dyDescent="0.25">
      <c r="A842" s="631" t="s">
        <v>525</v>
      </c>
      <c r="B842" s="29"/>
      <c r="C842" s="13" t="s">
        <v>2581</v>
      </c>
      <c r="D842" s="40">
        <v>3175</v>
      </c>
      <c r="E842" s="4">
        <v>14</v>
      </c>
      <c r="F842" s="101">
        <v>3175</v>
      </c>
      <c r="G842" s="57" t="s">
        <v>5036</v>
      </c>
      <c r="H842" s="4" t="s">
        <v>7077</v>
      </c>
      <c r="I842" s="4"/>
      <c r="J842" s="4"/>
      <c r="K842" s="54">
        <v>3175</v>
      </c>
      <c r="L842" s="57">
        <v>1574983928</v>
      </c>
      <c r="M842" s="57">
        <v>1574983928</v>
      </c>
      <c r="N842" s="4" t="s">
        <v>846</v>
      </c>
      <c r="O842" s="4">
        <v>484045365</v>
      </c>
      <c r="P842" s="4">
        <v>484045364</v>
      </c>
      <c r="Q842" s="767"/>
      <c r="R842" s="767"/>
      <c r="S842" s="4"/>
      <c r="T842" s="4"/>
      <c r="U842" s="4"/>
      <c r="V842" s="4"/>
      <c r="W842" s="4" t="s">
        <v>2154</v>
      </c>
      <c r="X842" s="4" t="s">
        <v>846</v>
      </c>
      <c r="Y842" s="4" t="s">
        <v>4066</v>
      </c>
      <c r="Z842" s="35"/>
      <c r="AA842" s="1" t="str">
        <f>IFERROR(VLOOKUP(D:D,[1]Габариты!$A:$I,9,0),"")</f>
        <v>Вакансия</v>
      </c>
      <c r="AB842" s="6" t="str">
        <f>IFERROR(VLOOKUP(D:D,[1]Габариты!$A:$D,4,0),"")</f>
        <v>КОМОДЫ</v>
      </c>
      <c r="AC842" s="39">
        <f t="shared" si="170"/>
        <v>3175</v>
      </c>
      <c r="AD842" s="13" t="str">
        <f t="shared" si="172"/>
        <v>FBS</v>
      </c>
    </row>
    <row r="843" spans="1:30" s="6" customFormat="1" ht="20.100000000000001" customHeight="1" outlineLevel="1" x14ac:dyDescent="0.25">
      <c r="A843" s="631" t="s">
        <v>526</v>
      </c>
      <c r="B843" s="29"/>
      <c r="C843" s="13" t="s">
        <v>2582</v>
      </c>
      <c r="D843" s="40">
        <v>3176</v>
      </c>
      <c r="E843" s="4">
        <v>18</v>
      </c>
      <c r="F843" s="101">
        <v>3176</v>
      </c>
      <c r="G843" s="57" t="s">
        <v>5037</v>
      </c>
      <c r="H843" s="4" t="s">
        <v>7078</v>
      </c>
      <c r="I843" s="4"/>
      <c r="J843" s="4"/>
      <c r="K843" s="54">
        <v>3176</v>
      </c>
      <c r="L843" s="57">
        <v>889053774</v>
      </c>
      <c r="M843" s="57">
        <v>889053774</v>
      </c>
      <c r="N843" s="4" t="s">
        <v>847</v>
      </c>
      <c r="O843" s="4">
        <v>484037372</v>
      </c>
      <c r="P843" s="4">
        <v>484037373</v>
      </c>
      <c r="Q843" s="767"/>
      <c r="R843" s="767"/>
      <c r="S843" s="4"/>
      <c r="T843" s="4"/>
      <c r="U843" s="4"/>
      <c r="V843" s="4"/>
      <c r="W843" s="4" t="s">
        <v>2155</v>
      </c>
      <c r="X843" s="4" t="s">
        <v>847</v>
      </c>
      <c r="Y843" s="4" t="s">
        <v>4066</v>
      </c>
      <c r="Z843" s="35"/>
      <c r="AA843" s="1" t="str">
        <f>IFERROR(VLOOKUP(D:D,[1]Габариты!$A:$I,9,0),"")</f>
        <v>Вакансия</v>
      </c>
      <c r="AB843" s="6" t="str">
        <f>IFERROR(VLOOKUP(D:D,[1]Габариты!$A:$D,4,0),"")</f>
        <v>КОМОДЫ</v>
      </c>
      <c r="AC843" s="39">
        <f t="shared" si="170"/>
        <v>3176</v>
      </c>
      <c r="AD843" s="13" t="str">
        <f t="shared" si="172"/>
        <v>FBO</v>
      </c>
    </row>
    <row r="844" spans="1:30" s="6" customFormat="1" ht="20.100000000000001" customHeight="1" outlineLevel="1" x14ac:dyDescent="0.25">
      <c r="A844" s="631" t="s">
        <v>1449</v>
      </c>
      <c r="B844" s="29"/>
      <c r="C844" s="13" t="s">
        <v>2581</v>
      </c>
      <c r="D844" s="40" t="s">
        <v>1480</v>
      </c>
      <c r="E844" s="4">
        <v>16</v>
      </c>
      <c r="F844" s="101" t="s">
        <v>4712</v>
      </c>
      <c r="G844" s="57" t="s">
        <v>5176</v>
      </c>
      <c r="H844" s="4" t="s">
        <v>6418</v>
      </c>
      <c r="I844" s="4"/>
      <c r="J844" s="4" t="s">
        <v>1930</v>
      </c>
      <c r="K844" s="54" t="s">
        <v>4712</v>
      </c>
      <c r="L844" s="57">
        <v>934022743</v>
      </c>
      <c r="M844" s="57">
        <v>934022743</v>
      </c>
      <c r="N844" s="4" t="s">
        <v>1520</v>
      </c>
      <c r="O844" s="4">
        <v>730224474</v>
      </c>
      <c r="P844" s="4">
        <v>730224473</v>
      </c>
      <c r="Q844" s="767"/>
      <c r="R844" s="767"/>
      <c r="S844" s="4"/>
      <c r="T844" s="4"/>
      <c r="U844" s="4"/>
      <c r="V844" s="4"/>
      <c r="W844" s="4"/>
      <c r="X844" s="4" t="s">
        <v>1520</v>
      </c>
      <c r="Y844" s="4" t="s">
        <v>1480</v>
      </c>
      <c r="Z844" s="35"/>
      <c r="AA844" s="1" t="str">
        <f>IFERROR(VLOOKUP(D:D,[1]Габариты!$A:$I,9,0),"")</f>
        <v>Вакансия</v>
      </c>
      <c r="AB844" s="6" t="str">
        <f>IFERROR(VLOOKUP(D:D,[1]Габариты!$A:$D,4,0),"")</f>
        <v>КОМОДЫ</v>
      </c>
      <c r="AC844" s="39" t="str">
        <f t="shared" si="170"/>
        <v>MK000330501</v>
      </c>
      <c r="AD844" s="13" t="str">
        <f t="shared" si="172"/>
        <v>FBS</v>
      </c>
    </row>
    <row r="845" spans="1:30" s="6" customFormat="1" ht="20.100000000000001" customHeight="1" outlineLevel="1" x14ac:dyDescent="0.25">
      <c r="A845" s="631" t="s">
        <v>1457</v>
      </c>
      <c r="B845" s="29"/>
      <c r="C845" s="13" t="s">
        <v>2581</v>
      </c>
      <c r="D845" s="40" t="s">
        <v>1481</v>
      </c>
      <c r="E845" s="4">
        <v>16</v>
      </c>
      <c r="F845" s="101" t="s">
        <v>4711</v>
      </c>
      <c r="G845" s="57" t="s">
        <v>5177</v>
      </c>
      <c r="H845" s="4" t="s">
        <v>6419</v>
      </c>
      <c r="I845" s="4"/>
      <c r="J845" s="4"/>
      <c r="K845" s="54" t="s">
        <v>4711</v>
      </c>
      <c r="L845" s="57">
        <v>934032599</v>
      </c>
      <c r="M845" s="57">
        <v>934032599</v>
      </c>
      <c r="N845" s="4" t="s">
        <v>1521</v>
      </c>
      <c r="O845" s="4">
        <v>730238853</v>
      </c>
      <c r="P845" s="4">
        <v>730238854</v>
      </c>
      <c r="Q845" s="767"/>
      <c r="R845" s="767"/>
      <c r="S845" s="4"/>
      <c r="T845" s="4"/>
      <c r="U845" s="4"/>
      <c r="V845" s="4"/>
      <c r="W845" s="4"/>
      <c r="X845" s="4" t="s">
        <v>1521</v>
      </c>
      <c r="Y845" s="4" t="s">
        <v>1481</v>
      </c>
      <c r="Z845" s="35"/>
      <c r="AA845" s="1" t="str">
        <f>IFERROR(VLOOKUP(D:D,[1]Габариты!$A:$I,9,0),"")</f>
        <v>Вакансия</v>
      </c>
      <c r="AB845" s="6" t="str">
        <f>IFERROR(VLOOKUP(D:D,[1]Габариты!$A:$D,4,0),"")</f>
        <v>КОМОДЫ</v>
      </c>
      <c r="AC845" s="39" t="str">
        <f t="shared" si="170"/>
        <v>MK000330601</v>
      </c>
      <c r="AD845" s="13" t="str">
        <f t="shared" si="172"/>
        <v>FBS</v>
      </c>
    </row>
    <row r="846" spans="1:30" s="6" customFormat="1" ht="20.100000000000001" customHeight="1" outlineLevel="1" x14ac:dyDescent="0.25">
      <c r="A846" s="631" t="s">
        <v>3496</v>
      </c>
      <c r="B846" s="29"/>
      <c r="C846" s="13" t="s">
        <v>2582</v>
      </c>
      <c r="D846" s="40">
        <v>29970</v>
      </c>
      <c r="E846" s="4">
        <v>22</v>
      </c>
      <c r="F846" s="101"/>
      <c r="G846" s="57"/>
      <c r="H846" s="4" t="s">
        <v>6405</v>
      </c>
      <c r="I846" s="4" t="s">
        <v>3597</v>
      </c>
      <c r="J846" s="4" t="s">
        <v>3600</v>
      </c>
      <c r="K846" s="54"/>
      <c r="L846" s="57"/>
      <c r="M846" s="57"/>
      <c r="N846" s="4" t="s">
        <v>3587</v>
      </c>
      <c r="O846" s="4">
        <v>1078177074</v>
      </c>
      <c r="P846" s="4">
        <v>1078177071</v>
      </c>
      <c r="Q846" s="767" t="s">
        <v>3589</v>
      </c>
      <c r="R846" s="767">
        <v>1078208472</v>
      </c>
      <c r="S846" s="4">
        <v>1078208471</v>
      </c>
      <c r="T846" s="4" t="s">
        <v>3595</v>
      </c>
      <c r="U846" s="4">
        <v>1078218502</v>
      </c>
      <c r="V846" s="4">
        <v>1078218502</v>
      </c>
      <c r="W846" s="4"/>
      <c r="X846" s="4" t="s">
        <v>4178</v>
      </c>
      <c r="Y846" s="4" t="s">
        <v>4066</v>
      </c>
      <c r="Z846" s="35"/>
      <c r="AA846" s="1" t="str">
        <f>IFERROR(VLOOKUP(D:D,[1]Габариты!$A:$I,9,0),"")</f>
        <v>Вакансия</v>
      </c>
      <c r="AB846" s="6" t="str">
        <f>IFERROR(VLOOKUP(D:D,[1]Габариты!$A:$D,4,0),"")</f>
        <v>КОМОДЫ</v>
      </c>
      <c r="AC846" s="39">
        <f t="shared" si="170"/>
        <v>29970</v>
      </c>
      <c r="AD846" s="13" t="str">
        <f t="shared" si="172"/>
        <v>FBO</v>
      </c>
    </row>
    <row r="847" spans="1:30" s="6" customFormat="1" ht="20.100000000000001" customHeight="1" outlineLevel="1" x14ac:dyDescent="0.25">
      <c r="A847" s="631" t="s">
        <v>3501</v>
      </c>
      <c r="B847" s="29"/>
      <c r="C847" s="13" t="s">
        <v>2581</v>
      </c>
      <c r="D847" s="40">
        <v>13202</v>
      </c>
      <c r="E847" s="4">
        <v>18</v>
      </c>
      <c r="F847" s="101"/>
      <c r="G847" s="57"/>
      <c r="H847" s="4" t="s">
        <v>6408</v>
      </c>
      <c r="I847" s="4"/>
      <c r="J847" s="4"/>
      <c r="K847" s="54"/>
      <c r="L847" s="57"/>
      <c r="M847" s="57"/>
      <c r="N847" s="4" t="s">
        <v>3648</v>
      </c>
      <c r="O847" s="4">
        <v>1103098541</v>
      </c>
      <c r="P847" s="4">
        <v>1103098518</v>
      </c>
      <c r="Q847" s="767"/>
      <c r="R847" s="767"/>
      <c r="S847" s="4"/>
      <c r="T847" s="4"/>
      <c r="U847" s="4"/>
      <c r="V847" s="4"/>
      <c r="W847" s="4"/>
      <c r="X847" s="4" t="s">
        <v>4365</v>
      </c>
      <c r="Y847" s="4" t="s">
        <v>4066</v>
      </c>
      <c r="Z847" s="35"/>
      <c r="AA847" s="1" t="str">
        <f>IFERROR(VLOOKUP(D:D,[1]Габариты!$A:$I,9,0),"")</f>
        <v>Вакансия</v>
      </c>
      <c r="AB847" s="6" t="str">
        <f>IFERROR(VLOOKUP(D:D,[1]Габариты!$A:$D,4,0),"")</f>
        <v>КОМОДЫ</v>
      </c>
      <c r="AC847" s="39">
        <f t="shared" si="170"/>
        <v>13202</v>
      </c>
      <c r="AD847" s="13" t="str">
        <f t="shared" si="172"/>
        <v>FBS</v>
      </c>
    </row>
    <row r="848" spans="1:30" s="6" customFormat="1" ht="20.100000000000001" customHeight="1" outlineLevel="1" x14ac:dyDescent="0.25">
      <c r="A848" s="631" t="s">
        <v>3500</v>
      </c>
      <c r="B848" s="29"/>
      <c r="C848" s="13" t="s">
        <v>2581</v>
      </c>
      <c r="D848" s="40">
        <v>13203</v>
      </c>
      <c r="E848" s="4">
        <v>18</v>
      </c>
      <c r="F848" s="101"/>
      <c r="G848" s="57"/>
      <c r="H848" s="4" t="s">
        <v>6409</v>
      </c>
      <c r="I848" s="4"/>
      <c r="J848" s="4" t="s">
        <v>4291</v>
      </c>
      <c r="K848" s="54"/>
      <c r="L848" s="57"/>
      <c r="M848" s="57"/>
      <c r="N848" s="4" t="s">
        <v>3649</v>
      </c>
      <c r="O848" s="4">
        <v>1103122178</v>
      </c>
      <c r="P848" s="4">
        <v>1103122179</v>
      </c>
      <c r="Q848" s="767"/>
      <c r="R848" s="767"/>
      <c r="S848" s="4"/>
      <c r="T848" s="4" t="s">
        <v>4308</v>
      </c>
      <c r="U848" s="4">
        <v>1608687168</v>
      </c>
      <c r="V848" s="4">
        <v>1608687168</v>
      </c>
      <c r="W848" s="4"/>
      <c r="X848" s="4" t="s">
        <v>4366</v>
      </c>
      <c r="Y848" s="4" t="s">
        <v>4066</v>
      </c>
      <c r="Z848" s="35"/>
      <c r="AA848" s="1" t="str">
        <f>IFERROR(VLOOKUP(D:D,[1]Габариты!$A:$I,9,0),"")</f>
        <v>Вакансия</v>
      </c>
      <c r="AB848" s="6" t="str">
        <f>IFERROR(VLOOKUP(D:D,[1]Габариты!$A:$D,4,0),"")</f>
        <v>КОМОДЫ</v>
      </c>
      <c r="AC848" s="39">
        <f t="shared" si="170"/>
        <v>13203</v>
      </c>
      <c r="AD848" s="13" t="str">
        <f t="shared" si="172"/>
        <v>FBS</v>
      </c>
    </row>
    <row r="849" spans="1:30" s="6" customFormat="1" ht="20.100000000000001" customHeight="1" outlineLevel="1" x14ac:dyDescent="0.25">
      <c r="A849" s="631" t="s">
        <v>3499</v>
      </c>
      <c r="B849" s="29"/>
      <c r="C849" s="13" t="s">
        <v>2581</v>
      </c>
      <c r="D849" s="40">
        <v>13204</v>
      </c>
      <c r="E849" s="4">
        <v>18</v>
      </c>
      <c r="F849" s="101"/>
      <c r="G849" s="57"/>
      <c r="H849" s="4" t="s">
        <v>6410</v>
      </c>
      <c r="I849" s="4"/>
      <c r="J849" s="4" t="s">
        <v>4292</v>
      </c>
      <c r="K849" s="54"/>
      <c r="L849" s="57"/>
      <c r="M849" s="57"/>
      <c r="N849" s="4" t="s">
        <v>3650</v>
      </c>
      <c r="O849" s="4">
        <v>1103155463</v>
      </c>
      <c r="P849" s="4">
        <v>1103155456</v>
      </c>
      <c r="Q849" s="767"/>
      <c r="R849" s="767"/>
      <c r="S849" s="4"/>
      <c r="T849" s="4" t="s">
        <v>4309</v>
      </c>
      <c r="U849" s="4">
        <v>1608690557</v>
      </c>
      <c r="V849" s="4">
        <v>1608690557</v>
      </c>
      <c r="W849" s="4"/>
      <c r="X849" s="4" t="s">
        <v>3650</v>
      </c>
      <c r="Y849" s="4" t="s">
        <v>4066</v>
      </c>
      <c r="Z849" s="35"/>
      <c r="AA849" s="1" t="str">
        <f>IFERROR(VLOOKUP(D:D,[1]Габариты!$A:$I,9,0),"")</f>
        <v>Вакансия</v>
      </c>
      <c r="AB849" s="6" t="str">
        <f>IFERROR(VLOOKUP(D:D,[1]Габариты!$A:$D,4,0),"")</f>
        <v>КОМОДЫ</v>
      </c>
      <c r="AC849" s="39">
        <f t="shared" si="170"/>
        <v>13204</v>
      </c>
      <c r="AD849" s="13" t="str">
        <f t="shared" si="172"/>
        <v>FBS</v>
      </c>
    </row>
    <row r="850" spans="1:30" s="6" customFormat="1" ht="20.100000000000001" customHeight="1" outlineLevel="1" x14ac:dyDescent="0.25">
      <c r="A850" s="631" t="s">
        <v>3512</v>
      </c>
      <c r="B850" s="29"/>
      <c r="C850" s="13" t="s">
        <v>2582</v>
      </c>
      <c r="D850" s="40">
        <v>29001</v>
      </c>
      <c r="E850" s="4">
        <v>30</v>
      </c>
      <c r="F850" s="101"/>
      <c r="G850" s="57"/>
      <c r="H850" s="4" t="s">
        <v>6411</v>
      </c>
      <c r="I850" s="4" t="s">
        <v>3560</v>
      </c>
      <c r="J850" s="4" t="s">
        <v>3570</v>
      </c>
      <c r="K850" s="54"/>
      <c r="L850" s="57"/>
      <c r="M850" s="57"/>
      <c r="N850" s="4" t="s">
        <v>3577</v>
      </c>
      <c r="O850" s="4">
        <v>1067775820</v>
      </c>
      <c r="P850" s="4">
        <v>1067775819</v>
      </c>
      <c r="Q850" s="767" t="s">
        <v>3585</v>
      </c>
      <c r="R850" s="767">
        <v>1067803941</v>
      </c>
      <c r="S850" s="4">
        <v>1067803945</v>
      </c>
      <c r="T850" s="4" t="s">
        <v>3590</v>
      </c>
      <c r="U850" s="4">
        <v>1067790960</v>
      </c>
      <c r="V850" s="4">
        <v>1067790960</v>
      </c>
      <c r="W850" s="4"/>
      <c r="X850" s="4" t="s">
        <v>3577</v>
      </c>
      <c r="Y850" s="4" t="s">
        <v>4066</v>
      </c>
      <c r="Z850" s="35"/>
      <c r="AA850" s="1" t="str">
        <f>IFERROR(VLOOKUP(D:D,[1]Габариты!$A:$I,9,0),"")</f>
        <v>Вакансия</v>
      </c>
      <c r="AB850" s="6" t="str">
        <f>IFERROR(VLOOKUP(D:D,[1]Габариты!$A:$D,4,0),"")</f>
        <v>КОМОДЫ</v>
      </c>
      <c r="AC850" s="39">
        <f t="shared" si="170"/>
        <v>29001</v>
      </c>
      <c r="AD850" s="13" t="str">
        <f t="shared" si="172"/>
        <v>FBO</v>
      </c>
    </row>
    <row r="851" spans="1:30" s="6" customFormat="1" ht="20.100000000000001" customHeight="1" outlineLevel="1" x14ac:dyDescent="0.25">
      <c r="A851" s="631" t="s">
        <v>3469</v>
      </c>
      <c r="B851" s="29"/>
      <c r="C851" s="13" t="s">
        <v>2582</v>
      </c>
      <c r="D851" s="40">
        <v>29002</v>
      </c>
      <c r="E851" s="4">
        <v>30</v>
      </c>
      <c r="F851" s="101"/>
      <c r="G851" s="57"/>
      <c r="H851" s="4" t="s">
        <v>6412</v>
      </c>
      <c r="I851" s="4" t="s">
        <v>3559</v>
      </c>
      <c r="J851" s="4" t="s">
        <v>3569</v>
      </c>
      <c r="K851" s="54"/>
      <c r="L851" s="57"/>
      <c r="M851" s="57"/>
      <c r="N851" s="4" t="s">
        <v>3531</v>
      </c>
      <c r="O851" s="4">
        <v>1054014733</v>
      </c>
      <c r="P851" s="4">
        <v>1054014736</v>
      </c>
      <c r="Q851" s="767"/>
      <c r="R851" s="767"/>
      <c r="S851" s="4"/>
      <c r="T851" s="4" t="s">
        <v>3546</v>
      </c>
      <c r="U851" s="4">
        <v>1057310303</v>
      </c>
      <c r="V851" s="4">
        <v>1057310303</v>
      </c>
      <c r="W851" s="4"/>
      <c r="X851" s="4" t="s">
        <v>3531</v>
      </c>
      <c r="Y851" s="4" t="s">
        <v>4066</v>
      </c>
      <c r="Z851" s="35"/>
      <c r="AA851" s="1" t="str">
        <f>IFERROR(VLOOKUP(D:D,[1]Габариты!$A:$I,9,0),"")</f>
        <v>Вакансия</v>
      </c>
      <c r="AB851" s="6" t="str">
        <f>IFERROR(VLOOKUP(D:D,[1]Габариты!$A:$D,4,0),"")</f>
        <v>КОМОДЫ</v>
      </c>
      <c r="AC851" s="39">
        <f t="shared" si="170"/>
        <v>29002</v>
      </c>
      <c r="AD851" s="13" t="str">
        <f t="shared" si="172"/>
        <v>FBO</v>
      </c>
    </row>
    <row r="852" spans="1:30" s="6" customFormat="1" ht="20.100000000000001" customHeight="1" outlineLevel="1" x14ac:dyDescent="0.25">
      <c r="A852" s="631" t="s">
        <v>3513</v>
      </c>
      <c r="B852" s="29"/>
      <c r="C852" s="13" t="s">
        <v>2582</v>
      </c>
      <c r="D852" s="40">
        <v>29003</v>
      </c>
      <c r="E852" s="4">
        <v>30</v>
      </c>
      <c r="F852" s="101"/>
      <c r="G852" s="57"/>
      <c r="H852" s="4" t="s">
        <v>6413</v>
      </c>
      <c r="I852" s="4" t="s">
        <v>3629</v>
      </c>
      <c r="J852" s="4" t="s">
        <v>3635</v>
      </c>
      <c r="K852" s="54"/>
      <c r="L852" s="57"/>
      <c r="M852" s="57"/>
      <c r="N852" s="4" t="s">
        <v>3641</v>
      </c>
      <c r="O852" s="4">
        <v>1101082846</v>
      </c>
      <c r="P852" s="4">
        <v>1101082829</v>
      </c>
      <c r="Q852" s="767" t="s">
        <v>3688</v>
      </c>
      <c r="R852" s="767">
        <v>1101111290</v>
      </c>
      <c r="S852" s="4">
        <v>1101111289</v>
      </c>
      <c r="T852" s="4" t="s">
        <v>3661</v>
      </c>
      <c r="U852" s="4">
        <v>1101092712</v>
      </c>
      <c r="V852" s="4">
        <v>1101092712</v>
      </c>
      <c r="W852" s="4"/>
      <c r="X852" s="4" t="s">
        <v>3641</v>
      </c>
      <c r="Y852" s="4" t="s">
        <v>4066</v>
      </c>
      <c r="Z852" s="35"/>
      <c r="AA852" s="1" t="str">
        <f>IFERROR(VLOOKUP(D:D,[1]Габариты!$A:$I,9,0),"")</f>
        <v>Вакансия</v>
      </c>
      <c r="AB852" s="6" t="str">
        <f>IFERROR(VLOOKUP(D:D,[1]Габариты!$A:$D,4,0),"")</f>
        <v>КОМОДЫ</v>
      </c>
      <c r="AC852" s="39">
        <f t="shared" si="170"/>
        <v>29003</v>
      </c>
      <c r="AD852" s="13" t="str">
        <f t="shared" si="172"/>
        <v>FBO</v>
      </c>
    </row>
    <row r="853" spans="1:30" s="6" customFormat="1" ht="20.100000000000001" customHeight="1" outlineLevel="1" x14ac:dyDescent="0.25">
      <c r="A853" s="665" t="s">
        <v>32</v>
      </c>
      <c r="B853" s="2"/>
      <c r="C853" s="13" t="s">
        <v>2582</v>
      </c>
      <c r="D853" s="39">
        <v>3021</v>
      </c>
      <c r="E853" s="4">
        <v>20</v>
      </c>
      <c r="F853" s="101">
        <v>3021</v>
      </c>
      <c r="G853" s="57" t="s">
        <v>4957</v>
      </c>
      <c r="H853" s="4" t="s">
        <v>6424</v>
      </c>
      <c r="I853" s="4" t="s">
        <v>2069</v>
      </c>
      <c r="J853" s="4" t="s">
        <v>2014</v>
      </c>
      <c r="K853" s="54" t="s">
        <v>2100</v>
      </c>
      <c r="L853" s="57">
        <v>293931839</v>
      </c>
      <c r="M853" s="57">
        <v>293931839</v>
      </c>
      <c r="N853" s="4" t="s">
        <v>740</v>
      </c>
      <c r="O853" s="4">
        <v>291595174</v>
      </c>
      <c r="P853" s="4">
        <v>291595200</v>
      </c>
      <c r="Q853" s="767" t="s">
        <v>2684</v>
      </c>
      <c r="R853" s="767">
        <v>956487079</v>
      </c>
      <c r="S853" s="4">
        <v>956487080</v>
      </c>
      <c r="T853" s="4" t="s">
        <v>2973</v>
      </c>
      <c r="U853" s="4">
        <v>955316473</v>
      </c>
      <c r="V853" s="4">
        <v>955316473</v>
      </c>
      <c r="W853" s="4" t="s">
        <v>2100</v>
      </c>
      <c r="X853" s="4" t="s">
        <v>740</v>
      </c>
      <c r="Y853" s="4">
        <v>3021</v>
      </c>
      <c r="Z853" s="35"/>
      <c r="AA853" s="1" t="str">
        <f>IFERROR(VLOOKUP(D:D,[1]Габариты!$A:$I,9,0),"")</f>
        <v>Вакансия</v>
      </c>
      <c r="AB853" s="6" t="str">
        <f>IFERROR(VLOOKUP(D:D,[1]Габариты!$A:$D,4,0),"")</f>
        <v>КОМОДЫ</v>
      </c>
      <c r="AC853" s="39">
        <f t="shared" si="170"/>
        <v>3021</v>
      </c>
      <c r="AD853" s="13" t="str">
        <f t="shared" si="172"/>
        <v>FBO</v>
      </c>
    </row>
    <row r="854" spans="1:30" s="6" customFormat="1" ht="20.100000000000001" customHeight="1" outlineLevel="1" x14ac:dyDescent="0.25">
      <c r="A854" s="665" t="s">
        <v>33</v>
      </c>
      <c r="B854" s="2"/>
      <c r="C854" s="13" t="s">
        <v>2582</v>
      </c>
      <c r="D854" s="39">
        <v>3022</v>
      </c>
      <c r="E854" s="4">
        <v>20</v>
      </c>
      <c r="F854" s="101">
        <v>3022</v>
      </c>
      <c r="G854" s="57" t="s">
        <v>4958</v>
      </c>
      <c r="H854" s="4" t="s">
        <v>6425</v>
      </c>
      <c r="I854" s="4" t="s">
        <v>2070</v>
      </c>
      <c r="J854" s="4" t="s">
        <v>2015</v>
      </c>
      <c r="K854" s="54" t="s">
        <v>2101</v>
      </c>
      <c r="L854" s="57">
        <v>293923834</v>
      </c>
      <c r="M854" s="57">
        <v>293923834</v>
      </c>
      <c r="N854" s="4" t="s">
        <v>741</v>
      </c>
      <c r="O854" s="4">
        <v>291596295</v>
      </c>
      <c r="P854" s="4">
        <v>291596330</v>
      </c>
      <c r="Q854" s="767" t="s">
        <v>3116</v>
      </c>
      <c r="R854" s="767">
        <v>956486366</v>
      </c>
      <c r="S854" s="4">
        <v>956486365</v>
      </c>
      <c r="T854" s="4" t="s">
        <v>2974</v>
      </c>
      <c r="U854" s="4">
        <v>955317372</v>
      </c>
      <c r="V854" s="4">
        <v>955317372</v>
      </c>
      <c r="W854" s="4" t="s">
        <v>2101</v>
      </c>
      <c r="X854" s="4" t="s">
        <v>741</v>
      </c>
      <c r="Y854" s="4">
        <v>3022</v>
      </c>
      <c r="Z854" s="35"/>
      <c r="AA854" s="1" t="str">
        <f>IFERROR(VLOOKUP(D:D,[1]Габариты!$A:$I,9,0),"")</f>
        <v>Вакансия</v>
      </c>
      <c r="AB854" s="6" t="str">
        <f>IFERROR(VLOOKUP(D:D,[1]Габариты!$A:$D,4,0),"")</f>
        <v>КОМОДЫ</v>
      </c>
      <c r="AC854" s="39">
        <f t="shared" si="170"/>
        <v>3022</v>
      </c>
      <c r="AD854" s="13" t="str">
        <f t="shared" si="172"/>
        <v>FBO</v>
      </c>
    </row>
    <row r="855" spans="1:30" s="6" customFormat="1" ht="20.100000000000001" customHeight="1" outlineLevel="1" x14ac:dyDescent="0.25">
      <c r="A855" s="665" t="s">
        <v>34</v>
      </c>
      <c r="B855" s="2"/>
      <c r="C855" s="13" t="s">
        <v>2582</v>
      </c>
      <c r="D855" s="39">
        <v>3023</v>
      </c>
      <c r="E855" s="4">
        <v>20</v>
      </c>
      <c r="F855" s="101">
        <v>3023</v>
      </c>
      <c r="G855" s="57" t="s">
        <v>4959</v>
      </c>
      <c r="H855" s="4" t="s">
        <v>6426</v>
      </c>
      <c r="I855" s="4" t="s">
        <v>2071</v>
      </c>
      <c r="J855" s="4" t="s">
        <v>2016</v>
      </c>
      <c r="K855" s="54" t="s">
        <v>2102</v>
      </c>
      <c r="L855" s="57">
        <v>293927049</v>
      </c>
      <c r="M855" s="57">
        <v>293927049</v>
      </c>
      <c r="N855" s="4" t="s">
        <v>742</v>
      </c>
      <c r="O855" s="4">
        <v>291598393</v>
      </c>
      <c r="P855" s="4">
        <v>291598396</v>
      </c>
      <c r="Q855" s="767" t="s">
        <v>3383</v>
      </c>
      <c r="R855" s="767">
        <v>956487063</v>
      </c>
      <c r="S855" s="4">
        <v>956487064</v>
      </c>
      <c r="T855" s="4" t="s">
        <v>2975</v>
      </c>
      <c r="U855" s="4">
        <v>955316511</v>
      </c>
      <c r="V855" s="4">
        <v>955316511</v>
      </c>
      <c r="W855" s="4" t="s">
        <v>2102</v>
      </c>
      <c r="X855" s="4" t="s">
        <v>742</v>
      </c>
      <c r="Y855" s="4">
        <v>3023</v>
      </c>
      <c r="Z855" s="35"/>
      <c r="AA855" s="1" t="str">
        <f>IFERROR(VLOOKUP(D:D,[1]Габариты!$A:$I,9,0),"")</f>
        <v>Вакансия</v>
      </c>
      <c r="AB855" s="6" t="str">
        <f>IFERROR(VLOOKUP(D:D,[1]Габариты!$A:$D,4,0),"")</f>
        <v>КОМОДЫ</v>
      </c>
      <c r="AC855" s="39">
        <f t="shared" si="170"/>
        <v>3023</v>
      </c>
      <c r="AD855" s="13" t="str">
        <f t="shared" si="172"/>
        <v>FBO</v>
      </c>
    </row>
    <row r="856" spans="1:30" s="6" customFormat="1" ht="20.100000000000001" customHeight="1" outlineLevel="1" x14ac:dyDescent="0.25">
      <c r="A856" s="665" t="s">
        <v>263</v>
      </c>
      <c r="B856" s="2"/>
      <c r="C856" s="13" t="s">
        <v>2581</v>
      </c>
      <c r="D856" s="39">
        <v>3024</v>
      </c>
      <c r="E856" s="4">
        <v>20</v>
      </c>
      <c r="F856" s="101">
        <v>3024</v>
      </c>
      <c r="G856" s="57" t="s">
        <v>4960</v>
      </c>
      <c r="H856" s="4" t="s">
        <v>6427</v>
      </c>
      <c r="I856" s="4" t="s">
        <v>1171</v>
      </c>
      <c r="J856" s="4" t="s">
        <v>1830</v>
      </c>
      <c r="K856" s="54" t="s">
        <v>2106</v>
      </c>
      <c r="L856" s="57">
        <v>276416804</v>
      </c>
      <c r="M856" s="57">
        <v>276416804</v>
      </c>
      <c r="N856" s="4" t="s">
        <v>743</v>
      </c>
      <c r="O856" s="4">
        <v>277798382</v>
      </c>
      <c r="P856" s="4">
        <v>277798385</v>
      </c>
      <c r="Q856" s="767" t="s">
        <v>2686</v>
      </c>
      <c r="R856" s="767">
        <v>321891681</v>
      </c>
      <c r="S856" s="4">
        <v>321891703</v>
      </c>
      <c r="T856" s="4" t="s">
        <v>2976</v>
      </c>
      <c r="U856" s="4">
        <v>889237353</v>
      </c>
      <c r="V856" s="4">
        <v>889237353</v>
      </c>
      <c r="W856" s="4" t="s">
        <v>2106</v>
      </c>
      <c r="X856" s="4" t="s">
        <v>743</v>
      </c>
      <c r="Y856" s="4">
        <v>3024</v>
      </c>
      <c r="Z856" s="35"/>
      <c r="AA856" s="1" t="str">
        <f>IFERROR(VLOOKUP(D:D,[1]Габариты!$A:$I,9,0),"")</f>
        <v>Вакансия</v>
      </c>
      <c r="AB856" s="6" t="str">
        <f>IFERROR(VLOOKUP(D:D,[1]Габариты!$A:$D,4,0),"")</f>
        <v>КОМОДЫ</v>
      </c>
      <c r="AC856" s="39">
        <f t="shared" si="170"/>
        <v>3024</v>
      </c>
      <c r="AD856" s="13" t="str">
        <f t="shared" si="172"/>
        <v>FBS</v>
      </c>
    </row>
    <row r="857" spans="1:30" s="6" customFormat="1" ht="20.100000000000001" customHeight="1" outlineLevel="1" x14ac:dyDescent="0.25">
      <c r="A857" s="665" t="s">
        <v>264</v>
      </c>
      <c r="B857" s="2"/>
      <c r="C857" s="13" t="s">
        <v>2581</v>
      </c>
      <c r="D857" s="39">
        <v>3025</v>
      </c>
      <c r="E857" s="4">
        <v>20</v>
      </c>
      <c r="F857" s="101">
        <v>3025</v>
      </c>
      <c r="G857" s="57" t="s">
        <v>4961</v>
      </c>
      <c r="H857" s="4" t="s">
        <v>6428</v>
      </c>
      <c r="I857" s="4" t="s">
        <v>1172</v>
      </c>
      <c r="J857" s="4" t="s">
        <v>1831</v>
      </c>
      <c r="K857" s="54" t="s">
        <v>2107</v>
      </c>
      <c r="L857" s="57">
        <v>276720185</v>
      </c>
      <c r="M857" s="57">
        <v>276720185</v>
      </c>
      <c r="N857" s="4" t="s">
        <v>744</v>
      </c>
      <c r="O857" s="4">
        <v>277799508</v>
      </c>
      <c r="P857" s="4">
        <v>277799519</v>
      </c>
      <c r="Q857" s="767" t="s">
        <v>2687</v>
      </c>
      <c r="R857" s="767">
        <v>321914490</v>
      </c>
      <c r="S857" s="4">
        <v>321914541</v>
      </c>
      <c r="T857" s="4" t="s">
        <v>2977</v>
      </c>
      <c r="U857" s="4">
        <v>889291997</v>
      </c>
      <c r="V857" s="4">
        <v>889291997</v>
      </c>
      <c r="W857" s="4" t="s">
        <v>2107</v>
      </c>
      <c r="X857" s="4" t="s">
        <v>744</v>
      </c>
      <c r="Y857" s="4">
        <v>3025</v>
      </c>
      <c r="Z857" s="35"/>
      <c r="AA857" s="1" t="str">
        <f>IFERROR(VLOOKUP(D:D,[1]Габариты!$A:$I,9,0),"")</f>
        <v>Вакансия</v>
      </c>
      <c r="AB857" s="6" t="str">
        <f>IFERROR(VLOOKUP(D:D,[1]Габариты!$A:$D,4,0),"")</f>
        <v>КОМОДЫ</v>
      </c>
      <c r="AC857" s="39">
        <f t="shared" si="170"/>
        <v>3025</v>
      </c>
      <c r="AD857" s="13" t="str">
        <f t="shared" si="172"/>
        <v>FBS</v>
      </c>
    </row>
    <row r="858" spans="1:30" s="6" customFormat="1" ht="20.100000000000001" customHeight="1" outlineLevel="1" x14ac:dyDescent="0.25">
      <c r="A858" s="665" t="s">
        <v>265</v>
      </c>
      <c r="B858" s="2"/>
      <c r="C858" s="13" t="s">
        <v>2581</v>
      </c>
      <c r="D858" s="39">
        <v>3026</v>
      </c>
      <c r="E858" s="4">
        <v>20</v>
      </c>
      <c r="F858" s="101">
        <v>3026</v>
      </c>
      <c r="G858" s="57" t="s">
        <v>4962</v>
      </c>
      <c r="H858" s="4" t="s">
        <v>6429</v>
      </c>
      <c r="I858" s="4" t="s">
        <v>1173</v>
      </c>
      <c r="J858" s="4" t="s">
        <v>1832</v>
      </c>
      <c r="K858" s="54" t="s">
        <v>2108</v>
      </c>
      <c r="L858" s="57">
        <v>283070012</v>
      </c>
      <c r="M858" s="57">
        <v>283070012</v>
      </c>
      <c r="N858" s="4" t="s">
        <v>745</v>
      </c>
      <c r="O858" s="4">
        <v>283285701</v>
      </c>
      <c r="P858" s="4">
        <v>283285707</v>
      </c>
      <c r="Q858" s="767" t="s">
        <v>2688</v>
      </c>
      <c r="R858" s="767">
        <v>321916663</v>
      </c>
      <c r="S858" s="4">
        <v>321916696</v>
      </c>
      <c r="T858" s="4" t="s">
        <v>2978</v>
      </c>
      <c r="U858" s="4">
        <v>889320135</v>
      </c>
      <c r="V858" s="4">
        <v>889320135</v>
      </c>
      <c r="W858" s="4" t="s">
        <v>2108</v>
      </c>
      <c r="X858" s="4" t="s">
        <v>745</v>
      </c>
      <c r="Y858" s="4">
        <v>3026</v>
      </c>
      <c r="Z858" s="35"/>
      <c r="AA858" s="1" t="str">
        <f>IFERROR(VLOOKUP(D:D,[1]Габариты!$A:$I,9,0),"")</f>
        <v>Вакансия</v>
      </c>
      <c r="AB858" s="6" t="str">
        <f>IFERROR(VLOOKUP(D:D,[1]Габариты!$A:$D,4,0),"")</f>
        <v>КОМОДЫ</v>
      </c>
      <c r="AC858" s="39">
        <f t="shared" si="170"/>
        <v>3026</v>
      </c>
      <c r="AD858" s="13" t="str">
        <f t="shared" si="172"/>
        <v>FBS</v>
      </c>
    </row>
    <row r="859" spans="1:30" s="6" customFormat="1" ht="20.100000000000001" customHeight="1" outlineLevel="1" x14ac:dyDescent="0.25">
      <c r="A859" s="633" t="s">
        <v>4277</v>
      </c>
      <c r="B859" s="29"/>
      <c r="C859" s="13" t="s">
        <v>2581</v>
      </c>
      <c r="D859" s="40" t="s">
        <v>4274</v>
      </c>
      <c r="E859" s="4">
        <v>20</v>
      </c>
      <c r="F859" s="101" t="s">
        <v>6194</v>
      </c>
      <c r="G859" s="57" t="s">
        <v>5140</v>
      </c>
      <c r="H859" s="4" t="s">
        <v>6469</v>
      </c>
      <c r="I859" s="4"/>
      <c r="J859" s="4" t="s">
        <v>7590</v>
      </c>
      <c r="K859" s="54" t="s">
        <v>6194</v>
      </c>
      <c r="L859" s="57">
        <v>1588777793</v>
      </c>
      <c r="M859" s="57">
        <v>1588777793</v>
      </c>
      <c r="N859" s="4" t="s">
        <v>4316</v>
      </c>
      <c r="O859" s="4">
        <v>1604783717</v>
      </c>
      <c r="P859" s="4">
        <v>1604783717</v>
      </c>
      <c r="Q859" s="767"/>
      <c r="R859" s="767"/>
      <c r="S859" s="4"/>
      <c r="T859" s="4"/>
      <c r="U859" s="4"/>
      <c r="V859" s="4"/>
      <c r="W859" s="4"/>
      <c r="X859" s="4" t="s">
        <v>4316</v>
      </c>
      <c r="Y859" s="4"/>
      <c r="Z859" s="35"/>
      <c r="AA859" s="1" t="str">
        <f>IFERROR(VLOOKUP(D:D,[1]Габариты!$A:$I,9,0),"")</f>
        <v>Вакансия</v>
      </c>
      <c r="AB859" s="6" t="str">
        <f>IFERROR(VLOOKUP(D:D,[1]Габариты!$A:$D,4,0),"")</f>
        <v>КОМОДЫ</v>
      </c>
      <c r="AC859" s="39" t="str">
        <f t="shared" si="170"/>
        <v>3175.01.07/01</v>
      </c>
      <c r="AD859" s="13" t="str">
        <f t="shared" si="172"/>
        <v>FBS</v>
      </c>
    </row>
    <row r="860" spans="1:30" s="6" customFormat="1" ht="20.100000000000001" customHeight="1" outlineLevel="1" x14ac:dyDescent="0.25">
      <c r="A860" s="633" t="s">
        <v>4278</v>
      </c>
      <c r="B860" s="29"/>
      <c r="C860" s="13" t="s">
        <v>2582</v>
      </c>
      <c r="D860" s="40" t="s">
        <v>4275</v>
      </c>
      <c r="E860" s="4">
        <v>22</v>
      </c>
      <c r="F860" s="101" t="s">
        <v>8281</v>
      </c>
      <c r="G860" s="57"/>
      <c r="H860" s="4" t="s">
        <v>6470</v>
      </c>
      <c r="I860" s="4"/>
      <c r="J860" s="4" t="s">
        <v>7591</v>
      </c>
      <c r="K860" s="54"/>
      <c r="L860" s="57"/>
      <c r="M860" s="57"/>
      <c r="N860" s="4" t="s">
        <v>4317</v>
      </c>
      <c r="O860" s="4">
        <v>1604790725</v>
      </c>
      <c r="P860" s="4">
        <v>1604790725</v>
      </c>
      <c r="Q860" s="767"/>
      <c r="R860" s="767"/>
      <c r="S860" s="4"/>
      <c r="T860" s="4"/>
      <c r="U860" s="4"/>
      <c r="V860" s="4"/>
      <c r="W860" s="4"/>
      <c r="X860" s="4" t="s">
        <v>4317</v>
      </c>
      <c r="Y860" s="4" t="s">
        <v>4275</v>
      </c>
      <c r="Z860" s="35"/>
      <c r="AA860" s="1" t="str">
        <f>IFERROR(VLOOKUP(D:D,[1]Габариты!$A:$I,9,0),"")</f>
        <v>Вакансия</v>
      </c>
      <c r="AB860" s="6" t="str">
        <f>IFERROR(VLOOKUP(D:D,[1]Габариты!$A:$D,4,0),"")</f>
        <v>КОМОДЫ</v>
      </c>
      <c r="AC860" s="39" t="str">
        <f t="shared" si="170"/>
        <v>3176.01.07/01</v>
      </c>
      <c r="AD860" s="13" t="str">
        <f t="shared" si="172"/>
        <v>FBO</v>
      </c>
    </row>
    <row r="861" spans="1:30" s="6" customFormat="1" ht="20.100000000000001" customHeight="1" outlineLevel="1" x14ac:dyDescent="0.25">
      <c r="A861" s="631" t="s">
        <v>1351</v>
      </c>
      <c r="B861" s="29"/>
      <c r="C861" s="13" t="s">
        <v>2581</v>
      </c>
      <c r="D861" s="40">
        <v>3548</v>
      </c>
      <c r="E861" s="4">
        <v>18</v>
      </c>
      <c r="F861" s="101">
        <v>3548</v>
      </c>
      <c r="G861" s="57" t="s">
        <v>5081</v>
      </c>
      <c r="H861" s="4" t="s">
        <v>6435</v>
      </c>
      <c r="I861" s="4" t="s">
        <v>2058</v>
      </c>
      <c r="J861" s="4" t="s">
        <v>1839</v>
      </c>
      <c r="K861" s="54" t="s">
        <v>7799</v>
      </c>
      <c r="L861" s="57"/>
      <c r="M861" s="57"/>
      <c r="N861" s="4" t="s">
        <v>1382</v>
      </c>
      <c r="O861" s="4">
        <v>685021366</v>
      </c>
      <c r="P861" s="4">
        <v>685021367</v>
      </c>
      <c r="Q861" s="767" t="s">
        <v>2718</v>
      </c>
      <c r="R861" s="767">
        <v>956486310</v>
      </c>
      <c r="S861" s="4">
        <v>956486309</v>
      </c>
      <c r="T861" s="4" t="s">
        <v>2996</v>
      </c>
      <c r="U861" s="4">
        <v>889516035</v>
      </c>
      <c r="V861" s="4">
        <v>889516035</v>
      </c>
      <c r="W861" s="4"/>
      <c r="X861" s="4" t="s">
        <v>1382</v>
      </c>
      <c r="Y861" s="4">
        <v>3548</v>
      </c>
      <c r="Z861" s="35"/>
      <c r="AA861" s="1" t="str">
        <f>IFERROR(VLOOKUP(D:D,[1]Габариты!$A:$I,9,0),"")</f>
        <v>Вакансия</v>
      </c>
      <c r="AB861" s="6" t="str">
        <f>IFERROR(VLOOKUP(D:D,[1]Габариты!$A:$D,4,0),"")</f>
        <v>КОМОДЫ</v>
      </c>
      <c r="AC861" s="39">
        <f t="shared" si="170"/>
        <v>3548</v>
      </c>
      <c r="AD861" s="13" t="str">
        <f t="shared" si="172"/>
        <v>FBS</v>
      </c>
    </row>
    <row r="862" spans="1:30" s="6" customFormat="1" ht="20.100000000000001" customHeight="1" outlineLevel="1" x14ac:dyDescent="0.25">
      <c r="A862" s="631" t="s">
        <v>1352</v>
      </c>
      <c r="B862" s="29"/>
      <c r="C862" s="13" t="s">
        <v>2581</v>
      </c>
      <c r="D862" s="40">
        <v>3549</v>
      </c>
      <c r="E862" s="4">
        <v>18</v>
      </c>
      <c r="F862" s="101">
        <v>3549</v>
      </c>
      <c r="G862" s="57" t="s">
        <v>5082</v>
      </c>
      <c r="H862" s="4" t="s">
        <v>6436</v>
      </c>
      <c r="I862" s="4" t="s">
        <v>2059</v>
      </c>
      <c r="J862" s="4" t="s">
        <v>1840</v>
      </c>
      <c r="K862" s="54" t="s">
        <v>7800</v>
      </c>
      <c r="L862" s="57">
        <v>942980360</v>
      </c>
      <c r="M862" s="57">
        <v>942980360</v>
      </c>
      <c r="N862" s="4" t="s">
        <v>1383</v>
      </c>
      <c r="O862" s="4">
        <v>685026378</v>
      </c>
      <c r="P862" s="4">
        <v>685026379</v>
      </c>
      <c r="Q862" s="767" t="s">
        <v>2719</v>
      </c>
      <c r="R862" s="767">
        <v>956487092</v>
      </c>
      <c r="S862" s="4">
        <v>956487091</v>
      </c>
      <c r="T862" s="4" t="s">
        <v>2997</v>
      </c>
      <c r="U862" s="4">
        <v>889510795</v>
      </c>
      <c r="V862" s="4">
        <v>889510795</v>
      </c>
      <c r="W862" s="4"/>
      <c r="X862" s="4" t="s">
        <v>1383</v>
      </c>
      <c r="Y862" s="4">
        <v>3549</v>
      </c>
      <c r="Z862" s="35"/>
      <c r="AA862" s="1" t="str">
        <f>IFERROR(VLOOKUP(D:D,[1]Габариты!$A:$I,9,0),"")</f>
        <v>Вакансия</v>
      </c>
      <c r="AB862" s="6" t="str">
        <f>IFERROR(VLOOKUP(D:D,[1]Габариты!$A:$D,4,0),"")</f>
        <v>КОМОДЫ</v>
      </c>
      <c r="AC862" s="39">
        <f t="shared" si="170"/>
        <v>3549</v>
      </c>
      <c r="AD862" s="13" t="str">
        <f t="shared" si="172"/>
        <v>FBS</v>
      </c>
    </row>
    <row r="863" spans="1:30" s="6" customFormat="1" ht="20.100000000000001" customHeight="1" outlineLevel="1" x14ac:dyDescent="0.25">
      <c r="A863" s="631" t="s">
        <v>1771</v>
      </c>
      <c r="B863" s="29"/>
      <c r="C863" s="13" t="s">
        <v>2582</v>
      </c>
      <c r="D863" s="40">
        <v>135571</v>
      </c>
      <c r="E863" s="4">
        <v>22</v>
      </c>
      <c r="F863" s="101"/>
      <c r="G863" s="57"/>
      <c r="H863" s="4" t="s">
        <v>6441</v>
      </c>
      <c r="I863" s="4"/>
      <c r="J863" s="4" t="s">
        <v>2025</v>
      </c>
      <c r="K863" s="54"/>
      <c r="L863" s="57"/>
      <c r="M863" s="57"/>
      <c r="N863" s="4" t="s">
        <v>1794</v>
      </c>
      <c r="O863" s="4">
        <v>877186969</v>
      </c>
      <c r="P863" s="4">
        <v>877186970</v>
      </c>
      <c r="Q863" s="767" t="s">
        <v>2721</v>
      </c>
      <c r="R863" s="767">
        <v>956486998</v>
      </c>
      <c r="S863" s="4">
        <v>956486997</v>
      </c>
      <c r="T863" s="4" t="s">
        <v>3007</v>
      </c>
      <c r="U863" s="4">
        <v>942841687</v>
      </c>
      <c r="V863" s="4">
        <v>942841687</v>
      </c>
      <c r="W863" s="4"/>
      <c r="X863" s="4" t="s">
        <v>1794</v>
      </c>
      <c r="Y863" s="4" t="s">
        <v>4066</v>
      </c>
      <c r="Z863" s="35"/>
      <c r="AA863" s="1" t="str">
        <f>IFERROR(VLOOKUP(D:D,[1]Габариты!$A:$I,9,0),"")</f>
        <v>Вакансия</v>
      </c>
      <c r="AB863" s="6" t="str">
        <f>IFERROR(VLOOKUP(D:D,[1]Габариты!$A:$D,4,0),"")</f>
        <v>КОМОДЫ</v>
      </c>
      <c r="AC863" s="39">
        <f t="shared" si="170"/>
        <v>135571</v>
      </c>
      <c r="AD863" s="13" t="str">
        <f t="shared" si="172"/>
        <v>FBO</v>
      </c>
    </row>
    <row r="864" spans="1:30" s="6" customFormat="1" ht="20.100000000000001" customHeight="1" outlineLevel="1" x14ac:dyDescent="0.25">
      <c r="A864" s="631" t="s">
        <v>1772</v>
      </c>
      <c r="B864" s="29"/>
      <c r="C864" s="13" t="s">
        <v>2582</v>
      </c>
      <c r="D864" s="40">
        <v>135572</v>
      </c>
      <c r="E864" s="4">
        <v>22</v>
      </c>
      <c r="F864" s="101"/>
      <c r="G864" s="57"/>
      <c r="H864" s="4" t="s">
        <v>6442</v>
      </c>
      <c r="I864" s="4"/>
      <c r="J864" s="4" t="s">
        <v>2026</v>
      </c>
      <c r="K864" s="54"/>
      <c r="L864" s="57"/>
      <c r="M864" s="57"/>
      <c r="N864" s="4" t="s">
        <v>1795</v>
      </c>
      <c r="O864" s="4">
        <v>877180546</v>
      </c>
      <c r="P864" s="4">
        <v>877180547</v>
      </c>
      <c r="Q864" s="767" t="s">
        <v>2722</v>
      </c>
      <c r="R864" s="767">
        <v>956486412</v>
      </c>
      <c r="S864" s="4">
        <v>956486411</v>
      </c>
      <c r="T864" s="4" t="s">
        <v>3008</v>
      </c>
      <c r="U864" s="4">
        <v>942860361</v>
      </c>
      <c r="V864" s="4">
        <v>942860361</v>
      </c>
      <c r="W864" s="4"/>
      <c r="X864" s="4" t="s">
        <v>1795</v>
      </c>
      <c r="Y864" s="4" t="s">
        <v>4066</v>
      </c>
      <c r="Z864" s="35"/>
      <c r="AA864" s="1" t="str">
        <f>IFERROR(VLOOKUP(D:D,[1]Габариты!$A:$I,9,0),"")</f>
        <v>Вакансия</v>
      </c>
      <c r="AB864" s="6" t="str">
        <f>IFERROR(VLOOKUP(D:D,[1]Габариты!$A:$D,4,0),"")</f>
        <v>КОМОДЫ</v>
      </c>
      <c r="AC864" s="39">
        <f t="shared" si="170"/>
        <v>135572</v>
      </c>
      <c r="AD864" s="13" t="str">
        <f t="shared" si="172"/>
        <v>FBO</v>
      </c>
    </row>
    <row r="865" spans="1:30" s="6" customFormat="1" ht="20.100000000000001" customHeight="1" outlineLevel="1" x14ac:dyDescent="0.25">
      <c r="A865" s="631" t="s">
        <v>3303</v>
      </c>
      <c r="B865" s="29"/>
      <c r="C865" s="13" t="s">
        <v>2582</v>
      </c>
      <c r="D865" s="40">
        <v>135591</v>
      </c>
      <c r="E865" s="4">
        <v>20</v>
      </c>
      <c r="F865" s="101"/>
      <c r="G865" s="57"/>
      <c r="H865" s="4" t="s">
        <v>6444</v>
      </c>
      <c r="I865" s="4"/>
      <c r="J865" s="4" t="s">
        <v>3345</v>
      </c>
      <c r="K865" s="54"/>
      <c r="L865" s="57"/>
      <c r="M865" s="57"/>
      <c r="N865" s="4" t="s">
        <v>3338</v>
      </c>
      <c r="O865" s="4">
        <v>1017088437</v>
      </c>
      <c r="P865" s="4">
        <v>1017088438</v>
      </c>
      <c r="Q865" s="767"/>
      <c r="R865" s="767"/>
      <c r="S865" s="4"/>
      <c r="T865" s="4" t="s">
        <v>3370</v>
      </c>
      <c r="U865" s="4">
        <v>1017739012</v>
      </c>
      <c r="V865" s="4">
        <v>1017739012</v>
      </c>
      <c r="W865" s="4"/>
      <c r="X865" s="4" t="s">
        <v>3338</v>
      </c>
      <c r="Y865" s="4" t="s">
        <v>4066</v>
      </c>
      <c r="Z865" s="35"/>
      <c r="AA865" s="1" t="str">
        <f>IFERROR(VLOOKUP(D:D,[1]Габариты!$A:$I,9,0),"")</f>
        <v>Вакансия</v>
      </c>
      <c r="AB865" s="6" t="str">
        <f>IFERROR(VLOOKUP(D:D,[1]Габариты!$A:$D,4,0),"")</f>
        <v>КОМОДЫ</v>
      </c>
      <c r="AC865" s="39">
        <f t="shared" si="170"/>
        <v>135591</v>
      </c>
      <c r="AD865" s="13" t="str">
        <f t="shared" si="172"/>
        <v>FBO</v>
      </c>
    </row>
    <row r="866" spans="1:30" s="6" customFormat="1" ht="20.100000000000001" customHeight="1" outlineLevel="1" x14ac:dyDescent="0.25">
      <c r="A866" s="631" t="s">
        <v>3304</v>
      </c>
      <c r="B866" s="29"/>
      <c r="C866" s="13" t="s">
        <v>2582</v>
      </c>
      <c r="D866" s="40">
        <v>135592</v>
      </c>
      <c r="E866" s="4">
        <v>20</v>
      </c>
      <c r="F866" s="101"/>
      <c r="G866" s="57"/>
      <c r="H866" s="4" t="s">
        <v>6445</v>
      </c>
      <c r="I866" s="4"/>
      <c r="J866" s="4" t="s">
        <v>3346</v>
      </c>
      <c r="K866" s="54"/>
      <c r="L866" s="57"/>
      <c r="M866" s="57"/>
      <c r="N866" s="4" t="s">
        <v>3339</v>
      </c>
      <c r="O866" s="4">
        <v>1017095144</v>
      </c>
      <c r="P866" s="4">
        <v>1017095145</v>
      </c>
      <c r="Q866" s="767"/>
      <c r="R866" s="767"/>
      <c r="S866" s="4"/>
      <c r="T866" s="4" t="s">
        <v>3369</v>
      </c>
      <c r="U866" s="4">
        <v>1017729973</v>
      </c>
      <c r="V866" s="4">
        <v>1017729973</v>
      </c>
      <c r="W866" s="4"/>
      <c r="X866" s="4" t="s">
        <v>3339</v>
      </c>
      <c r="Y866" s="4" t="s">
        <v>4066</v>
      </c>
      <c r="Z866" s="35"/>
      <c r="AA866" s="1" t="str">
        <f>IFERROR(VLOOKUP(D:D,[1]Габариты!$A:$I,9,0),"")</f>
        <v>Вакансия</v>
      </c>
      <c r="AB866" s="6" t="str">
        <f>IFERROR(VLOOKUP(D:D,[1]Габариты!$A:$D,4,0),"")</f>
        <v>КОМОДЫ</v>
      </c>
      <c r="AC866" s="39">
        <f t="shared" si="170"/>
        <v>135592</v>
      </c>
      <c r="AD866" s="13" t="str">
        <f t="shared" si="172"/>
        <v>FBO</v>
      </c>
    </row>
    <row r="867" spans="1:30" s="6" customFormat="1" ht="20.100000000000001" customHeight="1" outlineLevel="1" x14ac:dyDescent="0.25">
      <c r="A867" s="631" t="s">
        <v>3904</v>
      </c>
      <c r="B867" s="29"/>
      <c r="C867" s="13" t="s">
        <v>2582</v>
      </c>
      <c r="D867" s="40">
        <v>13553101</v>
      </c>
      <c r="E867" s="4">
        <v>18</v>
      </c>
      <c r="F867" s="101">
        <v>13553101</v>
      </c>
      <c r="G867" s="57">
        <v>4640219952774</v>
      </c>
      <c r="H867" s="4" t="s">
        <v>6453</v>
      </c>
      <c r="I867" s="4"/>
      <c r="J867" s="4"/>
      <c r="K867" s="54"/>
      <c r="L867" s="57"/>
      <c r="M867" s="57"/>
      <c r="N867" s="4" t="s">
        <v>4128</v>
      </c>
      <c r="O867" s="4">
        <v>1556634196</v>
      </c>
      <c r="P867" s="4">
        <v>1556634196</v>
      </c>
      <c r="Q867" s="767"/>
      <c r="R867" s="767"/>
      <c r="S867" s="4"/>
      <c r="T867" s="4"/>
      <c r="U867" s="4"/>
      <c r="V867" s="4"/>
      <c r="W867" s="4"/>
      <c r="X867" s="4" t="s">
        <v>4128</v>
      </c>
      <c r="Y867" s="4" t="s">
        <v>4066</v>
      </c>
      <c r="Z867" s="35"/>
      <c r="AA867" s="1" t="str">
        <f>IFERROR(VLOOKUP(D:D,[1]Габариты!$A:$I,9,0),"")</f>
        <v>Вакансия</v>
      </c>
      <c r="AB867" s="6" t="str">
        <f>IFERROR(VLOOKUP(D:D,[1]Габариты!$A:$D,4,0),"")</f>
        <v>КОМОДЫ</v>
      </c>
      <c r="AC867" s="39">
        <f t="shared" si="170"/>
        <v>13553101</v>
      </c>
      <c r="AD867" s="13" t="str">
        <f t="shared" si="172"/>
        <v>FBO</v>
      </c>
    </row>
    <row r="868" spans="1:30" s="6" customFormat="1" ht="20.100000000000001" customHeight="1" outlineLevel="1" x14ac:dyDescent="0.25">
      <c r="A868" s="633" t="s">
        <v>32</v>
      </c>
      <c r="B868" s="29"/>
      <c r="C868" s="13" t="s">
        <v>2582</v>
      </c>
      <c r="D868" s="40">
        <v>63021</v>
      </c>
      <c r="E868" s="4">
        <v>20</v>
      </c>
      <c r="F868" s="101">
        <v>63021</v>
      </c>
      <c r="G868" s="57"/>
      <c r="H868" s="4" t="s">
        <v>6467</v>
      </c>
      <c r="I868" s="4"/>
      <c r="J868" s="4" t="s">
        <v>7585</v>
      </c>
      <c r="K868" s="54" t="s">
        <v>7872</v>
      </c>
      <c r="L868" s="57"/>
      <c r="M868" s="57"/>
      <c r="N868" s="4" t="s">
        <v>4260</v>
      </c>
      <c r="O868" s="4">
        <v>1603650821</v>
      </c>
      <c r="P868" s="4">
        <v>1603650821</v>
      </c>
      <c r="Q868" s="767"/>
      <c r="R868" s="767"/>
      <c r="S868" s="4"/>
      <c r="T868" s="4"/>
      <c r="U868" s="4"/>
      <c r="V868" s="4"/>
      <c r="W868" s="4"/>
      <c r="X868" s="4" t="s">
        <v>4260</v>
      </c>
      <c r="Y868" s="4"/>
      <c r="Z868" s="35"/>
      <c r="AA868" s="1" t="str">
        <f>IFERROR(VLOOKUP(D:D,[1]Габариты!$A:$I,9,0),"")</f>
        <v>Вакансия</v>
      </c>
      <c r="AB868" s="6" t="str">
        <f>IFERROR(VLOOKUP(D:D,[1]Габариты!$A:$D,4,0),"")</f>
        <v>КОМОДЫ</v>
      </c>
      <c r="AC868" s="39">
        <f t="shared" si="170"/>
        <v>63021</v>
      </c>
      <c r="AD868" s="13" t="str">
        <f t="shared" si="172"/>
        <v>FBO</v>
      </c>
    </row>
    <row r="869" spans="1:30" s="6" customFormat="1" ht="20.100000000000001" customHeight="1" outlineLevel="1" x14ac:dyDescent="0.25">
      <c r="A869" s="631" t="s">
        <v>3367</v>
      </c>
      <c r="B869" s="29"/>
      <c r="C869" s="13" t="s">
        <v>2582</v>
      </c>
      <c r="D869" s="40">
        <v>4110</v>
      </c>
      <c r="E869" s="4">
        <v>18</v>
      </c>
      <c r="F869" s="101"/>
      <c r="G869" s="57"/>
      <c r="H869" s="4" t="s">
        <v>6395</v>
      </c>
      <c r="I869" s="4" t="s">
        <v>3480</v>
      </c>
      <c r="J869" s="4" t="s">
        <v>3477</v>
      </c>
      <c r="K869" s="54"/>
      <c r="L869" s="57"/>
      <c r="M869" s="57"/>
      <c r="N869" s="4" t="s">
        <v>3463</v>
      </c>
      <c r="O869" s="4">
        <v>1042795749</v>
      </c>
      <c r="P869" s="4">
        <v>1042795750</v>
      </c>
      <c r="Q869" s="767" t="s">
        <v>3521</v>
      </c>
      <c r="R869" s="767">
        <v>1050166286</v>
      </c>
      <c r="S869" s="4">
        <v>1050166285</v>
      </c>
      <c r="T869" s="4" t="s">
        <v>3533</v>
      </c>
      <c r="U869" s="4">
        <v>1050146006</v>
      </c>
      <c r="V869" s="4">
        <v>1050146006</v>
      </c>
      <c r="W869" s="4"/>
      <c r="X869" s="4" t="s">
        <v>3463</v>
      </c>
      <c r="Y869" s="4">
        <v>4110</v>
      </c>
      <c r="Z869" s="35"/>
      <c r="AA869" s="1" t="str">
        <f>IFERROR(VLOOKUP(D:D,[1]Габариты!$A:$I,9,0),"")</f>
        <v>Вакансия</v>
      </c>
      <c r="AB869" s="6" t="str">
        <f>IFERROR(VLOOKUP(D:D,[1]Габариты!$A:$D,4,0),"")</f>
        <v>КОМОДЫ</v>
      </c>
      <c r="AC869" s="39">
        <f t="shared" ref="AC869:AC881" si="173">D869</f>
        <v>4110</v>
      </c>
      <c r="AD869" s="13" t="str">
        <f t="shared" ref="AD869:AD881" si="174">C869</f>
        <v>FBO</v>
      </c>
    </row>
    <row r="870" spans="1:30" s="6" customFormat="1" ht="20.100000000000001" customHeight="1" outlineLevel="1" x14ac:dyDescent="0.25">
      <c r="A870" s="631" t="s">
        <v>3488</v>
      </c>
      <c r="B870" s="29"/>
      <c r="C870" s="13" t="s">
        <v>2581</v>
      </c>
      <c r="D870" s="40">
        <v>135588</v>
      </c>
      <c r="E870" s="4">
        <v>18</v>
      </c>
      <c r="F870" s="101"/>
      <c r="G870" s="57"/>
      <c r="H870" s="4"/>
      <c r="I870" s="4"/>
      <c r="J870" s="4"/>
      <c r="K870" s="54"/>
      <c r="L870" s="57"/>
      <c r="M870" s="57"/>
      <c r="N870" s="766"/>
      <c r="O870" s="4"/>
      <c r="P870" s="4"/>
      <c r="Q870" s="767"/>
      <c r="R870" s="767"/>
      <c r="S870" s="4"/>
      <c r="T870" s="4"/>
      <c r="U870" s="4"/>
      <c r="V870" s="4"/>
      <c r="W870" s="4"/>
      <c r="X870" s="4"/>
      <c r="Y870" s="4" t="s">
        <v>4066</v>
      </c>
      <c r="Z870" s="35"/>
      <c r="AA870" s="1" t="str">
        <f>IFERROR(VLOOKUP(D:D,[1]Габариты!$A:$I,9,0),"")</f>
        <v>Вакансия</v>
      </c>
      <c r="AB870" s="6" t="str">
        <f>IFERROR(VLOOKUP(D:D,[1]Габариты!$A:$D,4,0),"")</f>
        <v>КОМОДЫ</v>
      </c>
      <c r="AC870" s="39">
        <f t="shared" si="173"/>
        <v>135588</v>
      </c>
      <c r="AD870" s="13" t="str">
        <f t="shared" si="174"/>
        <v>FBS</v>
      </c>
    </row>
    <row r="871" spans="1:30" s="6" customFormat="1" ht="20.100000000000001" customHeight="1" outlineLevel="1" x14ac:dyDescent="0.25">
      <c r="A871" s="631" t="s">
        <v>3487</v>
      </c>
      <c r="B871" s="29"/>
      <c r="C871" s="13" t="s">
        <v>2581</v>
      </c>
      <c r="D871" s="40">
        <v>135589</v>
      </c>
      <c r="E871" s="4">
        <v>18</v>
      </c>
      <c r="F871" s="101"/>
      <c r="G871" s="57"/>
      <c r="H871" s="4"/>
      <c r="I871" s="4"/>
      <c r="J871" s="4"/>
      <c r="K871" s="54"/>
      <c r="L871" s="57"/>
      <c r="M871" s="57"/>
      <c r="N871" s="766"/>
      <c r="O871" s="4"/>
      <c r="P871" s="4"/>
      <c r="Q871" s="767"/>
      <c r="R871" s="767"/>
      <c r="S871" s="4"/>
      <c r="T871" s="4"/>
      <c r="U871" s="4"/>
      <c r="V871" s="4"/>
      <c r="W871" s="4"/>
      <c r="X871" s="4"/>
      <c r="Y871" s="4" t="s">
        <v>4066</v>
      </c>
      <c r="Z871" s="35"/>
      <c r="AA871" s="1" t="str">
        <f>IFERROR(VLOOKUP(D:D,[1]Габариты!$A:$I,9,0),"")</f>
        <v>Вакансия</v>
      </c>
      <c r="AB871" s="6" t="str">
        <f>IFERROR(VLOOKUP(D:D,[1]Габариты!$A:$D,4,0),"")</f>
        <v>КОМОДЫ</v>
      </c>
      <c r="AC871" s="39">
        <f t="shared" si="173"/>
        <v>135589</v>
      </c>
      <c r="AD871" s="13" t="str">
        <f t="shared" si="174"/>
        <v>FBS</v>
      </c>
    </row>
    <row r="872" spans="1:30" s="6" customFormat="1" ht="20.100000000000001" customHeight="1" outlineLevel="1" x14ac:dyDescent="0.25">
      <c r="A872" s="712" t="s">
        <v>8165</v>
      </c>
      <c r="B872" s="29"/>
      <c r="C872" s="13" t="s">
        <v>4050</v>
      </c>
      <c r="D872" s="353" t="s">
        <v>8164</v>
      </c>
      <c r="E872" s="354">
        <v>14</v>
      </c>
      <c r="F872" s="355" t="s">
        <v>8244</v>
      </c>
      <c r="G872" s="356"/>
      <c r="H872" s="354" t="s">
        <v>8166</v>
      </c>
      <c r="I872" s="354"/>
      <c r="J872" s="354"/>
      <c r="K872" s="355"/>
      <c r="L872" s="356"/>
      <c r="M872" s="356"/>
      <c r="N872" s="354" t="s">
        <v>8163</v>
      </c>
      <c r="O872" s="354">
        <v>1825572915</v>
      </c>
      <c r="P872" s="354">
        <v>1825572915</v>
      </c>
      <c r="Q872" s="841"/>
      <c r="R872" s="841"/>
      <c r="S872" s="354"/>
      <c r="T872" s="354"/>
      <c r="U872" s="354"/>
      <c r="V872" s="354"/>
      <c r="W872" s="354"/>
      <c r="X872" s="354" t="s">
        <v>8163</v>
      </c>
      <c r="Y872" s="354"/>
      <c r="Z872" s="35"/>
      <c r="AA872" s="1" t="str">
        <f>IFERROR(VLOOKUP(D:D,[1]Габариты!$A:$I,9,0),"")</f>
        <v>Вакансия</v>
      </c>
      <c r="AB872" s="6" t="str">
        <f>IFERROR(VLOOKUP(D:D,[1]Габариты!$A:$D,4,0),"")</f>
        <v>КОМОДЫ</v>
      </c>
      <c r="AC872" s="39" t="str">
        <f t="shared" si="173"/>
        <v>4001.02.03/01</v>
      </c>
      <c r="AD872" s="352" t="str">
        <f t="shared" si="174"/>
        <v>СКГТ (ОЗОН)</v>
      </c>
    </row>
    <row r="873" spans="1:30" s="6" customFormat="1" ht="20.100000000000001" customHeight="1" outlineLevel="1" x14ac:dyDescent="0.25">
      <c r="A873" s="631" t="s">
        <v>3302</v>
      </c>
      <c r="B873" s="29"/>
      <c r="C873" s="13" t="s">
        <v>2582</v>
      </c>
      <c r="D873" s="40">
        <v>135590</v>
      </c>
      <c r="E873" s="4">
        <v>20</v>
      </c>
      <c r="F873" s="101"/>
      <c r="G873" s="57"/>
      <c r="H873" s="4" t="s">
        <v>6443</v>
      </c>
      <c r="I873" s="4"/>
      <c r="J873" s="4" t="s">
        <v>3344</v>
      </c>
      <c r="K873" s="54"/>
      <c r="L873" s="57"/>
      <c r="M873" s="57"/>
      <c r="N873" s="4" t="s">
        <v>3337</v>
      </c>
      <c r="O873" s="4">
        <v>1017073849</v>
      </c>
      <c r="P873" s="4">
        <v>1017073848</v>
      </c>
      <c r="Q873" s="767"/>
      <c r="R873" s="767"/>
      <c r="S873" s="4"/>
      <c r="T873" s="4" t="s">
        <v>3371</v>
      </c>
      <c r="U873" s="4">
        <v>1017743506</v>
      </c>
      <c r="V873" s="4">
        <v>1017743506</v>
      </c>
      <c r="W873" s="4"/>
      <c r="X873" s="4" t="s">
        <v>3337</v>
      </c>
      <c r="Y873" s="4" t="s">
        <v>4066</v>
      </c>
      <c r="Z873" s="35"/>
      <c r="AA873" s="1" t="str">
        <f>IFERROR(VLOOKUP(D:D,[1]Габариты!$A:$I,9,0),"")</f>
        <v>Вакансия</v>
      </c>
      <c r="AB873" s="6" t="str">
        <f>IFERROR(VLOOKUP(D:D,[1]Габариты!$A:$D,4,0),"")</f>
        <v>КОМОДЫ</v>
      </c>
      <c r="AC873" s="39">
        <f t="shared" si="173"/>
        <v>135590</v>
      </c>
      <c r="AD873" s="13" t="str">
        <f t="shared" si="174"/>
        <v>FBO</v>
      </c>
    </row>
    <row r="874" spans="1:30" s="6" customFormat="1" ht="20.100000000000001" customHeight="1" outlineLevel="1" x14ac:dyDescent="0.25">
      <c r="A874" s="631" t="s">
        <v>3486</v>
      </c>
      <c r="B874" s="29"/>
      <c r="C874" s="13" t="s">
        <v>2582</v>
      </c>
      <c r="D874" s="40">
        <v>135594</v>
      </c>
      <c r="E874" s="4">
        <v>20</v>
      </c>
      <c r="F874" s="101"/>
      <c r="G874" s="57"/>
      <c r="H874" s="4" t="s">
        <v>6447</v>
      </c>
      <c r="I874" s="4" t="s">
        <v>3628</v>
      </c>
      <c r="J874" s="4" t="s">
        <v>3630</v>
      </c>
      <c r="K874" s="54"/>
      <c r="L874" s="57"/>
      <c r="M874" s="57"/>
      <c r="N874" s="4" t="s">
        <v>3639</v>
      </c>
      <c r="O874" s="4">
        <v>1098823926</v>
      </c>
      <c r="P874" s="4">
        <v>1098823925</v>
      </c>
      <c r="Q874" s="767" t="s">
        <v>3687</v>
      </c>
      <c r="R874" s="767">
        <v>1098862036</v>
      </c>
      <c r="S874" s="4">
        <v>1098862037</v>
      </c>
      <c r="T874" s="4" t="s">
        <v>3658</v>
      </c>
      <c r="U874" s="4">
        <v>1098838555</v>
      </c>
      <c r="V874" s="4">
        <v>1098838555</v>
      </c>
      <c r="W874" s="4"/>
      <c r="X874" s="4" t="s">
        <v>3639</v>
      </c>
      <c r="Y874" s="4" t="s">
        <v>4066</v>
      </c>
      <c r="Z874" s="35"/>
      <c r="AA874" s="1" t="str">
        <f>IFERROR(VLOOKUP(D:D,[1]Габариты!$A:$I,9,0),"")</f>
        <v>Вакансия</v>
      </c>
      <c r="AB874" s="6" t="str">
        <f>IFERROR(VLOOKUP(D:D,[1]Габариты!$A:$D,4,0),"")</f>
        <v>КОМОДЫ</v>
      </c>
      <c r="AC874" s="39">
        <f t="shared" si="173"/>
        <v>135594</v>
      </c>
      <c r="AD874" s="13" t="str">
        <f t="shared" si="174"/>
        <v>FBO</v>
      </c>
    </row>
    <row r="875" spans="1:30" s="6" customFormat="1" ht="20.100000000000001" customHeight="1" outlineLevel="1" x14ac:dyDescent="0.25">
      <c r="A875" s="631" t="s">
        <v>3306</v>
      </c>
      <c r="B875" s="29"/>
      <c r="C875" s="13" t="s">
        <v>2581</v>
      </c>
      <c r="D875" s="40">
        <v>135595</v>
      </c>
      <c r="E875" s="4">
        <v>28</v>
      </c>
      <c r="F875" s="101"/>
      <c r="G875" s="57"/>
      <c r="H875" s="4" t="s">
        <v>6448</v>
      </c>
      <c r="I875" s="4"/>
      <c r="J875" s="4"/>
      <c r="K875" s="54"/>
      <c r="L875" s="57"/>
      <c r="M875" s="57"/>
      <c r="N875" s="4" t="s">
        <v>3428</v>
      </c>
      <c r="O875" s="4">
        <v>1034617835</v>
      </c>
      <c r="P875" s="4">
        <v>1034617834</v>
      </c>
      <c r="Q875" s="767"/>
      <c r="R875" s="767"/>
      <c r="S875" s="4"/>
      <c r="T875" s="4"/>
      <c r="U875" s="4"/>
      <c r="V875" s="4"/>
      <c r="W875" s="4"/>
      <c r="X875" s="4" t="s">
        <v>3428</v>
      </c>
      <c r="Y875" s="4" t="s">
        <v>4066</v>
      </c>
      <c r="Z875" s="35"/>
      <c r="AA875" s="1" t="str">
        <f>IFERROR(VLOOKUP(D:D,[1]Габариты!$A:$I,9,0),"")</f>
        <v>Вакансия</v>
      </c>
      <c r="AB875" s="6" t="str">
        <f>IFERROR(VLOOKUP(D:D,[1]Габариты!$A:$D,4,0),"")</f>
        <v>КОМОДЫ</v>
      </c>
      <c r="AC875" s="39">
        <f t="shared" si="173"/>
        <v>135595</v>
      </c>
      <c r="AD875" s="13" t="str">
        <f t="shared" si="174"/>
        <v>FBS</v>
      </c>
    </row>
    <row r="876" spans="1:30" s="6" customFormat="1" ht="20.100000000000001" customHeight="1" outlineLevel="1" x14ac:dyDescent="0.25">
      <c r="A876" s="631" t="s">
        <v>3307</v>
      </c>
      <c r="B876" s="29"/>
      <c r="C876" s="13" t="s">
        <v>2581</v>
      </c>
      <c r="D876" s="40">
        <v>135596</v>
      </c>
      <c r="E876" s="4">
        <v>28</v>
      </c>
      <c r="F876" s="101"/>
      <c r="G876" s="57"/>
      <c r="H876" s="4" t="s">
        <v>6449</v>
      </c>
      <c r="I876" s="4" t="s">
        <v>3352</v>
      </c>
      <c r="J876" s="4" t="s">
        <v>3348</v>
      </c>
      <c r="K876" s="54"/>
      <c r="L876" s="57"/>
      <c r="M876" s="57"/>
      <c r="N876" s="4" t="s">
        <v>3355</v>
      </c>
      <c r="O876" s="4">
        <v>1023774399</v>
      </c>
      <c r="P876" s="4">
        <v>1023774400</v>
      </c>
      <c r="Q876" s="767" t="s">
        <v>3393</v>
      </c>
      <c r="R876" s="767">
        <v>1023946373</v>
      </c>
      <c r="S876" s="4">
        <v>1023946374</v>
      </c>
      <c r="T876" s="4" t="s">
        <v>3375</v>
      </c>
      <c r="U876" s="4">
        <v>1023911424</v>
      </c>
      <c r="V876" s="4">
        <v>1023911424</v>
      </c>
      <c r="W876" s="4"/>
      <c r="X876" s="4" t="s">
        <v>3355</v>
      </c>
      <c r="Y876" s="4" t="s">
        <v>4066</v>
      </c>
      <c r="Z876" s="35"/>
      <c r="AA876" s="1" t="str">
        <f>IFERROR(VLOOKUP(D:D,[1]Габариты!$A:$I,9,0),"")</f>
        <v>Вакансия</v>
      </c>
      <c r="AB876" s="6" t="str">
        <f>IFERROR(VLOOKUP(D:D,[1]Габариты!$A:$D,4,0),"")</f>
        <v>КОМОДЫ</v>
      </c>
      <c r="AC876" s="39">
        <f t="shared" si="173"/>
        <v>135596</v>
      </c>
      <c r="AD876" s="13" t="str">
        <f t="shared" si="174"/>
        <v>FBS</v>
      </c>
    </row>
    <row r="877" spans="1:30" s="6" customFormat="1" ht="20.100000000000001" customHeight="1" outlineLevel="1" x14ac:dyDescent="0.25">
      <c r="A877" s="728" t="s">
        <v>7770</v>
      </c>
      <c r="B877" s="221"/>
      <c r="C877" s="13" t="s">
        <v>4050</v>
      </c>
      <c r="D877" s="222" t="s">
        <v>7769</v>
      </c>
      <c r="E877" s="217">
        <v>12</v>
      </c>
      <c r="F877" s="218" t="s">
        <v>8245</v>
      </c>
      <c r="G877" s="219"/>
      <c r="H877" s="217" t="s">
        <v>7775</v>
      </c>
      <c r="I877" s="217"/>
      <c r="J877" s="217"/>
      <c r="K877" s="218"/>
      <c r="L877" s="219"/>
      <c r="M877" s="219"/>
      <c r="N877" s="217" t="s">
        <v>7786</v>
      </c>
      <c r="O877" s="217">
        <v>1756596561</v>
      </c>
      <c r="P877" s="217">
        <v>1756596561</v>
      </c>
      <c r="Q877" s="824"/>
      <c r="R877" s="824"/>
      <c r="S877" s="217"/>
      <c r="T877" s="217"/>
      <c r="U877" s="217"/>
      <c r="V877" s="217"/>
      <c r="W877" s="217"/>
      <c r="X877" s="217" t="s">
        <v>7786</v>
      </c>
      <c r="Y877" s="217"/>
      <c r="Z877" s="35"/>
      <c r="AA877" s="1" t="str">
        <f>IFERROR(VLOOKUP(D:D,[1]Габариты!$A:$I,9,0),"")</f>
        <v>Вакансия</v>
      </c>
      <c r="AB877" s="6" t="str">
        <f>IFERROR(VLOOKUP(D:D,[1]Габариты!$A:$D,4,0),"")</f>
        <v>КОМОДЫ</v>
      </c>
      <c r="AC877" s="39" t="str">
        <f t="shared" si="173"/>
        <v>MK2570101</v>
      </c>
      <c r="AD877" s="13" t="str">
        <f t="shared" si="174"/>
        <v>СКГТ (ОЗОН)</v>
      </c>
    </row>
    <row r="878" spans="1:30" s="6" customFormat="1" ht="20.100000000000001" customHeight="1" outlineLevel="1" x14ac:dyDescent="0.25">
      <c r="A878" s="639" t="s">
        <v>6078</v>
      </c>
      <c r="B878" s="96"/>
      <c r="C878" s="13" t="s">
        <v>4050</v>
      </c>
      <c r="D878" s="91" t="s">
        <v>6079</v>
      </c>
      <c r="E878" s="92">
        <v>12</v>
      </c>
      <c r="F878" s="101" t="s">
        <v>6084</v>
      </c>
      <c r="G878" s="94" t="s">
        <v>6083</v>
      </c>
      <c r="H878" s="4" t="s">
        <v>6480</v>
      </c>
      <c r="I878" s="92"/>
      <c r="J878" s="92"/>
      <c r="K878" s="93"/>
      <c r="L878" s="94"/>
      <c r="M878" s="94"/>
      <c r="N878" s="92" t="s">
        <v>6178</v>
      </c>
      <c r="O878" s="92">
        <v>1701856667</v>
      </c>
      <c r="P878" s="92">
        <v>1701856667</v>
      </c>
      <c r="Q878" s="781"/>
      <c r="R878" s="781"/>
      <c r="S878" s="92"/>
      <c r="T878" s="92"/>
      <c r="U878" s="92"/>
      <c r="V878" s="92"/>
      <c r="W878" s="92"/>
      <c r="X878" s="92" t="s">
        <v>6178</v>
      </c>
      <c r="Y878" s="92"/>
      <c r="Z878" s="35"/>
      <c r="AA878" s="1" t="str">
        <f>IFERROR(VLOOKUP(D:D,[1]Габариты!$A:$I,9,0),"")</f>
        <v>Вакансия</v>
      </c>
      <c r="AB878" s="6" t="str">
        <f>IFERROR(VLOOKUP(D:D,[1]Габариты!$A:$D,4,0),"")</f>
        <v>КОМОДЫ</v>
      </c>
      <c r="AC878" s="39" t="str">
        <f t="shared" si="173"/>
        <v>4151.17.05/01</v>
      </c>
      <c r="AD878" s="13" t="str">
        <f t="shared" si="174"/>
        <v>СКГТ (ОЗОН)</v>
      </c>
    </row>
    <row r="879" spans="1:30" s="6" customFormat="1" ht="20.100000000000001" customHeight="1" outlineLevel="1" x14ac:dyDescent="0.25">
      <c r="A879" s="699" t="s">
        <v>8144</v>
      </c>
      <c r="B879" s="29"/>
      <c r="C879" s="333" t="s">
        <v>2582</v>
      </c>
      <c r="D879" s="334" t="s">
        <v>8143</v>
      </c>
      <c r="E879" s="335">
        <v>18</v>
      </c>
      <c r="F879" s="336" t="s">
        <v>8396</v>
      </c>
      <c r="G879" s="337"/>
      <c r="H879" s="335" t="s">
        <v>8146</v>
      </c>
      <c r="I879" s="335"/>
      <c r="J879" s="335"/>
      <c r="K879" s="336"/>
      <c r="L879" s="337"/>
      <c r="M879" s="337"/>
      <c r="N879" s="335" t="s">
        <v>8176</v>
      </c>
      <c r="O879" s="335">
        <v>1822849507</v>
      </c>
      <c r="P879" s="335">
        <v>1822849507</v>
      </c>
      <c r="Q879" s="852"/>
      <c r="R879" s="852"/>
      <c r="S879" s="335"/>
      <c r="T879" s="335"/>
      <c r="U879" s="335"/>
      <c r="V879" s="335"/>
      <c r="W879" s="335"/>
      <c r="X879" s="335" t="s">
        <v>8176</v>
      </c>
      <c r="Y879" s="335"/>
      <c r="Z879" s="35"/>
      <c r="AA879" s="1" t="str">
        <f>IFERROR(VLOOKUP(D:D,[1]Габариты!$A:$I,9,0),"")</f>
        <v>Вакансия</v>
      </c>
      <c r="AB879" s="6" t="str">
        <f>IFERROR(VLOOKUP(D:D,[1]Габариты!$A:$D,4,0),"")</f>
        <v>КОМОДЫ</v>
      </c>
      <c r="AC879" s="39" t="str">
        <f t="shared" si="173"/>
        <v>4010.02.03/01</v>
      </c>
      <c r="AD879" s="13" t="str">
        <f t="shared" si="174"/>
        <v>FBO</v>
      </c>
    </row>
    <row r="880" spans="1:30" s="6" customFormat="1" ht="20.100000000000001" customHeight="1" outlineLevel="1" x14ac:dyDescent="0.25">
      <c r="A880" s="635" t="s">
        <v>4367</v>
      </c>
      <c r="B880" s="25"/>
      <c r="C880" s="13" t="s">
        <v>2582</v>
      </c>
      <c r="D880" s="40" t="s">
        <v>4365</v>
      </c>
      <c r="E880" s="4">
        <v>18</v>
      </c>
      <c r="F880" s="101" t="s">
        <v>4738</v>
      </c>
      <c r="G880" s="57" t="s">
        <v>5723</v>
      </c>
      <c r="H880" s="4" t="s">
        <v>6421</v>
      </c>
      <c r="I880" s="4"/>
      <c r="J880" s="4" t="s">
        <v>7593</v>
      </c>
      <c r="K880" s="54"/>
      <c r="L880" s="57"/>
      <c r="M880" s="57"/>
      <c r="N880" s="4" t="s">
        <v>4403</v>
      </c>
      <c r="O880" s="4">
        <v>1625898475</v>
      </c>
      <c r="P880" s="4">
        <v>1625898475</v>
      </c>
      <c r="Q880" s="767"/>
      <c r="R880" s="767"/>
      <c r="S880" s="4"/>
      <c r="T880" s="4"/>
      <c r="U880" s="4"/>
      <c r="V880" s="4"/>
      <c r="W880" s="4"/>
      <c r="X880" s="4" t="s">
        <v>4403</v>
      </c>
      <c r="Y880" s="4" t="s">
        <v>4365</v>
      </c>
      <c r="Z880" s="35"/>
      <c r="AA880" s="1" t="str">
        <f>IFERROR(VLOOKUP(D:D,[1]Габариты!$A:$I,9,0),"")</f>
        <v>Вакансия</v>
      </c>
      <c r="AB880" s="6" t="str">
        <f>IFERROR(VLOOKUP(D:D,[1]Габариты!$A:$D,4,0),"")</f>
        <v>КОМОДЫ</v>
      </c>
      <c r="AC880" s="39" t="str">
        <f t="shared" si="173"/>
        <v>MK2950101</v>
      </c>
      <c r="AD880" s="13" t="str">
        <f t="shared" si="174"/>
        <v>FBO</v>
      </c>
    </row>
    <row r="881" spans="1:30" s="6" customFormat="1" ht="20.100000000000001" customHeight="1" outlineLevel="1" x14ac:dyDescent="0.25">
      <c r="A881" s="729" t="s">
        <v>8361</v>
      </c>
      <c r="B881" s="29"/>
      <c r="C881" s="405" t="s">
        <v>2582</v>
      </c>
      <c r="D881" s="406" t="s">
        <v>8360</v>
      </c>
      <c r="E881" s="407">
        <v>20</v>
      </c>
      <c r="F881" s="408" t="s">
        <v>8360</v>
      </c>
      <c r="G881" s="409"/>
      <c r="H881" s="407" t="s">
        <v>8368</v>
      </c>
      <c r="I881" s="407"/>
      <c r="J881" s="407"/>
      <c r="K881" s="408"/>
      <c r="L881" s="409"/>
      <c r="M881" s="409"/>
      <c r="N881" s="407" t="s">
        <v>8370</v>
      </c>
      <c r="O881" s="407">
        <v>1871636961</v>
      </c>
      <c r="P881" s="407">
        <v>1871636961</v>
      </c>
      <c r="Q881" s="874"/>
      <c r="R881" s="874"/>
      <c r="S881" s="407"/>
      <c r="T881" s="407"/>
      <c r="U881" s="407"/>
      <c r="V881" s="407"/>
      <c r="W881" s="407"/>
      <c r="X881" s="407"/>
      <c r="Y881" s="407"/>
      <c r="Z881" s="35"/>
      <c r="AA881" s="1" t="str">
        <f>IFERROR(VLOOKUP(D:D,[1]Габариты!$A:$I,9,0),"")</f>
        <v>Вакансия</v>
      </c>
      <c r="AB881" s="6" t="str">
        <f>IFERROR(VLOOKUP(D:D,[1]Габариты!$A:$D,4,0),"")</f>
        <v>КОМОДЫ</v>
      </c>
      <c r="AC881" s="39" t="str">
        <f t="shared" si="173"/>
        <v>20014.17/01</v>
      </c>
      <c r="AD881" s="352" t="str">
        <f t="shared" si="174"/>
        <v>FBO</v>
      </c>
    </row>
    <row r="882" spans="1:30" s="6" customFormat="1" ht="20.100000000000001" customHeight="1" outlineLevel="1" x14ac:dyDescent="0.25">
      <c r="A882" s="702" t="s">
        <v>7556</v>
      </c>
      <c r="B882" s="29"/>
      <c r="C882" s="13" t="s">
        <v>4050</v>
      </c>
      <c r="D882" s="165" t="s">
        <v>7555</v>
      </c>
      <c r="E882" s="166">
        <v>10</v>
      </c>
      <c r="F882" s="167" t="s">
        <v>8184</v>
      </c>
      <c r="G882" s="168" t="s">
        <v>7606</v>
      </c>
      <c r="H882" s="166" t="s">
        <v>7557</v>
      </c>
      <c r="I882" s="166"/>
      <c r="J882" s="166"/>
      <c r="K882" s="167"/>
      <c r="L882" s="168"/>
      <c r="M882" s="168"/>
      <c r="N882" s="166" t="s">
        <v>7644</v>
      </c>
      <c r="O882" s="166">
        <v>1719586859</v>
      </c>
      <c r="P882" s="166">
        <v>1719586859</v>
      </c>
      <c r="Q882" s="793"/>
      <c r="R882" s="793"/>
      <c r="S882" s="166"/>
      <c r="T882" s="166"/>
      <c r="U882" s="166"/>
      <c r="V882" s="166"/>
      <c r="W882" s="166"/>
      <c r="X882" s="166" t="s">
        <v>7644</v>
      </c>
      <c r="Y882" s="166"/>
      <c r="Z882" s="35"/>
      <c r="AA882" s="1" t="str">
        <f>IFERROR(VLOOKUP(D:D,[1]Габариты!$A:$I,9,0),"")</f>
        <v>Вакансия</v>
      </c>
      <c r="AB882" s="6" t="str">
        <f>IFERROR(VLOOKUP(D:D,[1]Габариты!$A:$D,4,0),"")</f>
        <v>КОМОДЫ</v>
      </c>
      <c r="AC882" s="39" t="str">
        <f t="shared" ref="AC882:AC888" si="175">D882</f>
        <v>MK344170901</v>
      </c>
      <c r="AD882" s="13" t="str">
        <f t="shared" ref="AD882:AD888" si="176">C882</f>
        <v>СКГТ (ОЗОН)</v>
      </c>
    </row>
    <row r="883" spans="1:30" s="6" customFormat="1" ht="20.100000000000001" customHeight="1" outlineLevel="1" x14ac:dyDescent="0.25">
      <c r="A883" s="730" t="s">
        <v>8001</v>
      </c>
      <c r="B883" s="264"/>
      <c r="C883" s="13" t="s">
        <v>4050</v>
      </c>
      <c r="D883" s="265" t="s">
        <v>8000</v>
      </c>
      <c r="E883" s="261">
        <v>13</v>
      </c>
      <c r="F883" s="262" t="s">
        <v>8198</v>
      </c>
      <c r="G883" s="263"/>
      <c r="H883" s="261" t="s">
        <v>8024</v>
      </c>
      <c r="I883" s="261"/>
      <c r="J883" s="261"/>
      <c r="K883" s="262"/>
      <c r="L883" s="263"/>
      <c r="M883" s="263"/>
      <c r="N883" s="261" t="s">
        <v>8035</v>
      </c>
      <c r="O883" s="261">
        <v>1775402470</v>
      </c>
      <c r="P883" s="261">
        <v>1775402470</v>
      </c>
      <c r="Q883" s="835"/>
      <c r="R883" s="835"/>
      <c r="S883" s="261"/>
      <c r="T883" s="261"/>
      <c r="U883" s="261"/>
      <c r="V883" s="261"/>
      <c r="W883" s="261"/>
      <c r="X883" s="261" t="s">
        <v>8035</v>
      </c>
      <c r="Y883" s="261"/>
      <c r="Z883" s="35"/>
      <c r="AA883" s="1" t="str">
        <f>IFERROR(VLOOKUP(D:D,[1]Габариты!$A:$I,9,0),"")</f>
        <v>Вакансия</v>
      </c>
      <c r="AB883" s="6" t="str">
        <f>IFERROR(VLOOKUP(D:D,[1]Габариты!$A:$D,4,0),"")</f>
        <v>КОМОДЫ</v>
      </c>
      <c r="AC883" s="39" t="str">
        <f t="shared" si="175"/>
        <v>5000.05.09/01</v>
      </c>
      <c r="AD883" s="13" t="str">
        <f t="shared" si="176"/>
        <v>СКГТ (ОЗОН)</v>
      </c>
    </row>
    <row r="884" spans="1:30" s="6" customFormat="1" ht="20.100000000000001" customHeight="1" x14ac:dyDescent="0.25">
      <c r="A884" s="695" t="s">
        <v>7477</v>
      </c>
      <c r="B884" s="121"/>
      <c r="C884" s="13" t="s">
        <v>2582</v>
      </c>
      <c r="D884" s="128">
        <v>4050</v>
      </c>
      <c r="E884" s="124">
        <v>27</v>
      </c>
      <c r="F884" s="125">
        <v>4050</v>
      </c>
      <c r="G884" s="126"/>
      <c r="H884" s="124" t="s">
        <v>7478</v>
      </c>
      <c r="I884" s="124"/>
      <c r="J884" s="124"/>
      <c r="K884" s="125"/>
      <c r="L884" s="126"/>
      <c r="M884" s="126"/>
      <c r="N884" s="4" t="s">
        <v>7498</v>
      </c>
      <c r="O884" s="124">
        <v>1713034543</v>
      </c>
      <c r="P884" s="124">
        <v>1713034543</v>
      </c>
      <c r="Q884" s="124"/>
      <c r="R884" s="124"/>
      <c r="S884" s="124"/>
      <c r="T884" s="124"/>
      <c r="U884" s="124"/>
      <c r="V884" s="124"/>
      <c r="W884" s="124"/>
      <c r="X884" s="124" t="s">
        <v>7498</v>
      </c>
      <c r="Y884" s="124"/>
      <c r="AA884" s="1" t="str">
        <f>IFERROR(VLOOKUP(D:D,[1]Габариты!$A:$I,9,0),"")</f>
        <v>Вакансия</v>
      </c>
      <c r="AB884" s="6" t="str">
        <f>IFERROR(VLOOKUP(D:D,[1]Габариты!$A:$D,4,0),"")</f>
        <v>КОМОДЫ</v>
      </c>
      <c r="AC884" s="39">
        <f t="shared" si="175"/>
        <v>4050</v>
      </c>
      <c r="AD884" s="13" t="str">
        <f t="shared" si="176"/>
        <v>FBO</v>
      </c>
    </row>
    <row r="885" spans="1:30" s="6" customFormat="1" ht="20.100000000000001" customHeight="1" outlineLevel="1" x14ac:dyDescent="0.25">
      <c r="A885" s="635" t="s">
        <v>4368</v>
      </c>
      <c r="B885" s="25"/>
      <c r="C885" s="13" t="s">
        <v>2582</v>
      </c>
      <c r="D885" s="40" t="s">
        <v>4366</v>
      </c>
      <c r="E885" s="4">
        <v>18</v>
      </c>
      <c r="F885" s="101" t="s">
        <v>4739</v>
      </c>
      <c r="G885" s="57" t="s">
        <v>5724</v>
      </c>
      <c r="H885" s="4" t="s">
        <v>6422</v>
      </c>
      <c r="I885" s="4"/>
      <c r="J885" s="4" t="s">
        <v>7594</v>
      </c>
      <c r="K885" s="54"/>
      <c r="L885" s="57"/>
      <c r="M885" s="57"/>
      <c r="N885" s="4" t="s">
        <v>4404</v>
      </c>
      <c r="O885" s="4">
        <v>1625902152</v>
      </c>
      <c r="P885" s="4">
        <v>1625902152</v>
      </c>
      <c r="Q885" s="767"/>
      <c r="R885" s="767"/>
      <c r="S885" s="4"/>
      <c r="T885" s="4"/>
      <c r="U885" s="4"/>
      <c r="V885" s="4"/>
      <c r="W885" s="4"/>
      <c r="X885" s="4"/>
      <c r="Y885" s="4" t="s">
        <v>4404</v>
      </c>
      <c r="Z885" s="35"/>
      <c r="AA885" s="1" t="str">
        <f>IFERROR(VLOOKUP(D:D,[1]Габариты!$A:$I,9,0),"")</f>
        <v>Вакансия</v>
      </c>
      <c r="AB885" s="6" t="str">
        <f>IFERROR(VLOOKUP(D:D,[1]Габариты!$A:$D,4,0),"")</f>
        <v>КОМОДЫ</v>
      </c>
      <c r="AC885" s="39" t="str">
        <f t="shared" si="175"/>
        <v>MK2951701</v>
      </c>
      <c r="AD885" s="13" t="str">
        <f t="shared" si="176"/>
        <v>FBO</v>
      </c>
    </row>
    <row r="886" spans="1:30" s="6" customFormat="1" ht="20.100000000000001" customHeight="1" outlineLevel="1" x14ac:dyDescent="0.25">
      <c r="A886" s="636" t="s">
        <v>8101</v>
      </c>
      <c r="B886" s="29"/>
      <c r="C886" s="13" t="s">
        <v>4050</v>
      </c>
      <c r="D886" s="321" t="s">
        <v>8100</v>
      </c>
      <c r="E886" s="322">
        <v>14</v>
      </c>
      <c r="F886" s="323" t="s">
        <v>8246</v>
      </c>
      <c r="G886" s="324"/>
      <c r="H886" s="322" t="s">
        <v>8112</v>
      </c>
      <c r="I886" s="322"/>
      <c r="J886" s="322"/>
      <c r="K886" s="323"/>
      <c r="L886" s="324"/>
      <c r="M886" s="324"/>
      <c r="N886" s="322" t="s">
        <v>8107</v>
      </c>
      <c r="O886" s="322">
        <v>1801987954</v>
      </c>
      <c r="P886" s="322">
        <v>1801987954</v>
      </c>
      <c r="Q886" s="772"/>
      <c r="R886" s="772"/>
      <c r="S886" s="322"/>
      <c r="T886" s="322"/>
      <c r="U886" s="322"/>
      <c r="V886" s="322"/>
      <c r="W886" s="322"/>
      <c r="X886" s="322" t="s">
        <v>8107</v>
      </c>
      <c r="Y886" s="322"/>
      <c r="Z886" s="35"/>
      <c r="AA886" s="1" t="str">
        <f>IFERROR(VLOOKUP(D:D,[1]Габариты!$A:$I,9,0),"")</f>
        <v>Вакансия</v>
      </c>
      <c r="AB886" s="6" t="str">
        <f>IFERROR(VLOOKUP(D:D,[1]Габариты!$A:$D,4,0),"")</f>
        <v>КОМОДЫ</v>
      </c>
      <c r="AC886" s="39" t="str">
        <f t="shared" si="175"/>
        <v>4000.02.03/01</v>
      </c>
      <c r="AD886" s="13" t="str">
        <f t="shared" si="176"/>
        <v>СКГТ (ОЗОН)</v>
      </c>
    </row>
    <row r="887" spans="1:30" s="6" customFormat="1" ht="20.100000000000001" customHeight="1" outlineLevel="1" x14ac:dyDescent="0.25">
      <c r="A887" s="633" t="s">
        <v>5638</v>
      </c>
      <c r="B887" s="29"/>
      <c r="C887" s="13" t="s">
        <v>4050</v>
      </c>
      <c r="D887" s="40">
        <v>3872</v>
      </c>
      <c r="E887" s="4">
        <v>8</v>
      </c>
      <c r="F887" s="106">
        <v>3872</v>
      </c>
      <c r="G887" s="57" t="s">
        <v>5127</v>
      </c>
      <c r="H887" s="4" t="s">
        <v>6458</v>
      </c>
      <c r="I887" s="4"/>
      <c r="J887" s="4"/>
      <c r="K887" s="54" t="s">
        <v>7942</v>
      </c>
      <c r="L887" s="57">
        <v>1324983617</v>
      </c>
      <c r="M887" s="57">
        <v>1324983617</v>
      </c>
      <c r="N887" s="4" t="s">
        <v>7448</v>
      </c>
      <c r="O887" s="4">
        <v>1705548900</v>
      </c>
      <c r="P887" s="4">
        <v>1705548900</v>
      </c>
      <c r="Q887" s="767"/>
      <c r="R887" s="767"/>
      <c r="S887" s="4"/>
      <c r="T887" s="4"/>
      <c r="U887" s="4"/>
      <c r="V887" s="4"/>
      <c r="W887" s="4"/>
      <c r="X887" s="4" t="s">
        <v>7448</v>
      </c>
      <c r="Y887" s="4"/>
      <c r="Z887" s="35"/>
      <c r="AA887" s="1" t="str">
        <f>IFERROR(VLOOKUP(D:D,[1]Габариты!$A:$I,9,0),"")</f>
        <v>Вакансия</v>
      </c>
      <c r="AB887" s="6" t="str">
        <f>IFERROR(VLOOKUP(D:D,[1]Габариты!$A:$D,4,0),"")</f>
        <v>КОМОДЫ</v>
      </c>
      <c r="AC887" s="39">
        <f t="shared" si="175"/>
        <v>3872</v>
      </c>
      <c r="AD887" s="13" t="str">
        <f t="shared" si="176"/>
        <v>СКГТ (ОЗОН)</v>
      </c>
    </row>
    <row r="888" spans="1:30" s="6" customFormat="1" ht="20.100000000000001" customHeight="1" outlineLevel="1" x14ac:dyDescent="0.25">
      <c r="A888" s="699" t="s">
        <v>8142</v>
      </c>
      <c r="B888" s="29"/>
      <c r="C888" s="13" t="s">
        <v>4050</v>
      </c>
      <c r="D888" s="334">
        <v>3840</v>
      </c>
      <c r="E888" s="335">
        <v>10</v>
      </c>
      <c r="F888" s="336">
        <v>3840</v>
      </c>
      <c r="G888" s="337"/>
      <c r="H888" s="335" t="s">
        <v>8148</v>
      </c>
      <c r="I888" s="335"/>
      <c r="J888" s="335"/>
      <c r="K888" s="336"/>
      <c r="L888" s="337"/>
      <c r="M888" s="337"/>
      <c r="N888" s="335" t="s">
        <v>8178</v>
      </c>
      <c r="O888" s="335">
        <v>1823596233</v>
      </c>
      <c r="P888" s="335">
        <v>1823596233</v>
      </c>
      <c r="Q888" s="852"/>
      <c r="R888" s="852"/>
      <c r="S888" s="335"/>
      <c r="T888" s="335"/>
      <c r="U888" s="335"/>
      <c r="V888" s="335"/>
      <c r="W888" s="335"/>
      <c r="X888" s="335" t="s">
        <v>8178</v>
      </c>
      <c r="Y888" s="335"/>
      <c r="Z888" s="35"/>
      <c r="AA888" s="1" t="str">
        <f>IFERROR(VLOOKUP(D:D,[1]Габариты!$A:$I,9,0),"")</f>
        <v>Вакансия</v>
      </c>
      <c r="AB888" s="6" t="str">
        <f>IFERROR(VLOOKUP(D:D,[1]Габариты!$A:$D,4,0),"")</f>
        <v>КОМОДЫ</v>
      </c>
      <c r="AC888" s="39">
        <f t="shared" si="175"/>
        <v>3840</v>
      </c>
      <c r="AD888" s="13" t="str">
        <f t="shared" si="176"/>
        <v>СКГТ (ОЗОН)</v>
      </c>
    </row>
    <row r="889" spans="1:30" s="6" customFormat="1" ht="20.100000000000001" customHeight="1" outlineLevel="1" x14ac:dyDescent="0.2">
      <c r="A889" s="754" t="s">
        <v>431</v>
      </c>
      <c r="B889" s="756" t="s">
        <v>3846</v>
      </c>
      <c r="C889" s="13"/>
      <c r="D889" s="39"/>
      <c r="E889" s="4"/>
      <c r="F889" s="101"/>
      <c r="G889" s="57"/>
      <c r="H889" s="4"/>
      <c r="I889" s="4"/>
      <c r="J889" s="4"/>
      <c r="K889" s="54"/>
      <c r="L889" s="57"/>
      <c r="M889" s="57"/>
      <c r="N889" s="766"/>
      <c r="O889" s="4"/>
      <c r="P889" s="4"/>
      <c r="Q889" s="767"/>
      <c r="R889" s="767"/>
      <c r="S889" s="4"/>
      <c r="T889" s="4"/>
      <c r="U889" s="4"/>
      <c r="V889" s="4"/>
      <c r="W889" s="4"/>
      <c r="X889" s="4"/>
      <c r="Y889" s="4" t="s">
        <v>4066</v>
      </c>
      <c r="Z889" s="35"/>
      <c r="AA889" s="1" t="str">
        <f>IFERROR(VLOOKUP(D:D,[1]Габариты!$A:$I,9,0),"")</f>
        <v/>
      </c>
      <c r="AB889" s="6" t="str">
        <f>IFERROR(VLOOKUP(D:D,[1]Габариты!$A:$D,4,0),"")</f>
        <v/>
      </c>
      <c r="AC889" s="39"/>
      <c r="AD889" s="3"/>
    </row>
    <row r="890" spans="1:30" s="6" customFormat="1" ht="20.100000000000001" customHeight="1" outlineLevel="1" x14ac:dyDescent="0.25">
      <c r="A890" s="665" t="s">
        <v>132</v>
      </c>
      <c r="B890" s="5"/>
      <c r="C890" s="13" t="s">
        <v>2582</v>
      </c>
      <c r="D890" s="40">
        <v>1439</v>
      </c>
      <c r="E890" s="4"/>
      <c r="F890" s="101">
        <v>1439</v>
      </c>
      <c r="G890" s="57"/>
      <c r="H890" s="4" t="s">
        <v>7089</v>
      </c>
      <c r="I890" s="4" t="s">
        <v>1190</v>
      </c>
      <c r="J890" s="4"/>
      <c r="K890" s="54"/>
      <c r="L890" s="57"/>
      <c r="M890" s="57"/>
      <c r="N890" s="4" t="s">
        <v>2586</v>
      </c>
      <c r="O890" s="4">
        <v>283253203</v>
      </c>
      <c r="P890" s="4">
        <v>283253203</v>
      </c>
      <c r="Q890" s="767"/>
      <c r="R890" s="767"/>
      <c r="S890" s="4"/>
      <c r="T890" s="4"/>
      <c r="U890" s="4"/>
      <c r="V890" s="4"/>
      <c r="W890" s="4"/>
      <c r="X890" s="4"/>
      <c r="Y890" s="4" t="s">
        <v>4066</v>
      </c>
      <c r="Z890" s="35"/>
      <c r="AA890" s="1" t="str">
        <f>IFERROR(VLOOKUP(D:D,[1]Габариты!$A:$I,9,0),"")</f>
        <v>Вакансия</v>
      </c>
      <c r="AB890" s="6" t="str">
        <f>IFERROR(VLOOKUP(D:D,[1]Габариты!$A:$D,4,0),"")</f>
        <v>КОРОБКА</v>
      </c>
      <c r="AC890" s="39">
        <f t="shared" si="170"/>
        <v>1439</v>
      </c>
      <c r="AD890" s="13" t="str">
        <f t="shared" si="171"/>
        <v>FBO</v>
      </c>
    </row>
    <row r="891" spans="1:30" s="6" customFormat="1" ht="20.100000000000001" customHeight="1" outlineLevel="1" x14ac:dyDescent="0.25">
      <c r="A891" s="665" t="s">
        <v>131</v>
      </c>
      <c r="B891" s="5"/>
      <c r="C891" s="13" t="s">
        <v>2582</v>
      </c>
      <c r="D891" s="40">
        <v>739</v>
      </c>
      <c r="E891" s="4"/>
      <c r="F891" s="101">
        <v>739</v>
      </c>
      <c r="G891" s="57"/>
      <c r="H891" s="4" t="s">
        <v>7090</v>
      </c>
      <c r="I891" s="4" t="s">
        <v>1191</v>
      </c>
      <c r="J891" s="4"/>
      <c r="K891" s="54"/>
      <c r="L891" s="57"/>
      <c r="M891" s="57"/>
      <c r="N891" s="4" t="s">
        <v>852</v>
      </c>
      <c r="O891" s="4">
        <v>284352438</v>
      </c>
      <c r="P891" s="4">
        <v>284352438</v>
      </c>
      <c r="Q891" s="767"/>
      <c r="R891" s="767"/>
      <c r="S891" s="4"/>
      <c r="T891" s="4"/>
      <c r="U891" s="4"/>
      <c r="V891" s="4"/>
      <c r="W891" s="4"/>
      <c r="X891" s="4" t="s">
        <v>852</v>
      </c>
      <c r="Y891" s="4" t="s">
        <v>4066</v>
      </c>
      <c r="Z891" s="35"/>
      <c r="AA891" s="1" t="str">
        <f>IFERROR(VLOOKUP(D:D,[1]Габариты!$A:$I,9,0),"")</f>
        <v>Вакансия</v>
      </c>
      <c r="AB891" s="6" t="str">
        <f>IFERROR(VLOOKUP(D:D,[1]Габариты!$A:$D,4,0),"")</f>
        <v>КОРОБКА</v>
      </c>
      <c r="AC891" s="39">
        <f t="shared" si="170"/>
        <v>739</v>
      </c>
      <c r="AD891" s="13" t="str">
        <f t="shared" si="171"/>
        <v>FBO</v>
      </c>
    </row>
    <row r="892" spans="1:30" s="6" customFormat="1" ht="20.100000000000001" customHeight="1" outlineLevel="1" x14ac:dyDescent="0.25">
      <c r="A892" s="665" t="s">
        <v>327</v>
      </c>
      <c r="B892" s="5"/>
      <c r="C892" s="13" t="s">
        <v>2582</v>
      </c>
      <c r="D892" s="40">
        <v>20039</v>
      </c>
      <c r="E892" s="4"/>
      <c r="F892" s="101">
        <v>20039</v>
      </c>
      <c r="G892" s="57"/>
      <c r="H892" s="4" t="s">
        <v>7091</v>
      </c>
      <c r="I892" s="4" t="s">
        <v>1192</v>
      </c>
      <c r="J892" s="4"/>
      <c r="K892" s="54"/>
      <c r="L892" s="57"/>
      <c r="M892" s="57"/>
      <c r="N892" s="4" t="s">
        <v>853</v>
      </c>
      <c r="O892" s="4">
        <v>284355221</v>
      </c>
      <c r="P892" s="4">
        <v>284355221</v>
      </c>
      <c r="Q892" s="767"/>
      <c r="R892" s="767"/>
      <c r="S892" s="4"/>
      <c r="T892" s="4"/>
      <c r="U892" s="4"/>
      <c r="V892" s="4"/>
      <c r="W892" s="4"/>
      <c r="X892" s="4" t="s">
        <v>853</v>
      </c>
      <c r="Y892" s="4" t="s">
        <v>4066</v>
      </c>
      <c r="Z892" s="35"/>
      <c r="AA892" s="1" t="str">
        <f>IFERROR(VLOOKUP(D:D,[1]Габариты!$A:$I,9,0),"")</f>
        <v>Вакансия</v>
      </c>
      <c r="AB892" s="6" t="str">
        <f>IFERROR(VLOOKUP(D:D,[1]Габариты!$A:$D,4,0),"")</f>
        <v>КОРОБКА</v>
      </c>
      <c r="AC892" s="39">
        <f t="shared" si="170"/>
        <v>20039</v>
      </c>
      <c r="AD892" s="13" t="str">
        <f t="shared" si="171"/>
        <v>FBO</v>
      </c>
    </row>
    <row r="893" spans="1:30" s="6" customFormat="1" ht="20.100000000000001" customHeight="1" outlineLevel="1" x14ac:dyDescent="0.25">
      <c r="A893" s="665" t="s">
        <v>1140</v>
      </c>
      <c r="B893" s="5"/>
      <c r="C893" s="13" t="s">
        <v>2582</v>
      </c>
      <c r="D893" s="40">
        <v>139</v>
      </c>
      <c r="E893" s="4"/>
      <c r="F893" s="101">
        <v>139</v>
      </c>
      <c r="G893" s="57"/>
      <c r="H893" s="4"/>
      <c r="I893" s="4" t="s">
        <v>1379</v>
      </c>
      <c r="J893" s="4"/>
      <c r="K893" s="54"/>
      <c r="L893" s="57"/>
      <c r="M893" s="57"/>
      <c r="N893" s="766"/>
      <c r="O893" s="4"/>
      <c r="P893" s="4"/>
      <c r="Q893" s="767"/>
      <c r="R893" s="767"/>
      <c r="S893" s="4"/>
      <c r="T893" s="4"/>
      <c r="U893" s="4"/>
      <c r="V893" s="4"/>
      <c r="W893" s="4"/>
      <c r="X893" s="4"/>
      <c r="Y893" s="4" t="s">
        <v>4066</v>
      </c>
      <c r="Z893" s="35"/>
      <c r="AA893" s="1" t="str">
        <f>IFERROR(VLOOKUP(D:D,[1]Габариты!$A:$I,9,0),"")</f>
        <v>Вакансия</v>
      </c>
      <c r="AB893" s="6" t="str">
        <f>IFERROR(VLOOKUP(D:D,[1]Габариты!$A:$D,4,0),"")</f>
        <v>КОРОБКА</v>
      </c>
      <c r="AC893" s="39">
        <f t="shared" si="170"/>
        <v>139</v>
      </c>
      <c r="AD893" s="13" t="str">
        <f t="shared" si="171"/>
        <v>FBO</v>
      </c>
    </row>
    <row r="894" spans="1:30" s="6" customFormat="1" ht="20.100000000000001" customHeight="1" outlineLevel="1" x14ac:dyDescent="0.25">
      <c r="A894" s="665" t="s">
        <v>1715</v>
      </c>
      <c r="B894" s="5"/>
      <c r="C894" s="13" t="s">
        <v>2581</v>
      </c>
      <c r="D894" s="40" t="s">
        <v>3667</v>
      </c>
      <c r="E894" s="4"/>
      <c r="F894" s="101" t="s">
        <v>4701</v>
      </c>
      <c r="G894" s="57" t="s">
        <v>5233</v>
      </c>
      <c r="H894" s="4" t="s">
        <v>7092</v>
      </c>
      <c r="I894" s="4"/>
      <c r="J894" s="4"/>
      <c r="K894" s="54" t="s">
        <v>4701</v>
      </c>
      <c r="L894" s="57">
        <v>1342988310</v>
      </c>
      <c r="M894" s="57">
        <v>1342988310</v>
      </c>
      <c r="N894" s="4" t="s">
        <v>1798</v>
      </c>
      <c r="O894" s="4">
        <v>862389257</v>
      </c>
      <c r="P894" s="4">
        <v>862389257</v>
      </c>
      <c r="Q894" s="767"/>
      <c r="R894" s="767"/>
      <c r="S894" s="4"/>
      <c r="T894" s="4"/>
      <c r="U894" s="4"/>
      <c r="V894" s="4"/>
      <c r="W894" s="4"/>
      <c r="X894" s="4" t="s">
        <v>1798</v>
      </c>
      <c r="Y894" s="4" t="s">
        <v>4066</v>
      </c>
      <c r="Z894" s="35"/>
      <c r="AA894" s="1" t="str">
        <f>IFERROR(VLOOKUP(D:D,[1]Габариты!$A:$I,9,0),"")</f>
        <v>Вакансия</v>
      </c>
      <c r="AB894" s="6" t="str">
        <f>IFERROR(VLOOKUP(D:D,[1]Габариты!$A:$D,4,0),"")</f>
        <v>ОРГАНАЙЗЕР</v>
      </c>
      <c r="AC894" s="39" t="str">
        <f t="shared" si="170"/>
        <v>ПШ13604</v>
      </c>
      <c r="AD894" s="13" t="str">
        <f t="shared" si="171"/>
        <v>FBS</v>
      </c>
    </row>
    <row r="895" spans="1:30" s="6" customFormat="1" ht="20.100000000000001" customHeight="1" outlineLevel="1" x14ac:dyDescent="0.25">
      <c r="A895" s="665" t="s">
        <v>1716</v>
      </c>
      <c r="B895" s="5"/>
      <c r="C895" s="13" t="s">
        <v>2581</v>
      </c>
      <c r="D895" s="40" t="s">
        <v>1718</v>
      </c>
      <c r="E895" s="4">
        <v>12</v>
      </c>
      <c r="F895" s="101" t="s">
        <v>5912</v>
      </c>
      <c r="G895" s="57" t="s">
        <v>5945</v>
      </c>
      <c r="H895" s="4" t="s">
        <v>7093</v>
      </c>
      <c r="I895" s="4"/>
      <c r="J895" s="4"/>
      <c r="K895" s="54" t="s">
        <v>5912</v>
      </c>
      <c r="L895" s="57">
        <v>1342997564</v>
      </c>
      <c r="M895" s="57">
        <v>1342997564</v>
      </c>
      <c r="N895" s="4" t="s">
        <v>2587</v>
      </c>
      <c r="O895" s="4">
        <v>851870414</v>
      </c>
      <c r="P895" s="4">
        <v>851870414</v>
      </c>
      <c r="Q895" s="767"/>
      <c r="R895" s="767"/>
      <c r="S895" s="4"/>
      <c r="T895" s="4"/>
      <c r="U895" s="4"/>
      <c r="V895" s="4"/>
      <c r="W895" s="4"/>
      <c r="X895" s="4"/>
      <c r="Y895" s="4" t="s">
        <v>4066</v>
      </c>
      <c r="Z895" s="35"/>
      <c r="AA895" s="1" t="str">
        <f>IFERROR(VLOOKUP(D:D,[1]Габариты!$A:$I,9,0),"")</f>
        <v>Вакансия</v>
      </c>
      <c r="AB895" s="6" t="str">
        <f>IFERROR(VLOOKUP(D:D,[1]Габариты!$A:$D,4,0),"")</f>
        <v>ОРГАНАЙЗЕР</v>
      </c>
      <c r="AC895" s="39" t="str">
        <f t="shared" si="170"/>
        <v>ПШ14202</v>
      </c>
      <c r="AD895" s="13" t="str">
        <f t="shared" si="171"/>
        <v>FBS</v>
      </c>
    </row>
    <row r="896" spans="1:30" s="6" customFormat="1" ht="20.100000000000001" customHeight="1" outlineLevel="1" x14ac:dyDescent="0.25">
      <c r="A896" s="665" t="s">
        <v>1717</v>
      </c>
      <c r="B896" s="5"/>
      <c r="C896" s="13" t="s">
        <v>2581</v>
      </c>
      <c r="D896" s="40" t="s">
        <v>1719</v>
      </c>
      <c r="E896" s="4">
        <v>12</v>
      </c>
      <c r="F896" s="101" t="s">
        <v>5913</v>
      </c>
      <c r="G896" s="57" t="s">
        <v>5946</v>
      </c>
      <c r="H896" s="4" t="s">
        <v>7094</v>
      </c>
      <c r="I896" s="4"/>
      <c r="J896" s="4"/>
      <c r="K896" s="54" t="s">
        <v>5913</v>
      </c>
      <c r="L896" s="57">
        <v>1342997926</v>
      </c>
      <c r="M896" s="57">
        <v>1342997926</v>
      </c>
      <c r="N896" s="4" t="s">
        <v>1803</v>
      </c>
      <c r="O896" s="4">
        <v>851870497</v>
      </c>
      <c r="P896" s="4">
        <v>851870495</v>
      </c>
      <c r="Q896" s="767"/>
      <c r="R896" s="767"/>
      <c r="S896" s="4"/>
      <c r="T896" s="4"/>
      <c r="U896" s="4"/>
      <c r="V896" s="4"/>
      <c r="W896" s="4"/>
      <c r="X896" s="4" t="s">
        <v>1803</v>
      </c>
      <c r="Y896" s="4" t="s">
        <v>4066</v>
      </c>
      <c r="Z896" s="35"/>
      <c r="AA896" s="1" t="str">
        <f>IFERROR(VLOOKUP(D:D,[1]Габариты!$A:$I,9,0),"")</f>
        <v>Вакансия</v>
      </c>
      <c r="AB896" s="6" t="str">
        <f>IFERROR(VLOOKUP(D:D,[1]Габариты!$A:$D,4,0),"")</f>
        <v>ОРГАНАЙЗЕР</v>
      </c>
      <c r="AC896" s="39" t="str">
        <f t="shared" si="170"/>
        <v>ПШ14204</v>
      </c>
      <c r="AD896" s="13" t="str">
        <f t="shared" si="171"/>
        <v>FBS</v>
      </c>
    </row>
    <row r="897" spans="1:30" s="6" customFormat="1" ht="20.100000000000001" customHeight="1" outlineLevel="1" x14ac:dyDescent="0.2">
      <c r="A897" s="754" t="s">
        <v>432</v>
      </c>
      <c r="B897" s="756" t="s">
        <v>3846</v>
      </c>
      <c r="C897" s="13"/>
      <c r="D897" s="39"/>
      <c r="E897" s="4"/>
      <c r="F897" s="101"/>
      <c r="G897" s="57"/>
      <c r="H897" s="4"/>
      <c r="I897" s="4"/>
      <c r="J897" s="4"/>
      <c r="K897" s="54"/>
      <c r="L897" s="57"/>
      <c r="M897" s="57"/>
      <c r="N897" s="766"/>
      <c r="O897" s="4"/>
      <c r="P897" s="4"/>
      <c r="Q897" s="767"/>
      <c r="R897" s="767"/>
      <c r="S897" s="4"/>
      <c r="T897" s="4"/>
      <c r="U897" s="4"/>
      <c r="V897" s="4"/>
      <c r="W897" s="4"/>
      <c r="X897" s="4"/>
      <c r="Y897" s="4" t="s">
        <v>4066</v>
      </c>
      <c r="Z897" s="35"/>
      <c r="AA897" s="1" t="str">
        <f>IFERROR(VLOOKUP(D:D,[1]Габариты!$A:$I,9,0),"")</f>
        <v/>
      </c>
      <c r="AB897" s="6" t="str">
        <f>IFERROR(VLOOKUP(D:D,[1]Габариты!$A:$D,4,0),"")</f>
        <v/>
      </c>
      <c r="AC897" s="39"/>
      <c r="AD897" s="3"/>
    </row>
    <row r="898" spans="1:30" s="6" customFormat="1" ht="20.100000000000001" customHeight="1" outlineLevel="1" x14ac:dyDescent="0.25">
      <c r="A898" s="635" t="s">
        <v>408</v>
      </c>
      <c r="B898" s="3"/>
      <c r="C898" s="13" t="s">
        <v>3172</v>
      </c>
      <c r="D898" s="39" t="s">
        <v>22</v>
      </c>
      <c r="E898" s="4">
        <v>4</v>
      </c>
      <c r="F898" s="101" t="s">
        <v>22</v>
      </c>
      <c r="G898" s="57"/>
      <c r="H898" s="4" t="s">
        <v>7095</v>
      </c>
      <c r="I898" s="4"/>
      <c r="J898" s="4"/>
      <c r="K898" s="54"/>
      <c r="L898" s="57"/>
      <c r="M898" s="57"/>
      <c r="N898" s="4" t="s">
        <v>2588</v>
      </c>
      <c r="O898" s="4">
        <v>264443912</v>
      </c>
      <c r="P898" s="4">
        <v>264443915</v>
      </c>
      <c r="Q898" s="767" t="s">
        <v>2723</v>
      </c>
      <c r="R898" s="767">
        <v>343636977</v>
      </c>
      <c r="S898" s="4">
        <v>343636995</v>
      </c>
      <c r="T898" s="4"/>
      <c r="U898" s="4"/>
      <c r="V898" s="4"/>
      <c r="W898" s="4" t="s">
        <v>22</v>
      </c>
      <c r="X898" s="4"/>
      <c r="Y898" s="4" t="s">
        <v>4066</v>
      </c>
      <c r="Z898" s="35"/>
      <c r="AA898" s="1" t="str">
        <f>IFERROR(VLOOKUP(D:D,[1]Габариты!$A:$I,9,0),"")</f>
        <v>Вакансия</v>
      </c>
      <c r="AB898" s="6" t="str">
        <f>IFERROR(VLOOKUP(D:D,[1]Габариты!$A:$D,4,0),"")</f>
        <v>КРЕСЛО-КРОВАТЬ</v>
      </c>
      <c r="AC898" s="39" t="str">
        <f t="shared" si="170"/>
        <v>М0763</v>
      </c>
      <c r="AD898" s="13" t="str">
        <f t="shared" si="171"/>
        <v xml:space="preserve">СКГТ </v>
      </c>
    </row>
    <row r="899" spans="1:30" s="6" customFormat="1" ht="20.100000000000001" customHeight="1" outlineLevel="1" x14ac:dyDescent="0.25">
      <c r="A899" s="635" t="s">
        <v>406</v>
      </c>
      <c r="B899" s="3"/>
      <c r="C899" s="13" t="s">
        <v>3172</v>
      </c>
      <c r="D899" s="39" t="s">
        <v>23</v>
      </c>
      <c r="E899" s="4">
        <v>4</v>
      </c>
      <c r="F899" s="101" t="s">
        <v>23</v>
      </c>
      <c r="G899" s="57"/>
      <c r="H899" s="4"/>
      <c r="I899" s="4"/>
      <c r="J899" s="4"/>
      <c r="K899" s="54"/>
      <c r="L899" s="57"/>
      <c r="M899" s="57"/>
      <c r="N899" s="4" t="s">
        <v>2589</v>
      </c>
      <c r="O899" s="4">
        <v>264444223</v>
      </c>
      <c r="P899" s="4">
        <v>264444226</v>
      </c>
      <c r="Q899" s="767" t="s">
        <v>2724</v>
      </c>
      <c r="R899" s="767">
        <v>358893326</v>
      </c>
      <c r="S899" s="4">
        <v>358893327</v>
      </c>
      <c r="T899" s="4"/>
      <c r="U899" s="4"/>
      <c r="V899" s="4"/>
      <c r="W899" s="4" t="s">
        <v>23</v>
      </c>
      <c r="X899" s="4"/>
      <c r="Y899" s="4" t="s">
        <v>4066</v>
      </c>
      <c r="Z899" s="35"/>
      <c r="AA899" s="1" t="str">
        <f>IFERROR(VLOOKUP(D:D,[1]Габариты!$A:$I,9,0),"")</f>
        <v>Вакансия</v>
      </c>
      <c r="AB899" s="6" t="str">
        <f>IFERROR(VLOOKUP(D:D,[1]Габариты!$A:$D,4,0),"")</f>
        <v>КРЕСЛО-КРОВАТЬ</v>
      </c>
      <c r="AC899" s="39" t="str">
        <f t="shared" si="170"/>
        <v>М0761</v>
      </c>
      <c r="AD899" s="13" t="str">
        <f t="shared" si="171"/>
        <v xml:space="preserve">СКГТ </v>
      </c>
    </row>
    <row r="900" spans="1:30" s="6" customFormat="1" ht="20.100000000000001" customHeight="1" outlineLevel="1" x14ac:dyDescent="0.25">
      <c r="A900" s="635" t="s">
        <v>407</v>
      </c>
      <c r="B900" s="3"/>
      <c r="C900" s="13" t="s">
        <v>3172</v>
      </c>
      <c r="D900" s="39" t="s">
        <v>24</v>
      </c>
      <c r="E900" s="4">
        <v>4</v>
      </c>
      <c r="F900" s="101" t="s">
        <v>24</v>
      </c>
      <c r="G900" s="57" t="s">
        <v>5730</v>
      </c>
      <c r="H900" s="4" t="s">
        <v>7096</v>
      </c>
      <c r="I900" s="4"/>
      <c r="J900" s="4"/>
      <c r="K900" s="54" t="s">
        <v>24</v>
      </c>
      <c r="L900" s="57">
        <v>238327019</v>
      </c>
      <c r="M900" s="57">
        <v>238327019</v>
      </c>
      <c r="N900" s="766"/>
      <c r="O900" s="4"/>
      <c r="P900" s="4"/>
      <c r="Q900" s="767" t="s">
        <v>2725</v>
      </c>
      <c r="R900" s="767">
        <v>358930137</v>
      </c>
      <c r="S900" s="4">
        <v>358930138</v>
      </c>
      <c r="T900" s="4"/>
      <c r="U900" s="4"/>
      <c r="V900" s="4"/>
      <c r="W900" s="4" t="s">
        <v>24</v>
      </c>
      <c r="X900" s="4" t="s">
        <v>854</v>
      </c>
      <c r="Y900" s="4" t="s">
        <v>4066</v>
      </c>
      <c r="Z900" s="35"/>
      <c r="AA900" s="1" t="str">
        <f>IFERROR(VLOOKUP(D:D,[1]Габариты!$A:$I,9,0),"")</f>
        <v>Вакансия</v>
      </c>
      <c r="AB900" s="6" t="str">
        <f>IFERROR(VLOOKUP(D:D,[1]Габариты!$A:$D,4,0),"")</f>
        <v>КРЕСЛО-КРОВАТЬ</v>
      </c>
      <c r="AC900" s="39" t="str">
        <f t="shared" si="170"/>
        <v>М0762</v>
      </c>
      <c r="AD900" s="13" t="str">
        <f t="shared" si="171"/>
        <v xml:space="preserve">СКГТ </v>
      </c>
    </row>
    <row r="901" spans="1:30" s="6" customFormat="1" ht="20.100000000000001" customHeight="1" outlineLevel="1" x14ac:dyDescent="0.25">
      <c r="A901" s="635" t="s">
        <v>807</v>
      </c>
      <c r="B901" s="3"/>
      <c r="C901" s="13" t="s">
        <v>3172</v>
      </c>
      <c r="D901" s="39" t="s">
        <v>1349</v>
      </c>
      <c r="E901" s="4">
        <v>4</v>
      </c>
      <c r="F901" s="101" t="s">
        <v>1349</v>
      </c>
      <c r="G901" s="57"/>
      <c r="H901" s="4" t="s">
        <v>7097</v>
      </c>
      <c r="I901" s="4"/>
      <c r="J901" s="4"/>
      <c r="K901" s="54" t="s">
        <v>1349</v>
      </c>
      <c r="L901" s="57">
        <v>513118278</v>
      </c>
      <c r="M901" s="57">
        <v>513118278</v>
      </c>
      <c r="N901" s="766"/>
      <c r="O901" s="4"/>
      <c r="P901" s="4"/>
      <c r="Q901" s="767"/>
      <c r="R901" s="767"/>
      <c r="S901" s="4"/>
      <c r="T901" s="4"/>
      <c r="U901" s="4"/>
      <c r="V901" s="4"/>
      <c r="W901" s="4" t="s">
        <v>2160</v>
      </c>
      <c r="X901" s="4" t="s">
        <v>1811</v>
      </c>
      <c r="Y901" s="4" t="s">
        <v>4066</v>
      </c>
      <c r="Z901" s="35"/>
      <c r="AA901" s="1" t="str">
        <f>IFERROR(VLOOKUP(D:D,[1]Габариты!$A:$I,9,0),"")</f>
        <v>Вакансия</v>
      </c>
      <c r="AB901" s="6" t="str">
        <f>IFERROR(VLOOKUP(D:D,[1]Габариты!$A:$D,4,0),"")</f>
        <v>КРЕСЛО-КРОВАТЬ</v>
      </c>
      <c r="AC901" s="39" t="str">
        <f t="shared" si="170"/>
        <v>М0766</v>
      </c>
      <c r="AD901" s="13" t="str">
        <f t="shared" si="171"/>
        <v xml:space="preserve">СКГТ </v>
      </c>
    </row>
    <row r="902" spans="1:30" s="6" customFormat="1" ht="20.100000000000001" customHeight="1" outlineLevel="1" x14ac:dyDescent="0.25">
      <c r="A902" s="635" t="s">
        <v>1049</v>
      </c>
      <c r="B902" s="3"/>
      <c r="C902" s="13" t="s">
        <v>3172</v>
      </c>
      <c r="D902" s="39" t="s">
        <v>1050</v>
      </c>
      <c r="E902" s="4"/>
      <c r="F902" s="101" t="s">
        <v>1050</v>
      </c>
      <c r="G902" s="57"/>
      <c r="H902" s="4" t="s">
        <v>7098</v>
      </c>
      <c r="I902" s="4"/>
      <c r="J902" s="4"/>
      <c r="K902" s="54" t="s">
        <v>1050</v>
      </c>
      <c r="L902" s="57">
        <v>649329547</v>
      </c>
      <c r="M902" s="57">
        <v>649329547</v>
      </c>
      <c r="N902" s="766"/>
      <c r="O902" s="4"/>
      <c r="P902" s="4"/>
      <c r="Q902" s="767"/>
      <c r="R902" s="767"/>
      <c r="S902" s="4"/>
      <c r="T902" s="4"/>
      <c r="U902" s="4"/>
      <c r="V902" s="4"/>
      <c r="W902" s="4"/>
      <c r="X902" s="4" t="s">
        <v>1805</v>
      </c>
      <c r="Y902" s="4" t="s">
        <v>4066</v>
      </c>
      <c r="Z902" s="35"/>
      <c r="AA902" s="1" t="str">
        <f>IFERROR(VLOOKUP(D:D,[1]Габариты!$A:$I,9,0),"")</f>
        <v>Вакансия</v>
      </c>
      <c r="AB902" s="6" t="str">
        <f>IFERROR(VLOOKUP(D:D,[1]Габариты!$A:$D,4,0),"")</f>
        <v>КРЕСЛО-КРОВАТЬ</v>
      </c>
      <c r="AC902" s="39" t="str">
        <f t="shared" si="170"/>
        <v>М0768</v>
      </c>
      <c r="AD902" s="13" t="str">
        <f t="shared" si="171"/>
        <v xml:space="preserve">СКГТ </v>
      </c>
    </row>
    <row r="903" spans="1:30" s="6" customFormat="1" ht="20.100000000000001" customHeight="1" outlineLevel="1" x14ac:dyDescent="0.25">
      <c r="A903" s="635" t="s">
        <v>967</v>
      </c>
      <c r="B903" s="3"/>
      <c r="C903" s="13" t="s">
        <v>4050</v>
      </c>
      <c r="D903" s="39" t="s">
        <v>968</v>
      </c>
      <c r="E903" s="4">
        <v>4</v>
      </c>
      <c r="F903" s="101" t="s">
        <v>968</v>
      </c>
      <c r="G903" s="57"/>
      <c r="H903" s="4" t="s">
        <v>7099</v>
      </c>
      <c r="I903" s="4"/>
      <c r="J903" s="4"/>
      <c r="K903" s="54" t="s">
        <v>968</v>
      </c>
      <c r="L903" s="57">
        <v>554280305</v>
      </c>
      <c r="M903" s="57">
        <v>554280305</v>
      </c>
      <c r="N903" s="766"/>
      <c r="O903" s="4"/>
      <c r="P903" s="4"/>
      <c r="Q903" s="767"/>
      <c r="R903" s="767"/>
      <c r="S903" s="4"/>
      <c r="T903" s="4"/>
      <c r="U903" s="4"/>
      <c r="V903" s="4"/>
      <c r="W903" s="4"/>
      <c r="X903" s="4" t="s">
        <v>1804</v>
      </c>
      <c r="Y903" s="4" t="s">
        <v>4066</v>
      </c>
      <c r="Z903" s="35"/>
      <c r="AA903" s="1" t="str">
        <f>IFERROR(VLOOKUP(D:D,[1]Габариты!$A:$I,9,0),"")</f>
        <v>Вакансия</v>
      </c>
      <c r="AB903" s="6" t="str">
        <f>IFERROR(VLOOKUP(D:D,[1]Габариты!$A:$D,4,0),"")</f>
        <v>КРЕСЛО-КРОВАТЬ</v>
      </c>
      <c r="AC903" s="39" t="str">
        <f t="shared" si="170"/>
        <v>М0767</v>
      </c>
      <c r="AD903" s="13" t="str">
        <f t="shared" si="171"/>
        <v>СКГТ (ОЗОН)</v>
      </c>
    </row>
    <row r="904" spans="1:30" s="6" customFormat="1" ht="20.100000000000001" customHeight="1" outlineLevel="1" x14ac:dyDescent="0.2">
      <c r="A904" s="754" t="s">
        <v>7559</v>
      </c>
      <c r="B904" s="756" t="s">
        <v>3846</v>
      </c>
      <c r="C904" s="13"/>
      <c r="D904" s="39"/>
      <c r="E904" s="4"/>
      <c r="F904" s="101"/>
      <c r="G904" s="57"/>
      <c r="H904" s="4"/>
      <c r="I904" s="4"/>
      <c r="J904" s="4"/>
      <c r="K904" s="54"/>
      <c r="L904" s="57"/>
      <c r="M904" s="57"/>
      <c r="N904" s="766"/>
      <c r="O904" s="4"/>
      <c r="P904" s="4"/>
      <c r="Q904" s="767"/>
      <c r="R904" s="767"/>
      <c r="S904" s="4"/>
      <c r="T904" s="4"/>
      <c r="U904" s="4"/>
      <c r="V904" s="4"/>
      <c r="W904" s="4"/>
      <c r="X904" s="4"/>
      <c r="Y904" s="4" t="s">
        <v>4066</v>
      </c>
      <c r="Z904" s="35"/>
      <c r="AA904" s="1" t="str">
        <f>IFERROR(VLOOKUP(D:D,[1]Габариты!$A:$I,9,0),"")</f>
        <v/>
      </c>
      <c r="AB904" s="6" t="str">
        <f>IFERROR(VLOOKUP(D:D,[1]Габариты!$A:$D,4,0),"")</f>
        <v/>
      </c>
      <c r="AC904" s="39"/>
      <c r="AD904" s="3"/>
    </row>
    <row r="905" spans="1:30" s="6" customFormat="1" ht="20.100000000000001" customHeight="1" outlineLevel="1" x14ac:dyDescent="0.25">
      <c r="A905" s="702" t="s">
        <v>7561</v>
      </c>
      <c r="B905" s="171"/>
      <c r="C905" s="13" t="s">
        <v>4050</v>
      </c>
      <c r="D905" s="165" t="s">
        <v>7560</v>
      </c>
      <c r="E905" s="166">
        <v>9</v>
      </c>
      <c r="F905" s="167" t="s">
        <v>7970</v>
      </c>
      <c r="G905" s="168" t="s">
        <v>7606</v>
      </c>
      <c r="H905" s="166" t="s">
        <v>7562</v>
      </c>
      <c r="I905" s="166"/>
      <c r="J905" s="166"/>
      <c r="K905" s="167" t="s">
        <v>7970</v>
      </c>
      <c r="L905" s="168"/>
      <c r="M905" s="168"/>
      <c r="N905" s="166" t="s">
        <v>7969</v>
      </c>
      <c r="O905" s="166">
        <v>1719603312</v>
      </c>
      <c r="P905" s="166">
        <v>1719603312</v>
      </c>
      <c r="Q905" s="793"/>
      <c r="R905" s="793"/>
      <c r="S905" s="166"/>
      <c r="T905" s="166"/>
      <c r="U905" s="166"/>
      <c r="V905" s="166"/>
      <c r="W905" s="166"/>
      <c r="X905" s="166" t="s">
        <v>7969</v>
      </c>
      <c r="Y905" s="166"/>
      <c r="Z905" s="35"/>
      <c r="AA905" s="1" t="str">
        <f>IFERROR(VLOOKUP(D:D,[1]Габариты!$A:$I,9,0),"")</f>
        <v>Вакансия</v>
      </c>
      <c r="AB905" s="6" t="str">
        <f>IFERROR(VLOOKUP(D:D,[1]Габариты!$A:$D,4,0),"")</f>
        <v>КРОВАТИ</v>
      </c>
      <c r="AC905" s="39" t="str">
        <f>D905</f>
        <v>MK3431701</v>
      </c>
      <c r="AD905" s="13" t="str">
        <f>C905</f>
        <v>СКГТ (ОЗОН)</v>
      </c>
    </row>
    <row r="906" spans="1:30" s="1" customFormat="1" ht="20.100000000000001" customHeight="1" outlineLevel="1" x14ac:dyDescent="0.2">
      <c r="A906" s="754" t="s">
        <v>433</v>
      </c>
      <c r="B906" s="756" t="s">
        <v>3846</v>
      </c>
      <c r="C906" s="13"/>
      <c r="D906" s="42"/>
      <c r="E906" s="4"/>
      <c r="F906" s="101"/>
      <c r="G906" s="57"/>
      <c r="H906" s="4"/>
      <c r="I906" s="4"/>
      <c r="J906" s="4"/>
      <c r="K906" s="54"/>
      <c r="L906" s="57"/>
      <c r="M906" s="57"/>
      <c r="N906" s="766"/>
      <c r="O906" s="4"/>
      <c r="P906" s="4"/>
      <c r="Q906" s="767"/>
      <c r="R906" s="767"/>
      <c r="S906" s="4"/>
      <c r="T906" s="4"/>
      <c r="U906" s="4"/>
      <c r="V906" s="4"/>
      <c r="W906" s="4"/>
      <c r="X906" s="4"/>
      <c r="Y906" s="4" t="s">
        <v>4066</v>
      </c>
      <c r="Z906" s="35"/>
      <c r="AA906" s="1" t="str">
        <f>IFERROR(VLOOKUP(D:D,[1]Габариты!$A:$I,9,0),"")</f>
        <v/>
      </c>
      <c r="AB906" s="6" t="str">
        <f>IFERROR(VLOOKUP(D:D,[1]Габариты!$A:$D,4,0),"")</f>
        <v/>
      </c>
      <c r="AC906" s="39"/>
      <c r="AD906" s="3"/>
    </row>
    <row r="907" spans="1:30" s="6" customFormat="1" ht="20.100000000000001" customHeight="1" outlineLevel="1" x14ac:dyDescent="0.25">
      <c r="A907" s="635" t="s">
        <v>391</v>
      </c>
      <c r="B907" s="3"/>
      <c r="C907" s="13" t="s">
        <v>3172</v>
      </c>
      <c r="D907" s="39" t="s">
        <v>14</v>
      </c>
      <c r="E907" s="4">
        <v>6</v>
      </c>
      <c r="F907" s="101" t="s">
        <v>14</v>
      </c>
      <c r="G907" s="57" t="s">
        <v>6123</v>
      </c>
      <c r="H907" s="4"/>
      <c r="I907" s="4"/>
      <c r="J907" s="4"/>
      <c r="K907" s="54"/>
      <c r="L907" s="57"/>
      <c r="M907" s="57"/>
      <c r="N907" s="766"/>
      <c r="O907" s="4"/>
      <c r="P907" s="4"/>
      <c r="Q907" s="767"/>
      <c r="R907" s="767"/>
      <c r="S907" s="4"/>
      <c r="T907" s="4"/>
      <c r="U907" s="4"/>
      <c r="V907" s="4"/>
      <c r="W907" s="4" t="s">
        <v>14</v>
      </c>
      <c r="X907" s="4"/>
      <c r="Y907" s="4" t="s">
        <v>4066</v>
      </c>
      <c r="Z907" s="35"/>
      <c r="AA907" s="1" t="str">
        <f>IFERROR(VLOOKUP(D:D,[1]Габариты!$A:$I,9,0),"")</f>
        <v>Вакансия</v>
      </c>
      <c r="AB907" s="6" t="str">
        <f>IFERROR(VLOOKUP(D:D,[1]Габариты!$A:$D,4,0),"")</f>
        <v>КРЕСЛО-МЕШОК</v>
      </c>
      <c r="AC907" s="39" t="str">
        <f t="shared" si="170"/>
        <v>М0131</v>
      </c>
      <c r="AD907" s="13" t="str">
        <f t="shared" si="171"/>
        <v xml:space="preserve">СКГТ </v>
      </c>
    </row>
    <row r="908" spans="1:30" s="6" customFormat="1" ht="20.100000000000001" customHeight="1" outlineLevel="1" x14ac:dyDescent="0.25">
      <c r="A908" s="635" t="s">
        <v>394</v>
      </c>
      <c r="B908" s="3"/>
      <c r="C908" s="13" t="s">
        <v>3172</v>
      </c>
      <c r="D908" s="39" t="s">
        <v>16</v>
      </c>
      <c r="E908" s="4">
        <v>6</v>
      </c>
      <c r="F908" s="101" t="s">
        <v>16</v>
      </c>
      <c r="G908" s="57" t="s">
        <v>6145</v>
      </c>
      <c r="H908" s="4"/>
      <c r="I908" s="4"/>
      <c r="J908" s="4"/>
      <c r="K908" s="54" t="s">
        <v>16</v>
      </c>
      <c r="L908" s="57">
        <v>254051567</v>
      </c>
      <c r="M908" s="57">
        <v>254051567</v>
      </c>
      <c r="N908" s="766"/>
      <c r="O908" s="4"/>
      <c r="P908" s="4"/>
      <c r="Q908" s="767"/>
      <c r="R908" s="767"/>
      <c r="S908" s="4"/>
      <c r="T908" s="4"/>
      <c r="U908" s="4"/>
      <c r="V908" s="4"/>
      <c r="W908" s="4" t="s">
        <v>16</v>
      </c>
      <c r="X908" s="4"/>
      <c r="Y908" s="4" t="s">
        <v>4066</v>
      </c>
      <c r="Z908" s="35"/>
      <c r="AA908" s="1" t="str">
        <f>IFERROR(VLOOKUP(D:D,[1]Габариты!$A:$I,9,0),"")</f>
        <v>Вакансия</v>
      </c>
      <c r="AB908" s="6" t="str">
        <f>IFERROR(VLOOKUP(D:D,[1]Габариты!$A:$D,4,0),"")</f>
        <v>КРЕСЛО-МЕШОК</v>
      </c>
      <c r="AC908" s="39" t="str">
        <f t="shared" si="170"/>
        <v>М0134</v>
      </c>
      <c r="AD908" s="13" t="str">
        <f t="shared" si="171"/>
        <v xml:space="preserve">СКГТ </v>
      </c>
    </row>
    <row r="909" spans="1:30" s="6" customFormat="1" ht="20.100000000000001" customHeight="1" outlineLevel="1" x14ac:dyDescent="0.25">
      <c r="A909" s="635" t="s">
        <v>392</v>
      </c>
      <c r="B909" s="3"/>
      <c r="C909" s="13" t="s">
        <v>3172</v>
      </c>
      <c r="D909" s="39" t="s">
        <v>0</v>
      </c>
      <c r="E909" s="4">
        <v>6</v>
      </c>
      <c r="F909" s="101" t="s">
        <v>0</v>
      </c>
      <c r="G909" s="57" t="s">
        <v>6124</v>
      </c>
      <c r="H909" s="4"/>
      <c r="I909" s="4"/>
      <c r="J909" s="4"/>
      <c r="K909" s="54" t="s">
        <v>0</v>
      </c>
      <c r="L909" s="57">
        <v>254043875</v>
      </c>
      <c r="M909" s="57">
        <v>254043875</v>
      </c>
      <c r="N909" s="766"/>
      <c r="O909" s="4"/>
      <c r="P909" s="4"/>
      <c r="Q909" s="767"/>
      <c r="R909" s="767"/>
      <c r="S909" s="4"/>
      <c r="T909" s="4"/>
      <c r="U909" s="4"/>
      <c r="V909" s="4"/>
      <c r="W909" s="4" t="s">
        <v>0</v>
      </c>
      <c r="X909" s="4"/>
      <c r="Y909" s="4" t="s">
        <v>4066</v>
      </c>
      <c r="Z909" s="35"/>
      <c r="AA909" s="1" t="str">
        <f>IFERROR(VLOOKUP(D:D,[1]Габариты!$A:$I,9,0),"")</f>
        <v>Вакансия</v>
      </c>
      <c r="AB909" s="6" t="str">
        <f>IFERROR(VLOOKUP(D:D,[1]Габариты!$A:$D,4,0),"")</f>
        <v>КРЕСЛО-МЕШОК</v>
      </c>
      <c r="AC909" s="39" t="str">
        <f t="shared" si="170"/>
        <v>М0132</v>
      </c>
      <c r="AD909" s="13" t="str">
        <f t="shared" si="171"/>
        <v xml:space="preserve">СКГТ </v>
      </c>
    </row>
    <row r="910" spans="1:30" s="6" customFormat="1" ht="20.100000000000001" customHeight="1" outlineLevel="1" x14ac:dyDescent="0.25">
      <c r="A910" s="635" t="s">
        <v>393</v>
      </c>
      <c r="B910" s="3"/>
      <c r="C910" s="13" t="s">
        <v>3172</v>
      </c>
      <c r="D910" s="39" t="s">
        <v>15</v>
      </c>
      <c r="E910" s="4">
        <v>6</v>
      </c>
      <c r="F910" s="101" t="s">
        <v>15</v>
      </c>
      <c r="G910" s="57" t="s">
        <v>6125</v>
      </c>
      <c r="H910" s="4" t="s">
        <v>7432</v>
      </c>
      <c r="I910" s="4"/>
      <c r="J910" s="4"/>
      <c r="K910" s="54" t="s">
        <v>15</v>
      </c>
      <c r="L910" s="57">
        <v>254038946</v>
      </c>
      <c r="M910" s="57">
        <v>254038946</v>
      </c>
      <c r="N910" s="4" t="s">
        <v>855</v>
      </c>
      <c r="O910" s="4">
        <v>956564220</v>
      </c>
      <c r="P910" s="4">
        <v>956564219</v>
      </c>
      <c r="Q910" s="767" t="s">
        <v>3538</v>
      </c>
      <c r="R910" s="767">
        <v>1000680819</v>
      </c>
      <c r="S910" s="4">
        <v>1000680818</v>
      </c>
      <c r="T910" s="4"/>
      <c r="U910" s="4"/>
      <c r="V910" s="4"/>
      <c r="W910" s="4" t="s">
        <v>15</v>
      </c>
      <c r="X910" s="4" t="s">
        <v>855</v>
      </c>
      <c r="Y910" s="4" t="s">
        <v>4066</v>
      </c>
      <c r="Z910" s="35"/>
      <c r="AA910" s="1" t="str">
        <f>IFERROR(VLOOKUP(D:D,[1]Габариты!$A:$I,9,0),"")</f>
        <v>Вакансия</v>
      </c>
      <c r="AB910" s="6" t="str">
        <f>IFERROR(VLOOKUP(D:D,[1]Габариты!$A:$D,4,0),"")</f>
        <v>КРЕСЛО-МЕШОК</v>
      </c>
      <c r="AC910" s="39" t="str">
        <f t="shared" si="170"/>
        <v>М0133</v>
      </c>
      <c r="AD910" s="13" t="str">
        <f t="shared" si="171"/>
        <v xml:space="preserve">СКГТ </v>
      </c>
    </row>
    <row r="911" spans="1:30" s="6" customFormat="1" ht="20.100000000000001" customHeight="1" outlineLevel="1" x14ac:dyDescent="0.25">
      <c r="A911" s="635" t="s">
        <v>395</v>
      </c>
      <c r="B911" s="3"/>
      <c r="C911" s="13" t="s">
        <v>3172</v>
      </c>
      <c r="D911" s="39" t="s">
        <v>17</v>
      </c>
      <c r="E911" s="4">
        <v>6</v>
      </c>
      <c r="F911" s="101" t="s">
        <v>17</v>
      </c>
      <c r="G911" s="57" t="s">
        <v>6126</v>
      </c>
      <c r="H911" s="4"/>
      <c r="I911" s="4"/>
      <c r="J911" s="4"/>
      <c r="K911" s="54" t="s">
        <v>17</v>
      </c>
      <c r="L911" s="57">
        <v>254101454</v>
      </c>
      <c r="M911" s="57">
        <v>254101454</v>
      </c>
      <c r="N911" s="766"/>
      <c r="O911" s="4"/>
      <c r="P911" s="4"/>
      <c r="Q911" s="767"/>
      <c r="R911" s="767"/>
      <c r="S911" s="4"/>
      <c r="T911" s="4"/>
      <c r="U911" s="4"/>
      <c r="V911" s="4"/>
      <c r="W911" s="4" t="s">
        <v>17</v>
      </c>
      <c r="X911" s="4" t="s">
        <v>856</v>
      </c>
      <c r="Y911" s="4" t="s">
        <v>4066</v>
      </c>
      <c r="Z911" s="35"/>
      <c r="AA911" s="1" t="str">
        <f>IFERROR(VLOOKUP(D:D,[1]Габариты!$A:$I,9,0),"")</f>
        <v>Вакансия</v>
      </c>
      <c r="AB911" s="6" t="str">
        <f>IFERROR(VLOOKUP(D:D,[1]Габариты!$A:$D,4,0),"")</f>
        <v>КРЕСЛО-МЕШОК</v>
      </c>
      <c r="AC911" s="39" t="str">
        <f t="shared" si="170"/>
        <v>М0135</v>
      </c>
      <c r="AD911" s="13" t="str">
        <f t="shared" si="171"/>
        <v xml:space="preserve">СКГТ </v>
      </c>
    </row>
    <row r="912" spans="1:30" s="6" customFormat="1" ht="20.100000000000001" customHeight="1" outlineLevel="1" x14ac:dyDescent="0.25">
      <c r="A912" s="635" t="s">
        <v>386</v>
      </c>
      <c r="B912" s="3"/>
      <c r="C912" s="13" t="s">
        <v>2581</v>
      </c>
      <c r="D912" s="39" t="s">
        <v>10</v>
      </c>
      <c r="E912" s="4">
        <v>12</v>
      </c>
      <c r="F912" s="101" t="s">
        <v>10</v>
      </c>
      <c r="G912" s="57" t="s">
        <v>6146</v>
      </c>
      <c r="H912" s="4"/>
      <c r="I912" s="4"/>
      <c r="J912" s="4"/>
      <c r="K912" s="54"/>
      <c r="L912" s="57"/>
      <c r="M912" s="57"/>
      <c r="N912" s="766"/>
      <c r="O912" s="4"/>
      <c r="P912" s="4"/>
      <c r="Q912" s="767"/>
      <c r="R912" s="767"/>
      <c r="S912" s="4"/>
      <c r="T912" s="4"/>
      <c r="U912" s="4"/>
      <c r="V912" s="4"/>
      <c r="W912" s="4" t="s">
        <v>10</v>
      </c>
      <c r="X912" s="4"/>
      <c r="Y912" s="4" t="s">
        <v>4066</v>
      </c>
      <c r="Z912" s="35"/>
      <c r="AA912" s="1" t="str">
        <f>IFERROR(VLOOKUP(D:D,[1]Габариты!$A:$I,9,0),"")</f>
        <v>Вакансия</v>
      </c>
      <c r="AB912" s="6" t="str">
        <f>IFERROR(VLOOKUP(D:D,[1]Габариты!$A:$D,4,0),"")</f>
        <v>КРЕСЛО-МЕШОК</v>
      </c>
      <c r="AC912" s="39" t="str">
        <f t="shared" ref="AC912:AC974" si="177">D912</f>
        <v>М0121</v>
      </c>
      <c r="AD912" s="13" t="str">
        <f t="shared" si="171"/>
        <v>FBS</v>
      </c>
    </row>
    <row r="913" spans="1:30" s="6" customFormat="1" ht="20.100000000000001" customHeight="1" outlineLevel="1" x14ac:dyDescent="0.25">
      <c r="A913" s="635" t="s">
        <v>389</v>
      </c>
      <c r="B913" s="3"/>
      <c r="C913" s="13" t="s">
        <v>2581</v>
      </c>
      <c r="D913" s="39" t="s">
        <v>12</v>
      </c>
      <c r="E913" s="4">
        <v>12</v>
      </c>
      <c r="F913" s="101" t="s">
        <v>12</v>
      </c>
      <c r="G913" s="57" t="s">
        <v>6149</v>
      </c>
      <c r="H913" s="4"/>
      <c r="I913" s="4"/>
      <c r="J913" s="4"/>
      <c r="K913" s="54" t="s">
        <v>12</v>
      </c>
      <c r="L913" s="57">
        <v>254112333</v>
      </c>
      <c r="M913" s="57">
        <v>254112333</v>
      </c>
      <c r="N913" s="766"/>
      <c r="O913" s="4"/>
      <c r="P913" s="4"/>
      <c r="Q913" s="767"/>
      <c r="R913" s="767"/>
      <c r="S913" s="4"/>
      <c r="T913" s="4"/>
      <c r="U913" s="4"/>
      <c r="V913" s="4"/>
      <c r="W913" s="4" t="s">
        <v>12</v>
      </c>
      <c r="X913" s="4"/>
      <c r="Y913" s="4" t="s">
        <v>4066</v>
      </c>
      <c r="Z913" s="35"/>
      <c r="AA913" s="1" t="str">
        <f>IFERROR(VLOOKUP(D:D,[1]Габариты!$A:$I,9,0),"")</f>
        <v>Вакансия</v>
      </c>
      <c r="AB913" s="6" t="str">
        <f>IFERROR(VLOOKUP(D:D,[1]Габариты!$A:$D,4,0),"")</f>
        <v>КРЕСЛО-МЕШОК</v>
      </c>
      <c r="AC913" s="39" t="str">
        <f t="shared" si="177"/>
        <v>М0127</v>
      </c>
      <c r="AD913" s="13" t="str">
        <f t="shared" si="171"/>
        <v>FBS</v>
      </c>
    </row>
    <row r="914" spans="1:30" s="6" customFormat="1" ht="20.100000000000001" customHeight="1" outlineLevel="1" x14ac:dyDescent="0.25">
      <c r="A914" s="635" t="s">
        <v>387</v>
      </c>
      <c r="B914" s="3"/>
      <c r="C914" s="13" t="s">
        <v>2581</v>
      </c>
      <c r="D914" s="39" t="s">
        <v>1</v>
      </c>
      <c r="E914" s="4">
        <v>12</v>
      </c>
      <c r="F914" s="101" t="s">
        <v>1</v>
      </c>
      <c r="G914" s="57" t="s">
        <v>6147</v>
      </c>
      <c r="H914" s="4"/>
      <c r="I914" s="4"/>
      <c r="J914" s="4"/>
      <c r="K914" s="54"/>
      <c r="L914" s="57"/>
      <c r="M914" s="57"/>
      <c r="N914" s="766"/>
      <c r="O914" s="4"/>
      <c r="P914" s="4"/>
      <c r="Q914" s="767"/>
      <c r="R914" s="767"/>
      <c r="S914" s="4"/>
      <c r="T914" s="4"/>
      <c r="U914" s="4"/>
      <c r="V914" s="4"/>
      <c r="W914" s="4" t="s">
        <v>1</v>
      </c>
      <c r="X914" s="4"/>
      <c r="Y914" s="4" t="s">
        <v>4066</v>
      </c>
      <c r="Z914" s="35"/>
      <c r="AA914" s="1" t="str">
        <f>IFERROR(VLOOKUP(D:D,[1]Габариты!$A:$I,9,0),"")</f>
        <v>Вакансия</v>
      </c>
      <c r="AB914" s="6" t="str">
        <f>IFERROR(VLOOKUP(D:D,[1]Габариты!$A:$D,4,0),"")</f>
        <v>КРЕСЛО-МЕШОК</v>
      </c>
      <c r="AC914" s="39" t="str">
        <f t="shared" si="177"/>
        <v>М0125</v>
      </c>
      <c r="AD914" s="13" t="str">
        <f t="shared" si="171"/>
        <v>FBS</v>
      </c>
    </row>
    <row r="915" spans="1:30" s="6" customFormat="1" ht="20.100000000000001" customHeight="1" outlineLevel="1" x14ac:dyDescent="0.25">
      <c r="A915" s="635" t="s">
        <v>388</v>
      </c>
      <c r="B915" s="3"/>
      <c r="C915" s="13" t="s">
        <v>2581</v>
      </c>
      <c r="D915" s="39" t="s">
        <v>11</v>
      </c>
      <c r="E915" s="4">
        <v>12</v>
      </c>
      <c r="F915" s="101" t="s">
        <v>11</v>
      </c>
      <c r="G915" s="57" t="s">
        <v>6148</v>
      </c>
      <c r="H915" s="4"/>
      <c r="I915" s="4"/>
      <c r="J915" s="4"/>
      <c r="K915" s="54" t="s">
        <v>11</v>
      </c>
      <c r="L915" s="57">
        <v>254173830</v>
      </c>
      <c r="M915" s="57">
        <v>254173830</v>
      </c>
      <c r="N915" s="766"/>
      <c r="O915" s="4"/>
      <c r="P915" s="4"/>
      <c r="Q915" s="767"/>
      <c r="R915" s="767"/>
      <c r="S915" s="4"/>
      <c r="T915" s="4"/>
      <c r="U915" s="4"/>
      <c r="V915" s="4"/>
      <c r="W915" s="4" t="s">
        <v>11</v>
      </c>
      <c r="X915" s="4"/>
      <c r="Y915" s="4" t="s">
        <v>4066</v>
      </c>
      <c r="Z915" s="35"/>
      <c r="AA915" s="1" t="str">
        <f>IFERROR(VLOOKUP(D:D,[1]Габариты!$A:$I,9,0),"")</f>
        <v>Вакансия</v>
      </c>
      <c r="AB915" s="6" t="str">
        <f>IFERROR(VLOOKUP(D:D,[1]Габариты!$A:$D,4,0),"")</f>
        <v>КРЕСЛО-МЕШОК</v>
      </c>
      <c r="AC915" s="39" t="str">
        <f t="shared" si="177"/>
        <v>М0126</v>
      </c>
      <c r="AD915" s="13" t="str">
        <f t="shared" si="171"/>
        <v>FBS</v>
      </c>
    </row>
    <row r="916" spans="1:30" s="6" customFormat="1" ht="20.100000000000001" customHeight="1" outlineLevel="1" x14ac:dyDescent="0.25">
      <c r="A916" s="635" t="s">
        <v>390</v>
      </c>
      <c r="B916" s="3"/>
      <c r="C916" s="13" t="s">
        <v>2581</v>
      </c>
      <c r="D916" s="39" t="s">
        <v>13</v>
      </c>
      <c r="E916" s="4">
        <v>12</v>
      </c>
      <c r="F916" s="101" t="s">
        <v>13</v>
      </c>
      <c r="G916" s="57" t="s">
        <v>6150</v>
      </c>
      <c r="H916" s="4"/>
      <c r="I916" s="4"/>
      <c r="J916" s="4"/>
      <c r="K916" s="54" t="s">
        <v>13</v>
      </c>
      <c r="L916" s="57">
        <v>254311867</v>
      </c>
      <c r="M916" s="57">
        <v>254311867</v>
      </c>
      <c r="N916" s="766"/>
      <c r="O916" s="4"/>
      <c r="P916" s="4"/>
      <c r="Q916" s="767"/>
      <c r="R916" s="767"/>
      <c r="S916" s="4"/>
      <c r="T916" s="4"/>
      <c r="U916" s="4"/>
      <c r="V916" s="4"/>
      <c r="W916" s="4" t="s">
        <v>13</v>
      </c>
      <c r="X916" s="4"/>
      <c r="Y916" s="4" t="s">
        <v>4066</v>
      </c>
      <c r="Z916" s="35"/>
      <c r="AA916" s="1" t="str">
        <f>IFERROR(VLOOKUP(D:D,[1]Габариты!$A:$I,9,0),"")</f>
        <v>Вакансия</v>
      </c>
      <c r="AB916" s="6" t="str">
        <f>IFERROR(VLOOKUP(D:D,[1]Габариты!$A:$D,4,0),"")</f>
        <v>КРЕСЛО-МЕШОК</v>
      </c>
      <c r="AC916" s="39" t="str">
        <f t="shared" si="177"/>
        <v>М0128</v>
      </c>
      <c r="AD916" s="13" t="str">
        <f t="shared" si="171"/>
        <v>FBS</v>
      </c>
    </row>
    <row r="917" spans="1:30" s="6" customFormat="1" ht="20.100000000000001" customHeight="1" outlineLevel="1" x14ac:dyDescent="0.2">
      <c r="A917" s="754" t="s">
        <v>980</v>
      </c>
      <c r="B917" s="754" t="s">
        <v>3846</v>
      </c>
      <c r="C917" s="13"/>
      <c r="D917" s="39"/>
      <c r="E917" s="4"/>
      <c r="F917" s="101"/>
      <c r="G917" s="57"/>
      <c r="H917" s="4"/>
      <c r="I917" s="4"/>
      <c r="J917" s="4"/>
      <c r="K917" s="54"/>
      <c r="L917" s="57"/>
      <c r="M917" s="57"/>
      <c r="N917" s="766"/>
      <c r="O917" s="4"/>
      <c r="P917" s="4"/>
      <c r="Q917" s="767"/>
      <c r="R917" s="767"/>
      <c r="S917" s="4"/>
      <c r="T917" s="4"/>
      <c r="U917" s="4"/>
      <c r="V917" s="4"/>
      <c r="W917" s="4"/>
      <c r="X917" s="4"/>
      <c r="Y917" s="4" t="s">
        <v>4066</v>
      </c>
      <c r="Z917" s="35"/>
      <c r="AA917" s="1" t="str">
        <f>IFERROR(VLOOKUP(D:D,[1]Габариты!$A:$I,9,0),"")</f>
        <v/>
      </c>
      <c r="AB917" s="6" t="str">
        <f>IFERROR(VLOOKUP(D:D,[1]Габариты!$A:$D,4,0),"")</f>
        <v/>
      </c>
      <c r="AC917" s="39"/>
      <c r="AD917" s="3"/>
    </row>
    <row r="918" spans="1:30" s="6" customFormat="1" ht="20.100000000000001" customHeight="1" outlineLevel="1" x14ac:dyDescent="0.25">
      <c r="A918" s="665" t="s">
        <v>326</v>
      </c>
      <c r="B918" s="2"/>
      <c r="C918" s="13" t="s">
        <v>2581</v>
      </c>
      <c r="D918" s="40">
        <v>14702</v>
      </c>
      <c r="E918" s="4"/>
      <c r="F918" s="101">
        <v>14702</v>
      </c>
      <c r="G918" s="57"/>
      <c r="H918" s="4" t="s">
        <v>7100</v>
      </c>
      <c r="I918" s="4" t="s">
        <v>1194</v>
      </c>
      <c r="J918" s="4"/>
      <c r="K918" s="54"/>
      <c r="L918" s="57"/>
      <c r="M918" s="57"/>
      <c r="N918" s="4" t="s">
        <v>2595</v>
      </c>
      <c r="O918" s="4">
        <v>283136015</v>
      </c>
      <c r="P918" s="4">
        <v>283136019</v>
      </c>
      <c r="Q918" s="767" t="s">
        <v>2728</v>
      </c>
      <c r="R918" s="767">
        <v>359765751</v>
      </c>
      <c r="S918" s="4">
        <v>359765750</v>
      </c>
      <c r="T918" s="4"/>
      <c r="U918" s="4"/>
      <c r="V918" s="4"/>
      <c r="W918" s="4"/>
      <c r="X918" s="4"/>
      <c r="Y918" s="4" t="s">
        <v>4066</v>
      </c>
      <c r="Z918" s="35"/>
      <c r="AA918" s="1" t="str">
        <f>IFERROR(VLOOKUP(D:D,[1]Габариты!$A:$I,9,0),"")</f>
        <v>Вакансия</v>
      </c>
      <c r="AB918" s="6" t="str">
        <f>IFERROR(VLOOKUP(D:D,[1]Габариты!$A:$D,4,0),"")</f>
        <v>МАТРАСЫ</v>
      </c>
      <c r="AC918" s="39">
        <f t="shared" si="177"/>
        <v>14702</v>
      </c>
      <c r="AD918" s="13" t="str">
        <f t="shared" si="171"/>
        <v>FBS</v>
      </c>
    </row>
    <row r="919" spans="1:30" s="6" customFormat="1" ht="20.100000000000001" customHeight="1" outlineLevel="1" x14ac:dyDescent="0.25">
      <c r="A919" s="665" t="s">
        <v>323</v>
      </c>
      <c r="B919" s="2"/>
      <c r="C919" s="13" t="s">
        <v>2581</v>
      </c>
      <c r="D919" s="40">
        <v>14699</v>
      </c>
      <c r="E919" s="4"/>
      <c r="F919" s="101">
        <v>14699</v>
      </c>
      <c r="G919" s="57"/>
      <c r="H919" s="4" t="s">
        <v>7101</v>
      </c>
      <c r="I919" s="4" t="s">
        <v>1195</v>
      </c>
      <c r="J919" s="4"/>
      <c r="K919" s="54"/>
      <c r="L919" s="57"/>
      <c r="M919" s="57"/>
      <c r="N919" s="4" t="s">
        <v>2596</v>
      </c>
      <c r="O919" s="4">
        <v>283082967</v>
      </c>
      <c r="P919" s="4">
        <v>283082975</v>
      </c>
      <c r="Q919" s="767" t="s">
        <v>2729</v>
      </c>
      <c r="R919" s="767">
        <v>653417499</v>
      </c>
      <c r="S919" s="4">
        <v>653417498</v>
      </c>
      <c r="T919" s="4"/>
      <c r="U919" s="4"/>
      <c r="V919" s="4"/>
      <c r="W919" s="4"/>
      <c r="X919" s="4"/>
      <c r="Y919" s="4" t="s">
        <v>4066</v>
      </c>
      <c r="Z919" s="35"/>
      <c r="AA919" s="1" t="str">
        <f>IFERROR(VLOOKUP(D:D,[1]Габариты!$A:$I,9,0),"")</f>
        <v>Вакансия</v>
      </c>
      <c r="AB919" s="6" t="str">
        <f>IFERROR(VLOOKUP(D:D,[1]Габариты!$A:$D,4,0),"")</f>
        <v>МАТРАСЫ</v>
      </c>
      <c r="AC919" s="39">
        <f t="shared" si="177"/>
        <v>14699</v>
      </c>
      <c r="AD919" s="13" t="str">
        <f t="shared" si="171"/>
        <v>FBS</v>
      </c>
    </row>
    <row r="920" spans="1:30" s="6" customFormat="1" ht="20.100000000000001" customHeight="1" outlineLevel="1" x14ac:dyDescent="0.25">
      <c r="A920" s="665" t="s">
        <v>324</v>
      </c>
      <c r="B920" s="2"/>
      <c r="C920" s="13" t="s">
        <v>2581</v>
      </c>
      <c r="D920" s="40">
        <v>14700</v>
      </c>
      <c r="E920" s="4"/>
      <c r="F920" s="101">
        <v>14700</v>
      </c>
      <c r="G920" s="57"/>
      <c r="H920" s="4" t="s">
        <v>7102</v>
      </c>
      <c r="I920" s="4" t="s">
        <v>1196</v>
      </c>
      <c r="J920" s="4"/>
      <c r="K920" s="54"/>
      <c r="L920" s="57"/>
      <c r="M920" s="57"/>
      <c r="N920" s="4" t="s">
        <v>2597</v>
      </c>
      <c r="O920" s="4">
        <v>283241427</v>
      </c>
      <c r="P920" s="4">
        <v>283242361</v>
      </c>
      <c r="Q920" s="767"/>
      <c r="R920" s="767">
        <v>742571524</v>
      </c>
      <c r="S920" s="4">
        <v>742571523</v>
      </c>
      <c r="T920" s="4"/>
      <c r="U920" s="4"/>
      <c r="V920" s="4"/>
      <c r="W920" s="4"/>
      <c r="X920" s="4"/>
      <c r="Y920" s="4" t="s">
        <v>4066</v>
      </c>
      <c r="Z920" s="35"/>
      <c r="AA920" s="1" t="str">
        <f>IFERROR(VLOOKUP(D:D,[1]Габариты!$A:$I,9,0),"")</f>
        <v>Вакансия</v>
      </c>
      <c r="AB920" s="6" t="str">
        <f>IFERROR(VLOOKUP(D:D,[1]Габариты!$A:$D,4,0),"")</f>
        <v>МАТРАСЫ</v>
      </c>
      <c r="AC920" s="39">
        <f t="shared" si="177"/>
        <v>14700</v>
      </c>
      <c r="AD920" s="13" t="str">
        <f t="shared" si="171"/>
        <v>FBS</v>
      </c>
    </row>
    <row r="921" spans="1:30" s="6" customFormat="1" ht="20.100000000000001" customHeight="1" outlineLevel="1" x14ac:dyDescent="0.25">
      <c r="A921" s="665" t="s">
        <v>325</v>
      </c>
      <c r="B921" s="2"/>
      <c r="C921" s="13" t="s">
        <v>2581</v>
      </c>
      <c r="D921" s="40">
        <v>14701</v>
      </c>
      <c r="E921" s="4"/>
      <c r="F921" s="101">
        <v>14701</v>
      </c>
      <c r="G921" s="57"/>
      <c r="H921" s="4" t="s">
        <v>7103</v>
      </c>
      <c r="I921" s="4" t="s">
        <v>1197</v>
      </c>
      <c r="J921" s="4"/>
      <c r="K921" s="54"/>
      <c r="L921" s="57"/>
      <c r="M921" s="57"/>
      <c r="N921" s="4" t="s">
        <v>2598</v>
      </c>
      <c r="O921" s="4">
        <v>283134248</v>
      </c>
      <c r="P921" s="4">
        <v>283134292</v>
      </c>
      <c r="Q921" s="767" t="s">
        <v>2730</v>
      </c>
      <c r="R921" s="767">
        <v>654286696</v>
      </c>
      <c r="S921" s="4">
        <v>654286697</v>
      </c>
      <c r="T921" s="4"/>
      <c r="U921" s="4"/>
      <c r="V921" s="4"/>
      <c r="W921" s="4"/>
      <c r="X921" s="4"/>
      <c r="Y921" s="4" t="s">
        <v>4066</v>
      </c>
      <c r="Z921" s="35"/>
      <c r="AA921" s="1" t="str">
        <f>IFERROR(VLOOKUP(D:D,[1]Габариты!$A:$I,9,0),"")</f>
        <v>Вакансия</v>
      </c>
      <c r="AB921" s="6" t="str">
        <f>IFERROR(VLOOKUP(D:D,[1]Габариты!$A:$D,4,0),"")</f>
        <v>МАТРАСЫ</v>
      </c>
      <c r="AC921" s="39">
        <f t="shared" si="177"/>
        <v>14701</v>
      </c>
      <c r="AD921" s="13" t="str">
        <f t="shared" si="171"/>
        <v>FBS</v>
      </c>
    </row>
    <row r="922" spans="1:30" s="6" customFormat="1" ht="20.100000000000001" customHeight="1" outlineLevel="1" x14ac:dyDescent="0.25">
      <c r="A922" s="635" t="s">
        <v>308</v>
      </c>
      <c r="B922" s="15"/>
      <c r="C922" s="13" t="s">
        <v>2581</v>
      </c>
      <c r="D922" s="881">
        <v>4008</v>
      </c>
      <c r="E922" s="4"/>
      <c r="F922" s="101">
        <v>4008</v>
      </c>
      <c r="G922" s="57"/>
      <c r="H922" s="4" t="s">
        <v>7104</v>
      </c>
      <c r="I922" s="4"/>
      <c r="J922" s="4"/>
      <c r="K922" s="54"/>
      <c r="L922" s="57"/>
      <c r="M922" s="57"/>
      <c r="N922" s="4" t="s">
        <v>2599</v>
      </c>
      <c r="O922" s="4">
        <v>327744834</v>
      </c>
      <c r="P922" s="4">
        <v>327744873</v>
      </c>
      <c r="Q922" s="767"/>
      <c r="R922" s="767">
        <v>342800371</v>
      </c>
      <c r="S922" s="4">
        <v>342800397</v>
      </c>
      <c r="T922" s="4"/>
      <c r="U922" s="4"/>
      <c r="V922" s="4"/>
      <c r="W922" s="4"/>
      <c r="X922" s="4"/>
      <c r="Y922" s="4" t="s">
        <v>4066</v>
      </c>
      <c r="Z922" s="35"/>
      <c r="AA922" s="1" t="str">
        <f>IFERROR(VLOOKUP(D:D,[1]Габариты!$A:$I,9,0),"")</f>
        <v>Вакансия</v>
      </c>
      <c r="AB922" s="6" t="str">
        <f>IFERROR(VLOOKUP(D:D,[1]Габариты!$A:$D,4,0),"")</f>
        <v>МАТРАСЫ</v>
      </c>
      <c r="AC922" s="39">
        <f t="shared" si="177"/>
        <v>4008</v>
      </c>
      <c r="AD922" s="13" t="str">
        <f t="shared" si="171"/>
        <v>FBS</v>
      </c>
    </row>
    <row r="923" spans="1:30" s="6" customFormat="1" ht="20.100000000000001" customHeight="1" outlineLevel="1" x14ac:dyDescent="0.25">
      <c r="A923" s="635" t="s">
        <v>307</v>
      </c>
      <c r="B923" s="15"/>
      <c r="C923" s="13" t="s">
        <v>2581</v>
      </c>
      <c r="D923" s="881">
        <v>4007</v>
      </c>
      <c r="E923" s="4"/>
      <c r="F923" s="101">
        <v>4007</v>
      </c>
      <c r="G923" s="57"/>
      <c r="H923" s="4" t="s">
        <v>7105</v>
      </c>
      <c r="I923" s="4" t="s">
        <v>1198</v>
      </c>
      <c r="J923" s="4"/>
      <c r="K923" s="54"/>
      <c r="L923" s="57"/>
      <c r="M923" s="57"/>
      <c r="N923" s="4" t="s">
        <v>2600</v>
      </c>
      <c r="O923" s="4">
        <v>327413129</v>
      </c>
      <c r="P923" s="4">
        <v>327413142</v>
      </c>
      <c r="Q923" s="767" t="s">
        <v>2731</v>
      </c>
      <c r="R923" s="767">
        <v>644090574</v>
      </c>
      <c r="S923" s="4">
        <v>644090574</v>
      </c>
      <c r="T923" s="4"/>
      <c r="U923" s="4"/>
      <c r="V923" s="4"/>
      <c r="W923" s="4"/>
      <c r="X923" s="4"/>
      <c r="Y923" s="4" t="s">
        <v>4066</v>
      </c>
      <c r="Z923" s="35"/>
      <c r="AA923" s="1" t="str">
        <f>IFERROR(VLOOKUP(D:D,[1]Габариты!$A:$I,9,0),"")</f>
        <v>Вакансия</v>
      </c>
      <c r="AB923" s="6" t="str">
        <f>IFERROR(VLOOKUP(D:D,[1]Габариты!$A:$D,4,0),"")</f>
        <v>МАТРАСЫ</v>
      </c>
      <c r="AC923" s="39">
        <f t="shared" si="177"/>
        <v>4007</v>
      </c>
      <c r="AD923" s="13" t="str">
        <f t="shared" si="171"/>
        <v>FBS</v>
      </c>
    </row>
    <row r="924" spans="1:30" s="6" customFormat="1" ht="20.100000000000001" customHeight="1" outlineLevel="1" x14ac:dyDescent="0.25">
      <c r="A924" s="635" t="s">
        <v>464</v>
      </c>
      <c r="B924" s="23"/>
      <c r="C924" s="13" t="s">
        <v>2581</v>
      </c>
      <c r="D924" s="881">
        <v>4009</v>
      </c>
      <c r="E924" s="4"/>
      <c r="F924" s="101">
        <v>4009</v>
      </c>
      <c r="G924" s="57"/>
      <c r="H924" s="4"/>
      <c r="I924" s="4"/>
      <c r="J924" s="4"/>
      <c r="K924" s="54"/>
      <c r="L924" s="57"/>
      <c r="M924" s="57"/>
      <c r="N924" s="766"/>
      <c r="O924" s="4"/>
      <c r="P924" s="4"/>
      <c r="Q924" s="767"/>
      <c r="R924" s="767"/>
      <c r="S924" s="4"/>
      <c r="T924" s="4"/>
      <c r="U924" s="4"/>
      <c r="V924" s="4"/>
      <c r="W924" s="4"/>
      <c r="X924" s="4"/>
      <c r="Y924" s="4" t="s">
        <v>4066</v>
      </c>
      <c r="Z924" s="35"/>
      <c r="AA924" s="1" t="str">
        <f>IFERROR(VLOOKUP(D:D,[1]Габариты!$A:$I,9,0),"")</f>
        <v>Вакансия</v>
      </c>
      <c r="AB924" s="6" t="str">
        <f>IFERROR(VLOOKUP(D:D,[1]Габариты!$A:$D,4,0),"")</f>
        <v>МАТРАСЫ</v>
      </c>
      <c r="AC924" s="39">
        <f t="shared" si="177"/>
        <v>4009</v>
      </c>
      <c r="AD924" s="13" t="str">
        <f t="shared" si="171"/>
        <v>FBS</v>
      </c>
    </row>
    <row r="925" spans="1:30" s="6" customFormat="1" ht="20.100000000000001" customHeight="1" outlineLevel="1" x14ac:dyDescent="0.25">
      <c r="A925" s="665" t="s">
        <v>322</v>
      </c>
      <c r="B925" s="2"/>
      <c r="C925" s="13" t="s">
        <v>2581</v>
      </c>
      <c r="D925" s="40">
        <v>14698</v>
      </c>
      <c r="E925" s="4"/>
      <c r="F925" s="101">
        <v>14698</v>
      </c>
      <c r="G925" s="57"/>
      <c r="H925" s="4" t="s">
        <v>7106</v>
      </c>
      <c r="I925" s="4" t="s">
        <v>1199</v>
      </c>
      <c r="J925" s="4"/>
      <c r="K925" s="54"/>
      <c r="L925" s="57"/>
      <c r="M925" s="57"/>
      <c r="N925" s="4" t="s">
        <v>2601</v>
      </c>
      <c r="O925" s="4">
        <v>283082022</v>
      </c>
      <c r="P925" s="4">
        <v>283082038</v>
      </c>
      <c r="Q925" s="767" t="s">
        <v>2732</v>
      </c>
      <c r="R925" s="767">
        <v>653419665</v>
      </c>
      <c r="S925" s="4">
        <v>653419664</v>
      </c>
      <c r="T925" s="4"/>
      <c r="U925" s="4"/>
      <c r="V925" s="4"/>
      <c r="W925" s="4"/>
      <c r="X925" s="4"/>
      <c r="Y925" s="4" t="s">
        <v>4066</v>
      </c>
      <c r="Z925" s="35"/>
      <c r="AA925" s="1" t="str">
        <f>IFERROR(VLOOKUP(D:D,[1]Габариты!$A:$I,9,0),"")</f>
        <v>Вакансия</v>
      </c>
      <c r="AB925" s="6" t="str">
        <f>IFERROR(VLOOKUP(D:D,[1]Габариты!$A:$D,4,0),"")</f>
        <v>МАТРАСЫ</v>
      </c>
      <c r="AC925" s="39">
        <f t="shared" si="177"/>
        <v>14698</v>
      </c>
      <c r="AD925" s="13" t="str">
        <f t="shared" si="171"/>
        <v>FBS</v>
      </c>
    </row>
    <row r="926" spans="1:30" s="6" customFormat="1" ht="20.100000000000001" customHeight="1" outlineLevel="1" x14ac:dyDescent="0.25">
      <c r="A926" s="635" t="s">
        <v>306</v>
      </c>
      <c r="B926" s="15"/>
      <c r="C926" s="13" t="s">
        <v>2581</v>
      </c>
      <c r="D926" s="881">
        <v>4006</v>
      </c>
      <c r="E926" s="4"/>
      <c r="F926" s="101">
        <v>4006</v>
      </c>
      <c r="G926" s="57"/>
      <c r="H926" s="4" t="s">
        <v>7107</v>
      </c>
      <c r="I926" s="4"/>
      <c r="J926" s="4"/>
      <c r="K926" s="54"/>
      <c r="L926" s="57"/>
      <c r="M926" s="57"/>
      <c r="N926" s="4" t="s">
        <v>2590</v>
      </c>
      <c r="O926" s="4">
        <v>327384157</v>
      </c>
      <c r="P926" s="4">
        <v>327384196</v>
      </c>
      <c r="Q926" s="767" t="s">
        <v>2726</v>
      </c>
      <c r="R926" s="767">
        <v>358647039</v>
      </c>
      <c r="S926" s="4">
        <v>358647040</v>
      </c>
      <c r="T926" s="4"/>
      <c r="U926" s="4"/>
      <c r="V926" s="4"/>
      <c r="W926" s="4"/>
      <c r="X926" s="4"/>
      <c r="Y926" s="4" t="s">
        <v>4066</v>
      </c>
      <c r="Z926" s="35"/>
      <c r="AA926" s="1" t="str">
        <f>IFERROR(VLOOKUP(D:D,[1]Габариты!$A:$I,9,0),"")</f>
        <v>Вакансия</v>
      </c>
      <c r="AB926" s="6" t="str">
        <f>IFERROR(VLOOKUP(D:D,[1]Габариты!$A:$D,4,0),"")</f>
        <v>МАТРАСЫ</v>
      </c>
      <c r="AC926" s="39">
        <f t="shared" si="177"/>
        <v>4006</v>
      </c>
      <c r="AD926" s="13" t="str">
        <f t="shared" si="171"/>
        <v>FBS</v>
      </c>
    </row>
    <row r="927" spans="1:30" s="6" customFormat="1" ht="20.100000000000001" customHeight="1" outlineLevel="1" x14ac:dyDescent="0.25">
      <c r="A927" s="635" t="s">
        <v>305</v>
      </c>
      <c r="B927" s="15"/>
      <c r="C927" s="13" t="s">
        <v>2581</v>
      </c>
      <c r="D927" s="881">
        <v>4005</v>
      </c>
      <c r="E927" s="4"/>
      <c r="F927" s="101">
        <v>4005</v>
      </c>
      <c r="G927" s="57"/>
      <c r="H927" s="4" t="s">
        <v>7108</v>
      </c>
      <c r="I927" s="4"/>
      <c r="J927" s="4"/>
      <c r="K927" s="54"/>
      <c r="L927" s="57"/>
      <c r="M927" s="57"/>
      <c r="N927" s="4" t="s">
        <v>2591</v>
      </c>
      <c r="O927" s="4">
        <v>327319962</v>
      </c>
      <c r="P927" s="4">
        <v>327319976</v>
      </c>
      <c r="Q927" s="767"/>
      <c r="R927" s="767"/>
      <c r="S927" s="4"/>
      <c r="T927" s="4"/>
      <c r="U927" s="4"/>
      <c r="V927" s="4"/>
      <c r="W927" s="4"/>
      <c r="X927" s="4"/>
      <c r="Y927" s="4" t="s">
        <v>4066</v>
      </c>
      <c r="Z927" s="35"/>
      <c r="AA927" s="1" t="str">
        <f>IFERROR(VLOOKUP(D:D,[1]Габариты!$A:$I,9,0),"")</f>
        <v>Вакансия</v>
      </c>
      <c r="AB927" s="6" t="str">
        <f>IFERROR(VLOOKUP(D:D,[1]Габариты!$A:$D,4,0),"")</f>
        <v>МАТРАСЫ</v>
      </c>
      <c r="AC927" s="39">
        <f t="shared" si="177"/>
        <v>4005</v>
      </c>
      <c r="AD927" s="13" t="str">
        <f t="shared" si="171"/>
        <v>FBS</v>
      </c>
    </row>
    <row r="928" spans="1:30" s="6" customFormat="1" ht="20.100000000000001" customHeight="1" outlineLevel="1" x14ac:dyDescent="0.25">
      <c r="A928" s="665" t="s">
        <v>302</v>
      </c>
      <c r="B928" s="2"/>
      <c r="C928" s="13" t="s">
        <v>3172</v>
      </c>
      <c r="D928" s="40">
        <v>4001</v>
      </c>
      <c r="E928" s="4"/>
      <c r="F928" s="101">
        <v>4001</v>
      </c>
      <c r="G928" s="57"/>
      <c r="H928" s="4" t="s">
        <v>7109</v>
      </c>
      <c r="I928" s="4"/>
      <c r="J928" s="4"/>
      <c r="K928" s="54"/>
      <c r="L928" s="57"/>
      <c r="M928" s="57"/>
      <c r="N928" s="4" t="s">
        <v>2592</v>
      </c>
      <c r="O928" s="4">
        <v>283218239</v>
      </c>
      <c r="P928" s="4">
        <v>283218272</v>
      </c>
      <c r="Q928" s="767"/>
      <c r="R928" s="767"/>
      <c r="S928" s="4"/>
      <c r="T928" s="4"/>
      <c r="U928" s="4"/>
      <c r="V928" s="4"/>
      <c r="W928" s="4"/>
      <c r="X928" s="4"/>
      <c r="Y928" s="4" t="s">
        <v>4066</v>
      </c>
      <c r="Z928" s="35"/>
      <c r="AA928" s="1" t="str">
        <f>IFERROR(VLOOKUP(D:D,[1]Габариты!$A:$I,9,0),"")</f>
        <v>Вакансия</v>
      </c>
      <c r="AB928" s="6" t="str">
        <f>IFERROR(VLOOKUP(D:D,[1]Габариты!$A:$D,4,0),"")</f>
        <v>МАТРАСЫ</v>
      </c>
      <c r="AC928" s="39">
        <f t="shared" si="177"/>
        <v>4001</v>
      </c>
      <c r="AD928" s="13" t="str">
        <f t="shared" si="171"/>
        <v xml:space="preserve">СКГТ </v>
      </c>
    </row>
    <row r="929" spans="1:30" s="6" customFormat="1" ht="20.100000000000001" customHeight="1" outlineLevel="1" x14ac:dyDescent="0.25">
      <c r="A929" s="665" t="s">
        <v>304</v>
      </c>
      <c r="B929" s="2"/>
      <c r="C929" s="13" t="s">
        <v>2581</v>
      </c>
      <c r="D929" s="40">
        <v>4003</v>
      </c>
      <c r="E929" s="4"/>
      <c r="F929" s="101">
        <v>4003</v>
      </c>
      <c r="G929" s="57"/>
      <c r="H929" s="4" t="s">
        <v>7110</v>
      </c>
      <c r="I929" s="4" t="s">
        <v>1161</v>
      </c>
      <c r="J929" s="4"/>
      <c r="K929" s="54"/>
      <c r="L929" s="57"/>
      <c r="M929" s="57"/>
      <c r="N929" s="4" t="s">
        <v>2593</v>
      </c>
      <c r="O929" s="4">
        <v>287388097</v>
      </c>
      <c r="P929" s="4">
        <v>287388098</v>
      </c>
      <c r="Q929" s="767"/>
      <c r="R929" s="767"/>
      <c r="S929" s="4"/>
      <c r="T929" s="4"/>
      <c r="U929" s="4"/>
      <c r="V929" s="4"/>
      <c r="W929" s="4"/>
      <c r="X929" s="4"/>
      <c r="Y929" s="4" t="s">
        <v>4066</v>
      </c>
      <c r="Z929" s="35"/>
      <c r="AA929" s="1" t="str">
        <f>IFERROR(VLOOKUP(D:D,[1]Габариты!$A:$I,9,0),"")</f>
        <v>Вакансия</v>
      </c>
      <c r="AB929" s="6" t="str">
        <f>IFERROR(VLOOKUP(D:D,[1]Габариты!$A:$D,4,0),"")</f>
        <v>МАТРАСЫ</v>
      </c>
      <c r="AC929" s="39">
        <f t="shared" si="177"/>
        <v>4003</v>
      </c>
      <c r="AD929" s="13" t="str">
        <f t="shared" si="171"/>
        <v>FBS</v>
      </c>
    </row>
    <row r="930" spans="1:30" s="6" customFormat="1" ht="20.100000000000001" customHeight="1" outlineLevel="1" x14ac:dyDescent="0.25">
      <c r="A930" s="665" t="s">
        <v>303</v>
      </c>
      <c r="B930" s="2"/>
      <c r="C930" s="13" t="s">
        <v>2581</v>
      </c>
      <c r="D930" s="40">
        <v>4002</v>
      </c>
      <c r="E930" s="4"/>
      <c r="F930" s="101">
        <v>4002</v>
      </c>
      <c r="G930" s="57"/>
      <c r="H930" s="4" t="s">
        <v>7111</v>
      </c>
      <c r="I930" s="4" t="s">
        <v>1193</v>
      </c>
      <c r="J930" s="4"/>
      <c r="K930" s="54"/>
      <c r="L930" s="57"/>
      <c r="M930" s="57"/>
      <c r="N930" s="4" t="s">
        <v>2594</v>
      </c>
      <c r="O930" s="4">
        <v>295763052</v>
      </c>
      <c r="P930" s="4">
        <v>295763105</v>
      </c>
      <c r="Q930" s="767" t="s">
        <v>2727</v>
      </c>
      <c r="R930" s="767">
        <v>727894663</v>
      </c>
      <c r="S930" s="4">
        <v>727894664</v>
      </c>
      <c r="T930" s="4"/>
      <c r="U930" s="4"/>
      <c r="V930" s="4"/>
      <c r="W930" s="4"/>
      <c r="X930" s="4"/>
      <c r="Y930" s="4" t="s">
        <v>4066</v>
      </c>
      <c r="Z930" s="35"/>
      <c r="AA930" s="1" t="str">
        <f>IFERROR(VLOOKUP(D:D,[1]Габариты!$A:$I,9,0),"")</f>
        <v>Вакансия</v>
      </c>
      <c r="AB930" s="6" t="str">
        <f>IFERROR(VLOOKUP(D:D,[1]Габариты!$A:$D,4,0),"")</f>
        <v>МАТРАСЫ</v>
      </c>
      <c r="AC930" s="39">
        <f t="shared" si="177"/>
        <v>4002</v>
      </c>
      <c r="AD930" s="13" t="str">
        <f t="shared" si="171"/>
        <v>FBS</v>
      </c>
    </row>
    <row r="931" spans="1:30" s="6" customFormat="1" ht="20.100000000000001" customHeight="1" outlineLevel="1" x14ac:dyDescent="0.25">
      <c r="A931" s="665" t="s">
        <v>1780</v>
      </c>
      <c r="B931" s="2"/>
      <c r="C931" s="13" t="s">
        <v>2582</v>
      </c>
      <c r="D931" s="40">
        <v>14050</v>
      </c>
      <c r="E931" s="4"/>
      <c r="F931" s="101"/>
      <c r="G931" s="57"/>
      <c r="H931" s="4" t="s">
        <v>6481</v>
      </c>
      <c r="I931" s="4"/>
      <c r="J931" s="4"/>
      <c r="K931" s="54"/>
      <c r="L931" s="57"/>
      <c r="M931" s="57"/>
      <c r="N931" s="4" t="s">
        <v>3831</v>
      </c>
      <c r="O931" s="4">
        <v>1342797400</v>
      </c>
      <c r="P931" s="4">
        <v>1342797400</v>
      </c>
      <c r="Q931" s="767"/>
      <c r="R931" s="767"/>
      <c r="S931" s="4"/>
      <c r="T931" s="4"/>
      <c r="U931" s="4"/>
      <c r="V931" s="4"/>
      <c r="W931" s="4"/>
      <c r="X931" s="4"/>
      <c r="Y931" s="4" t="s">
        <v>4066</v>
      </c>
      <c r="Z931" s="35"/>
      <c r="AA931" s="1" t="str">
        <f>IFERROR(VLOOKUP(D:D,[1]Габариты!$A:$I,9,0),"")</f>
        <v>Вакансия</v>
      </c>
      <c r="AB931" s="6" t="str">
        <f>IFERROR(VLOOKUP(D:D,[1]Габариты!$A:$D,4,0),"")</f>
        <v>МАТРАСЫ</v>
      </c>
      <c r="AC931" s="39">
        <f t="shared" si="177"/>
        <v>14050</v>
      </c>
      <c r="AD931" s="13" t="str">
        <f t="shared" si="171"/>
        <v>FBO</v>
      </c>
    </row>
    <row r="932" spans="1:30" s="6" customFormat="1" ht="20.100000000000001" customHeight="1" outlineLevel="1" x14ac:dyDescent="0.25">
      <c r="A932" s="665" t="s">
        <v>1781</v>
      </c>
      <c r="B932" s="2"/>
      <c r="C932" s="13" t="s">
        <v>2582</v>
      </c>
      <c r="D932" s="40">
        <v>14051</v>
      </c>
      <c r="E932" s="4"/>
      <c r="F932" s="101"/>
      <c r="G932" s="57"/>
      <c r="H932" s="4" t="s">
        <v>6482</v>
      </c>
      <c r="I932" s="4"/>
      <c r="J932" s="4"/>
      <c r="K932" s="54"/>
      <c r="L932" s="57"/>
      <c r="M932" s="57"/>
      <c r="N932" s="4" t="s">
        <v>3789</v>
      </c>
      <c r="O932" s="4">
        <v>1284484465</v>
      </c>
      <c r="P932" s="4">
        <v>1284484465</v>
      </c>
      <c r="Q932" s="767"/>
      <c r="R932" s="767"/>
      <c r="S932" s="4"/>
      <c r="T932" s="4"/>
      <c r="U932" s="4"/>
      <c r="V932" s="4"/>
      <c r="W932" s="4"/>
      <c r="X932" s="4"/>
      <c r="Y932" s="4" t="s">
        <v>4066</v>
      </c>
      <c r="Z932" s="35"/>
      <c r="AA932" s="1" t="str">
        <f>IFERROR(VLOOKUP(D:D,[1]Габариты!$A:$I,9,0),"")</f>
        <v>Вакансия</v>
      </c>
      <c r="AB932" s="6" t="str">
        <f>IFERROR(VLOOKUP(D:D,[1]Габариты!$A:$D,4,0),"")</f>
        <v>МАТРАСЫ</v>
      </c>
      <c r="AC932" s="39">
        <f t="shared" si="177"/>
        <v>14051</v>
      </c>
      <c r="AD932" s="13" t="str">
        <f t="shared" si="171"/>
        <v>FBO</v>
      </c>
    </row>
    <row r="933" spans="1:30" s="6" customFormat="1" ht="20.100000000000001" customHeight="1" outlineLevel="1" x14ac:dyDescent="0.25">
      <c r="A933" s="665" t="s">
        <v>1782</v>
      </c>
      <c r="B933" s="2"/>
      <c r="C933" s="13" t="s">
        <v>2582</v>
      </c>
      <c r="D933" s="40">
        <v>14052</v>
      </c>
      <c r="E933" s="4"/>
      <c r="F933" s="101"/>
      <c r="G933" s="57"/>
      <c r="H933" s="4" t="s">
        <v>6483</v>
      </c>
      <c r="I933" s="4"/>
      <c r="J933" s="4"/>
      <c r="K933" s="54"/>
      <c r="L933" s="57"/>
      <c r="M933" s="57"/>
      <c r="N933" s="4" t="s">
        <v>4070</v>
      </c>
      <c r="O933" s="4">
        <v>1342841876</v>
      </c>
      <c r="P933" s="4">
        <v>1342841876</v>
      </c>
      <c r="Q933" s="767"/>
      <c r="R933" s="767"/>
      <c r="S933" s="4"/>
      <c r="T933" s="4"/>
      <c r="U933" s="4"/>
      <c r="V933" s="4"/>
      <c r="W933" s="4"/>
      <c r="X933" s="4"/>
      <c r="Y933" s="4" t="s">
        <v>4066</v>
      </c>
      <c r="Z933" s="35"/>
      <c r="AA933" s="1" t="str">
        <f>IFERROR(VLOOKUP(D:D,[1]Габариты!$A:$I,9,0),"")</f>
        <v>Вакансия</v>
      </c>
      <c r="AB933" s="6" t="str">
        <f>IFERROR(VLOOKUP(D:D,[1]Габариты!$A:$D,4,0),"")</f>
        <v>МАТРАСЫ</v>
      </c>
      <c r="AC933" s="39">
        <f t="shared" si="177"/>
        <v>14052</v>
      </c>
      <c r="AD933" s="13" t="str">
        <f t="shared" si="171"/>
        <v>FBO</v>
      </c>
    </row>
    <row r="934" spans="1:30" s="6" customFormat="1" ht="20.100000000000001" customHeight="1" outlineLevel="1" x14ac:dyDescent="0.25">
      <c r="A934" s="665" t="s">
        <v>1783</v>
      </c>
      <c r="B934" s="2"/>
      <c r="C934" s="13" t="s">
        <v>2582</v>
      </c>
      <c r="D934" s="40">
        <v>14053</v>
      </c>
      <c r="E934" s="4"/>
      <c r="F934" s="101"/>
      <c r="G934" s="57"/>
      <c r="H934" s="4" t="s">
        <v>6484</v>
      </c>
      <c r="I934" s="4"/>
      <c r="J934" s="4"/>
      <c r="K934" s="54"/>
      <c r="L934" s="57"/>
      <c r="M934" s="57"/>
      <c r="N934" s="4" t="s">
        <v>3833</v>
      </c>
      <c r="O934" s="4">
        <v>1342968177</v>
      </c>
      <c r="P934" s="4">
        <v>1342968177</v>
      </c>
      <c r="Q934" s="767"/>
      <c r="R934" s="767"/>
      <c r="S934" s="4"/>
      <c r="T934" s="4"/>
      <c r="U934" s="4"/>
      <c r="V934" s="4"/>
      <c r="W934" s="4"/>
      <c r="X934" s="4"/>
      <c r="Y934" s="4" t="s">
        <v>4066</v>
      </c>
      <c r="Z934" s="35"/>
      <c r="AA934" s="1" t="str">
        <f>IFERROR(VLOOKUP(D:D,[1]Габариты!$A:$I,9,0),"")</f>
        <v>Вакансия</v>
      </c>
      <c r="AB934" s="6" t="str">
        <f>IFERROR(VLOOKUP(D:D,[1]Габариты!$A:$D,4,0),"")</f>
        <v>МАТРАСЫ</v>
      </c>
      <c r="AC934" s="39">
        <f t="shared" si="177"/>
        <v>14053</v>
      </c>
      <c r="AD934" s="13" t="str">
        <f t="shared" si="171"/>
        <v>FBO</v>
      </c>
    </row>
    <row r="935" spans="1:30" s="6" customFormat="1" ht="20.100000000000001" customHeight="1" outlineLevel="1" x14ac:dyDescent="0.25">
      <c r="A935" s="665" t="s">
        <v>1784</v>
      </c>
      <c r="B935" s="2"/>
      <c r="C935" s="13" t="s">
        <v>2582</v>
      </c>
      <c r="D935" s="40">
        <v>14054</v>
      </c>
      <c r="E935" s="4"/>
      <c r="F935" s="101"/>
      <c r="G935" s="57"/>
      <c r="H935" s="4" t="s">
        <v>6485</v>
      </c>
      <c r="I935" s="4"/>
      <c r="J935" s="4"/>
      <c r="K935" s="54"/>
      <c r="L935" s="57"/>
      <c r="M935" s="57"/>
      <c r="N935" s="4" t="s">
        <v>3832</v>
      </c>
      <c r="O935" s="4">
        <v>1342898747</v>
      </c>
      <c r="P935" s="4">
        <v>1342898747</v>
      </c>
      <c r="Q935" s="767"/>
      <c r="R935" s="767"/>
      <c r="S935" s="4"/>
      <c r="T935" s="4"/>
      <c r="U935" s="4"/>
      <c r="V935" s="4"/>
      <c r="W935" s="4"/>
      <c r="X935" s="4"/>
      <c r="Y935" s="4" t="s">
        <v>4066</v>
      </c>
      <c r="Z935" s="35"/>
      <c r="AA935" s="1" t="str">
        <f>IFERROR(VLOOKUP(D:D,[1]Габариты!$A:$I,9,0),"")</f>
        <v>Вакансия</v>
      </c>
      <c r="AB935" s="6" t="str">
        <f>IFERROR(VLOOKUP(D:D,[1]Габариты!$A:$D,4,0),"")</f>
        <v>МАТРАСЫ</v>
      </c>
      <c r="AC935" s="39">
        <f t="shared" si="177"/>
        <v>14054</v>
      </c>
      <c r="AD935" s="13" t="str">
        <f t="shared" si="171"/>
        <v>FBO</v>
      </c>
    </row>
    <row r="936" spans="1:30" s="6" customFormat="1" ht="20.100000000000001" customHeight="1" outlineLevel="1" x14ac:dyDescent="0.25">
      <c r="A936" s="665" t="s">
        <v>1785</v>
      </c>
      <c r="B936" s="2"/>
      <c r="C936" s="13" t="s">
        <v>2582</v>
      </c>
      <c r="D936" s="40">
        <v>14055</v>
      </c>
      <c r="E936" s="4"/>
      <c r="F936" s="101"/>
      <c r="G936" s="57"/>
      <c r="H936" s="4" t="s">
        <v>6486</v>
      </c>
      <c r="I936" s="4"/>
      <c r="J936" s="4"/>
      <c r="K936" s="54"/>
      <c r="L936" s="57"/>
      <c r="M936" s="57"/>
      <c r="N936" s="4" t="s">
        <v>3834</v>
      </c>
      <c r="O936" s="4">
        <v>1342993080</v>
      </c>
      <c r="P936" s="4">
        <v>1342993080</v>
      </c>
      <c r="Q936" s="767"/>
      <c r="R936" s="767"/>
      <c r="S936" s="4"/>
      <c r="T936" s="4"/>
      <c r="U936" s="4"/>
      <c r="V936" s="4"/>
      <c r="W936" s="4"/>
      <c r="X936" s="4"/>
      <c r="Y936" s="4" t="s">
        <v>4066</v>
      </c>
      <c r="Z936" s="35"/>
      <c r="AA936" s="1" t="str">
        <f>IFERROR(VLOOKUP(D:D,[1]Габариты!$A:$I,9,0),"")</f>
        <v>Вакансия</v>
      </c>
      <c r="AB936" s="6" t="str">
        <f>IFERROR(VLOOKUP(D:D,[1]Габариты!$A:$D,4,0),"")</f>
        <v>МАТРАСЫ</v>
      </c>
      <c r="AC936" s="39">
        <f t="shared" si="177"/>
        <v>14055</v>
      </c>
      <c r="AD936" s="13" t="str">
        <f t="shared" si="171"/>
        <v>FBO</v>
      </c>
    </row>
    <row r="937" spans="1:30" s="6" customFormat="1" ht="20.100000000000001" customHeight="1" outlineLevel="1" x14ac:dyDescent="0.25">
      <c r="A937" s="665" t="s">
        <v>3843</v>
      </c>
      <c r="B937" s="2"/>
      <c r="C937" s="13" t="s">
        <v>2582</v>
      </c>
      <c r="D937" s="40">
        <v>14063</v>
      </c>
      <c r="E937" s="4">
        <v>14</v>
      </c>
      <c r="F937" s="101"/>
      <c r="G937" s="57"/>
      <c r="H937" s="4" t="s">
        <v>6487</v>
      </c>
      <c r="I937" s="4"/>
      <c r="J937" s="4"/>
      <c r="K937" s="54"/>
      <c r="L937" s="57"/>
      <c r="M937" s="57"/>
      <c r="N937" s="4" t="s">
        <v>3866</v>
      </c>
      <c r="O937" s="4">
        <v>1378156928</v>
      </c>
      <c r="P937" s="4">
        <v>1378156928</v>
      </c>
      <c r="Q937" s="767"/>
      <c r="R937" s="767"/>
      <c r="S937" s="4"/>
      <c r="T937" s="4"/>
      <c r="U937" s="4"/>
      <c r="V937" s="4"/>
      <c r="W937" s="4"/>
      <c r="X937" s="4"/>
      <c r="Y937" s="4" t="s">
        <v>4066</v>
      </c>
      <c r="Z937" s="35"/>
      <c r="AA937" s="1" t="str">
        <f>IFERROR(VLOOKUP(D:D,[1]Габариты!$A:$I,9,0),"")</f>
        <v>Вакансия</v>
      </c>
      <c r="AB937" s="6" t="str">
        <f>IFERROR(VLOOKUP(D:D,[1]Габариты!$A:$D,4,0),"")</f>
        <v>МАТРАСЫ</v>
      </c>
      <c r="AC937" s="39">
        <f t="shared" si="177"/>
        <v>14063</v>
      </c>
      <c r="AD937" s="13" t="str">
        <f t="shared" si="171"/>
        <v>FBO</v>
      </c>
    </row>
    <row r="938" spans="1:30" s="6" customFormat="1" ht="20.100000000000001" customHeight="1" outlineLevel="1" x14ac:dyDescent="0.25">
      <c r="A938" s="665" t="s">
        <v>3841</v>
      </c>
      <c r="B938" s="2"/>
      <c r="C938" s="13" t="s">
        <v>2582</v>
      </c>
      <c r="D938" s="40">
        <v>14064</v>
      </c>
      <c r="E938" s="4">
        <v>12</v>
      </c>
      <c r="F938" s="101"/>
      <c r="G938" s="57"/>
      <c r="H938" s="4" t="s">
        <v>6488</v>
      </c>
      <c r="I938" s="4"/>
      <c r="J938" s="4"/>
      <c r="K938" s="54"/>
      <c r="L938" s="57"/>
      <c r="M938" s="57"/>
      <c r="N938" s="4" t="s">
        <v>3864</v>
      </c>
      <c r="O938" s="4">
        <v>1378148230</v>
      </c>
      <c r="P938" s="4">
        <v>1378148230</v>
      </c>
      <c r="Q938" s="767"/>
      <c r="R938" s="767"/>
      <c r="S938" s="4"/>
      <c r="T938" s="4"/>
      <c r="U938" s="4"/>
      <c r="V938" s="4"/>
      <c r="W938" s="4"/>
      <c r="X938" s="4"/>
      <c r="Y938" s="4" t="s">
        <v>4066</v>
      </c>
      <c r="Z938" s="35"/>
      <c r="AA938" s="1" t="str">
        <f>IFERROR(VLOOKUP(D:D,[1]Габариты!$A:$I,9,0),"")</f>
        <v>Вакансия</v>
      </c>
      <c r="AB938" s="6" t="str">
        <f>IFERROR(VLOOKUP(D:D,[1]Габариты!$A:$D,4,0),"")</f>
        <v>МАТРАСЫ</v>
      </c>
      <c r="AC938" s="39">
        <f t="shared" si="177"/>
        <v>14064</v>
      </c>
      <c r="AD938" s="13" t="str">
        <f t="shared" si="171"/>
        <v>FBO</v>
      </c>
    </row>
    <row r="939" spans="1:30" s="6" customFormat="1" ht="20.100000000000001" customHeight="1" outlineLevel="1" x14ac:dyDescent="0.25">
      <c r="A939" s="665" t="s">
        <v>3842</v>
      </c>
      <c r="B939" s="2"/>
      <c r="C939" s="13" t="s">
        <v>2582</v>
      </c>
      <c r="D939" s="40">
        <v>14065</v>
      </c>
      <c r="E939" s="4">
        <v>11</v>
      </c>
      <c r="F939" s="101"/>
      <c r="G939" s="57"/>
      <c r="H939" s="4" t="s">
        <v>6489</v>
      </c>
      <c r="I939" s="4"/>
      <c r="J939" s="4"/>
      <c r="K939" s="54"/>
      <c r="L939" s="57"/>
      <c r="M939" s="57"/>
      <c r="N939" s="4" t="s">
        <v>3865</v>
      </c>
      <c r="O939" s="4">
        <v>1378152292</v>
      </c>
      <c r="P939" s="4">
        <v>1378152292</v>
      </c>
      <c r="Q939" s="767"/>
      <c r="R939" s="767"/>
      <c r="S939" s="4"/>
      <c r="T939" s="4"/>
      <c r="U939" s="4"/>
      <c r="V939" s="4"/>
      <c r="W939" s="4"/>
      <c r="X939" s="4"/>
      <c r="Y939" s="4" t="s">
        <v>4066</v>
      </c>
      <c r="Z939" s="35"/>
      <c r="AA939" s="1" t="str">
        <f>IFERROR(VLOOKUP(D:D,[1]Габариты!$A:$I,9,0),"")</f>
        <v>Вакансия</v>
      </c>
      <c r="AB939" s="6" t="str">
        <f>IFERROR(VLOOKUP(D:D,[1]Габариты!$A:$D,4,0),"")</f>
        <v>МАТРАСЫ</v>
      </c>
      <c r="AC939" s="39">
        <f t="shared" si="177"/>
        <v>14065</v>
      </c>
      <c r="AD939" s="13" t="str">
        <f t="shared" si="171"/>
        <v>FBO</v>
      </c>
    </row>
    <row r="940" spans="1:30" s="6" customFormat="1" ht="20.100000000000001" customHeight="1" outlineLevel="1" x14ac:dyDescent="0.25">
      <c r="A940" s="665" t="s">
        <v>3924</v>
      </c>
      <c r="B940" s="2"/>
      <c r="C940" s="13" t="s">
        <v>2582</v>
      </c>
      <c r="D940" s="40">
        <v>14066</v>
      </c>
      <c r="E940" s="4">
        <v>14</v>
      </c>
      <c r="F940" s="101"/>
      <c r="G940" s="57"/>
      <c r="H940" s="4" t="s">
        <v>7433</v>
      </c>
      <c r="I940" s="4"/>
      <c r="J940" s="4"/>
      <c r="K940" s="54"/>
      <c r="L940" s="57"/>
      <c r="M940" s="57"/>
      <c r="N940" s="4" t="s">
        <v>3867</v>
      </c>
      <c r="O940" s="4">
        <v>1378099031</v>
      </c>
      <c r="P940" s="4">
        <v>1378099031</v>
      </c>
      <c r="Q940" s="767"/>
      <c r="R940" s="767"/>
      <c r="S940" s="4"/>
      <c r="T940" s="4"/>
      <c r="U940" s="4"/>
      <c r="V940" s="4"/>
      <c r="W940" s="4"/>
      <c r="X940" s="4"/>
      <c r="Y940" s="4" t="s">
        <v>4066</v>
      </c>
      <c r="Z940" s="35"/>
      <c r="AA940" s="1" t="str">
        <f>IFERROR(VLOOKUP(D:D,[1]Габариты!$A:$I,9,0),"")</f>
        <v>Вакансия</v>
      </c>
      <c r="AB940" s="6" t="str">
        <f>IFERROR(VLOOKUP(D:D,[1]Габариты!$A:$D,4,0),"")</f>
        <v>МАТРАСЫ</v>
      </c>
      <c r="AC940" s="39">
        <f t="shared" si="177"/>
        <v>14066</v>
      </c>
      <c r="AD940" s="13" t="str">
        <f t="shared" si="171"/>
        <v>FBO</v>
      </c>
    </row>
    <row r="941" spans="1:30" s="6" customFormat="1" ht="20.100000000000001" customHeight="1" outlineLevel="1" x14ac:dyDescent="0.25">
      <c r="A941" s="665" t="s">
        <v>3863</v>
      </c>
      <c r="B941" s="2"/>
      <c r="C941" s="13" t="s">
        <v>2582</v>
      </c>
      <c r="D941" s="40">
        <v>14067</v>
      </c>
      <c r="E941" s="4">
        <v>12</v>
      </c>
      <c r="F941" s="101"/>
      <c r="G941" s="57"/>
      <c r="H941" s="4"/>
      <c r="I941" s="4"/>
      <c r="J941" s="4"/>
      <c r="K941" s="54"/>
      <c r="L941" s="57"/>
      <c r="M941" s="57"/>
      <c r="N941" s="4" t="s">
        <v>3869</v>
      </c>
      <c r="O941" s="4">
        <v>1378093807</v>
      </c>
      <c r="P941" s="4">
        <v>1378093807</v>
      </c>
      <c r="Q941" s="767"/>
      <c r="R941" s="767"/>
      <c r="S941" s="4"/>
      <c r="T941" s="4"/>
      <c r="U941" s="4"/>
      <c r="V941" s="4"/>
      <c r="W941" s="4"/>
      <c r="X941" s="4"/>
      <c r="Y941" s="4" t="s">
        <v>4066</v>
      </c>
      <c r="Z941" s="35"/>
      <c r="AA941" s="1" t="str">
        <f>IFERROR(VLOOKUP(D:D,[1]Габариты!$A:$I,9,0),"")</f>
        <v>Вакансия</v>
      </c>
      <c r="AB941" s="6" t="str">
        <f>IFERROR(VLOOKUP(D:D,[1]Габариты!$A:$D,4,0),"")</f>
        <v>МАТРАСЫ</v>
      </c>
      <c r="AC941" s="39">
        <f t="shared" si="177"/>
        <v>14067</v>
      </c>
      <c r="AD941" s="13" t="str">
        <f t="shared" si="171"/>
        <v>FBO</v>
      </c>
    </row>
    <row r="942" spans="1:30" s="6" customFormat="1" ht="20.100000000000001" customHeight="1" outlineLevel="1" x14ac:dyDescent="0.25">
      <c r="A942" s="665" t="s">
        <v>3862</v>
      </c>
      <c r="B942" s="2"/>
      <c r="C942" s="13" t="s">
        <v>2582</v>
      </c>
      <c r="D942" s="40">
        <v>14068</v>
      </c>
      <c r="E942" s="4">
        <v>11</v>
      </c>
      <c r="F942" s="101"/>
      <c r="G942" s="57"/>
      <c r="H942" s="4"/>
      <c r="I942" s="4"/>
      <c r="J942" s="4"/>
      <c r="K942" s="54"/>
      <c r="L942" s="57"/>
      <c r="M942" s="57"/>
      <c r="N942" s="4" t="s">
        <v>3868</v>
      </c>
      <c r="O942" s="4">
        <v>1378080187</v>
      </c>
      <c r="P942" s="4">
        <v>1378080187</v>
      </c>
      <c r="Q942" s="767"/>
      <c r="R942" s="767"/>
      <c r="S942" s="4"/>
      <c r="T942" s="4"/>
      <c r="U942" s="4"/>
      <c r="V942" s="4"/>
      <c r="W942" s="4"/>
      <c r="X942" s="4"/>
      <c r="Y942" s="4" t="s">
        <v>4066</v>
      </c>
      <c r="Z942" s="35"/>
      <c r="AA942" s="1" t="str">
        <f>IFERROR(VLOOKUP(D:D,[1]Габариты!$A:$I,9,0),"")</f>
        <v>Вакансия</v>
      </c>
      <c r="AB942" s="6" t="str">
        <f>IFERROR(VLOOKUP(D:D,[1]Габариты!$A:$D,4,0),"")</f>
        <v>МАТРАСЫ</v>
      </c>
      <c r="AC942" s="39">
        <f t="shared" si="177"/>
        <v>14068</v>
      </c>
      <c r="AD942" s="13" t="str">
        <f t="shared" si="171"/>
        <v>FBO</v>
      </c>
    </row>
    <row r="943" spans="1:30" s="6" customFormat="1" ht="20.100000000000001" customHeight="1" outlineLevel="1" x14ac:dyDescent="0.2">
      <c r="A943" s="753" t="s">
        <v>427</v>
      </c>
      <c r="B943" s="753" t="s">
        <v>3846</v>
      </c>
      <c r="C943" s="13"/>
      <c r="D943" s="40"/>
      <c r="E943" s="4"/>
      <c r="F943" s="101"/>
      <c r="G943" s="57"/>
      <c r="H943" s="4"/>
      <c r="I943" s="4"/>
      <c r="J943" s="4"/>
      <c r="K943" s="54"/>
      <c r="L943" s="57"/>
      <c r="M943" s="57"/>
      <c r="N943" s="766"/>
      <c r="O943" s="4"/>
      <c r="P943" s="4"/>
      <c r="Q943" s="767"/>
      <c r="R943" s="767"/>
      <c r="S943" s="4"/>
      <c r="T943" s="4"/>
      <c r="U943" s="4"/>
      <c r="V943" s="4"/>
      <c r="W943" s="4"/>
      <c r="X943" s="4"/>
      <c r="Y943" s="4" t="s">
        <v>4066</v>
      </c>
      <c r="Z943" s="35"/>
      <c r="AA943" s="1" t="str">
        <f>IFERROR(VLOOKUP(D:D,[1]Габариты!$A:$I,9,0),"")</f>
        <v/>
      </c>
      <c r="AB943" s="6" t="str">
        <f>IFERROR(VLOOKUP(D:D,[1]Габариты!$A:$D,4,0),"")</f>
        <v/>
      </c>
      <c r="AC943" s="39"/>
      <c r="AD943" s="3"/>
    </row>
    <row r="944" spans="1:30" s="6" customFormat="1" ht="20.100000000000001" customHeight="1" outlineLevel="1" x14ac:dyDescent="0.25">
      <c r="A944" s="635" t="s">
        <v>64</v>
      </c>
      <c r="B944" s="3"/>
      <c r="C944" s="13" t="s">
        <v>2582</v>
      </c>
      <c r="D944" s="39">
        <v>2478</v>
      </c>
      <c r="E944" s="4">
        <v>24</v>
      </c>
      <c r="F944" s="101">
        <v>2478</v>
      </c>
      <c r="G944" s="57" t="s">
        <v>4791</v>
      </c>
      <c r="H944" s="4"/>
      <c r="I944" s="4"/>
      <c r="J944" s="4"/>
      <c r="K944" s="54"/>
      <c r="L944" s="57"/>
      <c r="M944" s="57"/>
      <c r="N944" s="766"/>
      <c r="O944" s="4"/>
      <c r="P944" s="4"/>
      <c r="Q944" s="767"/>
      <c r="R944" s="767"/>
      <c r="S944" s="4"/>
      <c r="T944" s="4"/>
      <c r="U944" s="4"/>
      <c r="V944" s="4"/>
      <c r="W944" s="4" t="s">
        <v>2161</v>
      </c>
      <c r="X944" s="4"/>
      <c r="Y944" s="4" t="s">
        <v>4066</v>
      </c>
      <c r="Z944" s="35"/>
      <c r="AA944" s="1" t="str">
        <f>IFERROR(VLOOKUP(D:D,[1]Габариты!$A:$I,9,0),"")</f>
        <v>Вакансия</v>
      </c>
      <c r="AB944" s="6" t="str">
        <f>IFERROR(VLOOKUP(D:D,[1]Габариты!$A:$D,4,0),"")</f>
        <v>ОБУВНИЦЫ</v>
      </c>
      <c r="AC944" s="39">
        <f t="shared" si="177"/>
        <v>2478</v>
      </c>
      <c r="AD944" s="13" t="str">
        <f t="shared" si="171"/>
        <v>FBO</v>
      </c>
    </row>
    <row r="945" spans="1:30" s="6" customFormat="1" ht="20.100000000000001" customHeight="1" outlineLevel="1" x14ac:dyDescent="0.25">
      <c r="A945" s="635" t="s">
        <v>140</v>
      </c>
      <c r="B945" s="3"/>
      <c r="C945" s="13" t="s">
        <v>2582</v>
      </c>
      <c r="D945" s="39">
        <v>2566</v>
      </c>
      <c r="E945" s="4">
        <v>42</v>
      </c>
      <c r="F945" s="101">
        <v>2566</v>
      </c>
      <c r="G945" s="57" t="s">
        <v>4816</v>
      </c>
      <c r="H945" s="4"/>
      <c r="I945" s="4"/>
      <c r="J945" s="4"/>
      <c r="K945" s="54"/>
      <c r="L945" s="57"/>
      <c r="M945" s="57"/>
      <c r="N945" s="806" t="s">
        <v>7667</v>
      </c>
      <c r="O945" s="4">
        <v>264458131</v>
      </c>
      <c r="P945" s="4">
        <v>264458143</v>
      </c>
      <c r="Q945" s="767" t="s">
        <v>2733</v>
      </c>
      <c r="R945" s="767">
        <v>346540749</v>
      </c>
      <c r="S945" s="4">
        <v>346540787</v>
      </c>
      <c r="T945" s="4"/>
      <c r="U945" s="4"/>
      <c r="V945" s="4"/>
      <c r="W945" s="4" t="s">
        <v>2163</v>
      </c>
      <c r="X945" s="4"/>
      <c r="Y945" s="4" t="s">
        <v>4066</v>
      </c>
      <c r="Z945" s="35"/>
      <c r="AA945" s="1" t="str">
        <f>IFERROR(VLOOKUP(D:D,[1]Габариты!$A:$I,9,0),"")</f>
        <v>Вакансия</v>
      </c>
      <c r="AB945" s="6" t="str">
        <f>IFERROR(VLOOKUP(D:D,[1]Габариты!$A:$D,4,0),"")</f>
        <v>ОБУВНИЦЫ</v>
      </c>
      <c r="AC945" s="39">
        <f t="shared" si="177"/>
        <v>2566</v>
      </c>
      <c r="AD945" s="13" t="str">
        <f t="shared" si="171"/>
        <v>FBO</v>
      </c>
    </row>
    <row r="946" spans="1:30" s="6" customFormat="1" ht="20.100000000000001" customHeight="1" outlineLevel="1" x14ac:dyDescent="0.25">
      <c r="A946" s="635" t="s">
        <v>137</v>
      </c>
      <c r="B946" s="3"/>
      <c r="C946" s="13" t="s">
        <v>2582</v>
      </c>
      <c r="D946" s="39">
        <v>2540</v>
      </c>
      <c r="E946" s="4">
        <v>42</v>
      </c>
      <c r="F946" s="101">
        <v>2540</v>
      </c>
      <c r="G946" s="57" t="s">
        <v>4809</v>
      </c>
      <c r="H946" s="4"/>
      <c r="I946" s="4"/>
      <c r="J946" s="4"/>
      <c r="K946" s="54"/>
      <c r="L946" s="57"/>
      <c r="M946" s="57"/>
      <c r="N946" s="806" t="s">
        <v>7668</v>
      </c>
      <c r="O946" s="4">
        <v>264461172</v>
      </c>
      <c r="P946" s="4">
        <v>264461183</v>
      </c>
      <c r="Q946" s="767" t="s">
        <v>2734</v>
      </c>
      <c r="R946" s="767">
        <v>345800774</v>
      </c>
      <c r="S946" s="4">
        <v>345800801</v>
      </c>
      <c r="T946" s="4"/>
      <c r="U946" s="4"/>
      <c r="V946" s="4"/>
      <c r="W946" s="4" t="s">
        <v>2164</v>
      </c>
      <c r="X946" s="4"/>
      <c r="Y946" s="4" t="s">
        <v>4066</v>
      </c>
      <c r="Z946" s="35"/>
      <c r="AA946" s="1" t="str">
        <f>IFERROR(VLOOKUP(D:D,[1]Габариты!$A:$I,9,0),"")</f>
        <v>Вакансия</v>
      </c>
      <c r="AB946" s="6" t="str">
        <f>IFERROR(VLOOKUP(D:D,[1]Габариты!$A:$D,4,0),"")</f>
        <v>ОБУВНИЦЫ</v>
      </c>
      <c r="AC946" s="39">
        <f t="shared" si="177"/>
        <v>2540</v>
      </c>
      <c r="AD946" s="13" t="str">
        <f t="shared" si="171"/>
        <v>FBO</v>
      </c>
    </row>
    <row r="947" spans="1:30" s="6" customFormat="1" ht="20.100000000000001" customHeight="1" outlineLevel="1" x14ac:dyDescent="0.25">
      <c r="A947" s="635" t="s">
        <v>138</v>
      </c>
      <c r="B947" s="3"/>
      <c r="C947" s="13" t="s">
        <v>2582</v>
      </c>
      <c r="D947" s="39">
        <v>2553</v>
      </c>
      <c r="E947" s="4">
        <v>42</v>
      </c>
      <c r="F947" s="101">
        <v>2553</v>
      </c>
      <c r="G947" s="57" t="s">
        <v>4813</v>
      </c>
      <c r="H947" s="4" t="s">
        <v>7112</v>
      </c>
      <c r="I947" s="4"/>
      <c r="J947" s="4"/>
      <c r="K947" s="54"/>
      <c r="L947" s="57"/>
      <c r="M947" s="57"/>
      <c r="N947" s="4" t="s">
        <v>7730</v>
      </c>
      <c r="O947" s="4">
        <v>264467044</v>
      </c>
      <c r="P947" s="4">
        <v>264467049</v>
      </c>
      <c r="Q947" s="767"/>
      <c r="R947" s="767"/>
      <c r="S947" s="4"/>
      <c r="T947" s="4"/>
      <c r="U947" s="4"/>
      <c r="V947" s="4"/>
      <c r="W947" s="4" t="s">
        <v>2168</v>
      </c>
      <c r="X947" s="4"/>
      <c r="Y947" s="4" t="s">
        <v>4066</v>
      </c>
      <c r="Z947" s="35"/>
      <c r="AA947" s="1" t="str">
        <f>IFERROR(VLOOKUP(D:D,[1]Габариты!$A:$I,9,0),"")</f>
        <v>Вакансия</v>
      </c>
      <c r="AB947" s="6" t="str">
        <f>IFERROR(VLOOKUP(D:D,[1]Габариты!$A:$D,4,0),"")</f>
        <v>ОБУВНИЦЫ</v>
      </c>
      <c r="AC947" s="39">
        <f t="shared" si="177"/>
        <v>2553</v>
      </c>
      <c r="AD947" s="13" t="str">
        <f t="shared" si="171"/>
        <v>FBO</v>
      </c>
    </row>
    <row r="948" spans="1:30" s="6" customFormat="1" ht="20.100000000000001" customHeight="1" outlineLevel="1" x14ac:dyDescent="0.25">
      <c r="A948" s="635" t="s">
        <v>86</v>
      </c>
      <c r="B948" s="3"/>
      <c r="C948" s="13" t="s">
        <v>2582</v>
      </c>
      <c r="D948" s="39">
        <v>2600</v>
      </c>
      <c r="E948" s="4">
        <v>72</v>
      </c>
      <c r="F948" s="101">
        <v>2600</v>
      </c>
      <c r="G948" s="57" t="s">
        <v>4822</v>
      </c>
      <c r="H948" s="4"/>
      <c r="I948" s="4"/>
      <c r="J948" s="4"/>
      <c r="K948" s="54"/>
      <c r="L948" s="57"/>
      <c r="M948" s="57"/>
      <c r="N948" s="4" t="s">
        <v>605</v>
      </c>
      <c r="O948" s="4">
        <v>264814121</v>
      </c>
      <c r="P948" s="4">
        <v>264814137</v>
      </c>
      <c r="Q948" s="767"/>
      <c r="R948" s="767">
        <v>370832577</v>
      </c>
      <c r="S948" s="4">
        <v>370832578</v>
      </c>
      <c r="T948" s="4"/>
      <c r="U948" s="4"/>
      <c r="V948" s="4"/>
      <c r="W948" s="4" t="s">
        <v>2169</v>
      </c>
      <c r="X948" s="4" t="s">
        <v>605</v>
      </c>
      <c r="Y948" s="4" t="s">
        <v>4066</v>
      </c>
      <c r="Z948" s="35"/>
      <c r="AA948" s="1" t="str">
        <f>IFERROR(VLOOKUP(D:D,[1]Габариты!$A:$I,9,0),"")</f>
        <v>Вакансия</v>
      </c>
      <c r="AB948" s="6" t="str">
        <f>IFERROR(VLOOKUP(D:D,[1]Габариты!$A:$D,4,0),"")</f>
        <v>ОБУВНИЦЫ</v>
      </c>
      <c r="AC948" s="39">
        <f t="shared" si="177"/>
        <v>2600</v>
      </c>
      <c r="AD948" s="13" t="str">
        <f t="shared" si="171"/>
        <v>FBO</v>
      </c>
    </row>
    <row r="949" spans="1:30" s="6" customFormat="1" ht="20.100000000000001" customHeight="1" outlineLevel="1" x14ac:dyDescent="0.25">
      <c r="A949" s="635" t="s">
        <v>87</v>
      </c>
      <c r="B949" s="3"/>
      <c r="C949" s="13" t="s">
        <v>2582</v>
      </c>
      <c r="D949" s="39">
        <v>2601</v>
      </c>
      <c r="E949" s="4">
        <v>72</v>
      </c>
      <c r="F949" s="101">
        <v>2601</v>
      </c>
      <c r="G949" s="57" t="s">
        <v>4823</v>
      </c>
      <c r="H949" s="4"/>
      <c r="I949" s="4"/>
      <c r="J949" s="4"/>
      <c r="K949" s="54">
        <v>2601</v>
      </c>
      <c r="L949" s="57">
        <v>195012776</v>
      </c>
      <c r="M949" s="57">
        <v>195012776</v>
      </c>
      <c r="N949" s="4" t="s">
        <v>606</v>
      </c>
      <c r="O949" s="4">
        <v>264850368</v>
      </c>
      <c r="P949" s="4">
        <v>264850378</v>
      </c>
      <c r="Q949" s="767"/>
      <c r="R949" s="767">
        <v>352432799</v>
      </c>
      <c r="S949" s="4">
        <v>352432798</v>
      </c>
      <c r="T949" s="4"/>
      <c r="U949" s="4"/>
      <c r="V949" s="4"/>
      <c r="W949" s="4" t="s">
        <v>2170</v>
      </c>
      <c r="X949" s="4" t="s">
        <v>606</v>
      </c>
      <c r="Y949" s="4" t="s">
        <v>4066</v>
      </c>
      <c r="Z949" s="35"/>
      <c r="AA949" s="1" t="str">
        <f>IFERROR(VLOOKUP(D:D,[1]Габариты!$A:$I,9,0),"")</f>
        <v>Вакансия</v>
      </c>
      <c r="AB949" s="6" t="str">
        <f>IFERROR(VLOOKUP(D:D,[1]Габариты!$A:$D,4,0),"")</f>
        <v>ОБУВНИЦЫ</v>
      </c>
      <c r="AC949" s="39">
        <f t="shared" si="177"/>
        <v>2601</v>
      </c>
      <c r="AD949" s="13" t="str">
        <f t="shared" si="171"/>
        <v>FBO</v>
      </c>
    </row>
    <row r="950" spans="1:30" s="6" customFormat="1" ht="20.100000000000001" customHeight="1" outlineLevel="1" x14ac:dyDescent="0.25">
      <c r="A950" s="635" t="s">
        <v>88</v>
      </c>
      <c r="B950" s="3"/>
      <c r="C950" s="13" t="s">
        <v>2582</v>
      </c>
      <c r="D950" s="39">
        <v>2602</v>
      </c>
      <c r="E950" s="4">
        <v>72</v>
      </c>
      <c r="F950" s="101">
        <v>2602</v>
      </c>
      <c r="G950" s="57" t="s">
        <v>4824</v>
      </c>
      <c r="H950" s="4"/>
      <c r="I950" s="4"/>
      <c r="J950" s="4"/>
      <c r="K950" s="54"/>
      <c r="L950" s="57"/>
      <c r="M950" s="57"/>
      <c r="N950" s="4" t="s">
        <v>607</v>
      </c>
      <c r="O950" s="4">
        <v>264852656</v>
      </c>
      <c r="P950" s="4">
        <v>264852659</v>
      </c>
      <c r="Q950" s="767" t="s">
        <v>2736</v>
      </c>
      <c r="R950" s="767">
        <v>346604867</v>
      </c>
      <c r="S950" s="4">
        <v>346604867</v>
      </c>
      <c r="T950" s="4"/>
      <c r="U950" s="4"/>
      <c r="V950" s="4"/>
      <c r="W950" s="4" t="s">
        <v>2171</v>
      </c>
      <c r="X950" s="4" t="s">
        <v>607</v>
      </c>
      <c r="Y950" s="4" t="s">
        <v>4066</v>
      </c>
      <c r="Z950" s="35"/>
      <c r="AA950" s="1" t="str">
        <f>IFERROR(VLOOKUP(D:D,[1]Габариты!$A:$I,9,0),"")</f>
        <v>Вакансия</v>
      </c>
      <c r="AB950" s="6" t="str">
        <f>IFERROR(VLOOKUP(D:D,[1]Габариты!$A:$D,4,0),"")</f>
        <v>ОБУВНИЦЫ</v>
      </c>
      <c r="AC950" s="39">
        <f t="shared" si="177"/>
        <v>2602</v>
      </c>
      <c r="AD950" s="13" t="str">
        <f t="shared" ref="AD950:AD1043" si="178">C950</f>
        <v>FBO</v>
      </c>
    </row>
    <row r="951" spans="1:30" s="6" customFormat="1" ht="20.100000000000001" customHeight="1" outlineLevel="1" x14ac:dyDescent="0.25">
      <c r="A951" s="635" t="s">
        <v>151</v>
      </c>
      <c r="B951" s="3"/>
      <c r="C951" s="13" t="s">
        <v>2581</v>
      </c>
      <c r="D951" s="39">
        <v>2643</v>
      </c>
      <c r="E951" s="4">
        <v>16</v>
      </c>
      <c r="F951" s="101">
        <v>2643</v>
      </c>
      <c r="G951" s="57" t="s">
        <v>4852</v>
      </c>
      <c r="H951" s="4"/>
      <c r="I951" s="4" t="s">
        <v>1202</v>
      </c>
      <c r="J951" s="4"/>
      <c r="K951" s="54">
        <v>2643</v>
      </c>
      <c r="L951" s="57">
        <v>248905979</v>
      </c>
      <c r="M951" s="57">
        <v>248905979</v>
      </c>
      <c r="N951" s="4" t="s">
        <v>632</v>
      </c>
      <c r="O951" s="4">
        <v>266955095</v>
      </c>
      <c r="P951" s="4">
        <v>266955104</v>
      </c>
      <c r="Q951" s="767" t="s">
        <v>2742</v>
      </c>
      <c r="R951" s="767">
        <v>351470064</v>
      </c>
      <c r="S951" s="4">
        <v>351470065</v>
      </c>
      <c r="T951" s="4"/>
      <c r="U951" s="4"/>
      <c r="V951" s="4"/>
      <c r="W951" s="4" t="s">
        <v>2177</v>
      </c>
      <c r="X951" s="4" t="s">
        <v>632</v>
      </c>
      <c r="Y951" s="4" t="s">
        <v>4066</v>
      </c>
      <c r="Z951" s="35"/>
      <c r="AA951" s="1" t="str">
        <f>IFERROR(VLOOKUP(D:D,[1]Габариты!$A:$I,9,0),"")</f>
        <v>Вакансия</v>
      </c>
      <c r="AB951" s="6" t="str">
        <f>IFERROR(VLOOKUP(D:D,[1]Габариты!$A:$D,4,0),"")</f>
        <v>ОБУВНИЦЫ</v>
      </c>
      <c r="AC951" s="39">
        <f t="shared" si="177"/>
        <v>2643</v>
      </c>
      <c r="AD951" s="13" t="str">
        <f t="shared" si="178"/>
        <v>FBS</v>
      </c>
    </row>
    <row r="952" spans="1:30" s="6" customFormat="1" ht="20.100000000000001" customHeight="1" outlineLevel="1" x14ac:dyDescent="0.25">
      <c r="A952" s="635" t="s">
        <v>1061</v>
      </c>
      <c r="B952" s="3"/>
      <c r="C952" s="13" t="s">
        <v>2581</v>
      </c>
      <c r="D952" s="39" t="s">
        <v>1482</v>
      </c>
      <c r="E952" s="4">
        <v>24</v>
      </c>
      <c r="F952" s="101" t="s">
        <v>4702</v>
      </c>
      <c r="G952" s="57" t="s">
        <v>5178</v>
      </c>
      <c r="H952" s="4"/>
      <c r="I952" s="4"/>
      <c r="J952" s="4"/>
      <c r="K952" s="54" t="s">
        <v>4702</v>
      </c>
      <c r="L952" s="57">
        <v>935428856</v>
      </c>
      <c r="M952" s="57">
        <v>935428856</v>
      </c>
      <c r="N952" s="4" t="s">
        <v>1407</v>
      </c>
      <c r="O952" s="4">
        <v>635626515</v>
      </c>
      <c r="P952" s="4">
        <v>635626513</v>
      </c>
      <c r="Q952" s="767"/>
      <c r="R952" s="767"/>
      <c r="S952" s="4"/>
      <c r="T952" s="4"/>
      <c r="U952" s="4"/>
      <c r="V952" s="4"/>
      <c r="W952" s="4"/>
      <c r="X952" s="4" t="s">
        <v>1407</v>
      </c>
      <c r="Y952" s="4" t="s">
        <v>4066</v>
      </c>
      <c r="Z952" s="35"/>
      <c r="AA952" s="1" t="str">
        <f>IFERROR(VLOOKUP(D:D,[1]Габариты!$A:$I,9,0),"")</f>
        <v>Вакансия</v>
      </c>
      <c r="AB952" s="6" t="str">
        <f>IFERROR(VLOOKUP(D:D,[1]Габариты!$A:$D,4,0),"")</f>
        <v>ОБУВНИЦЫ</v>
      </c>
      <c r="AC952" s="39" t="str">
        <f t="shared" si="177"/>
        <v>MK00034</v>
      </c>
      <c r="AD952" s="13" t="str">
        <f t="shared" si="178"/>
        <v>FBS</v>
      </c>
    </row>
    <row r="953" spans="1:30" s="6" customFormat="1" ht="20.100000000000001" customHeight="1" outlineLevel="1" x14ac:dyDescent="0.25">
      <c r="A953" s="635" t="s">
        <v>1100</v>
      </c>
      <c r="B953" s="3"/>
      <c r="C953" s="13" t="s">
        <v>2582</v>
      </c>
      <c r="D953" s="39">
        <v>7791</v>
      </c>
      <c r="E953" s="4">
        <v>18</v>
      </c>
      <c r="F953" s="101">
        <v>7791</v>
      </c>
      <c r="G953" s="57"/>
      <c r="H953" s="4"/>
      <c r="I953" s="4"/>
      <c r="J953" s="4"/>
      <c r="K953" s="54"/>
      <c r="L953" s="57"/>
      <c r="M953" s="57"/>
      <c r="N953" s="4" t="s">
        <v>1112</v>
      </c>
      <c r="O953" s="4">
        <v>660189153</v>
      </c>
      <c r="P953" s="4">
        <v>660189152</v>
      </c>
      <c r="Q953" s="767"/>
      <c r="R953" s="767"/>
      <c r="S953" s="4"/>
      <c r="T953" s="4"/>
      <c r="U953" s="4"/>
      <c r="V953" s="4"/>
      <c r="W953" s="4"/>
      <c r="X953" s="4" t="s">
        <v>1112</v>
      </c>
      <c r="Y953" s="4">
        <v>7791</v>
      </c>
      <c r="Z953" s="35"/>
      <c r="AA953" s="1" t="str">
        <f>IFERROR(VLOOKUP(D:D,[1]Габариты!$A:$I,9,0),"")</f>
        <v>Вакансия</v>
      </c>
      <c r="AB953" s="6" t="str">
        <f>IFERROR(VLOOKUP(D:D,[1]Габариты!$A:$D,4,0),"")</f>
        <v>ОБУВНИЦЫ</v>
      </c>
      <c r="AC953" s="39">
        <f t="shared" si="177"/>
        <v>7791</v>
      </c>
      <c r="AD953" s="13" t="str">
        <f t="shared" si="178"/>
        <v>FBO</v>
      </c>
    </row>
    <row r="954" spans="1:30" s="6" customFormat="1" ht="20.100000000000001" customHeight="1" outlineLevel="1" x14ac:dyDescent="0.25">
      <c r="A954" s="635" t="s">
        <v>1102</v>
      </c>
      <c r="B954" s="3"/>
      <c r="C954" s="13" t="s">
        <v>2582</v>
      </c>
      <c r="D954" s="39">
        <v>7793</v>
      </c>
      <c r="E954" s="4">
        <v>18</v>
      </c>
      <c r="F954" s="101">
        <v>7793</v>
      </c>
      <c r="G954" s="57"/>
      <c r="H954" s="4"/>
      <c r="I954" s="4"/>
      <c r="J954" s="4"/>
      <c r="K954" s="54"/>
      <c r="L954" s="57"/>
      <c r="M954" s="57"/>
      <c r="N954" s="4" t="s">
        <v>1114</v>
      </c>
      <c r="O954" s="4">
        <v>660225546</v>
      </c>
      <c r="P954" s="4">
        <v>660225545</v>
      </c>
      <c r="Q954" s="767"/>
      <c r="R954" s="767"/>
      <c r="S954" s="4"/>
      <c r="T954" s="4"/>
      <c r="U954" s="4"/>
      <c r="V954" s="4"/>
      <c r="W954" s="4"/>
      <c r="X954" s="4" t="s">
        <v>1114</v>
      </c>
      <c r="Y954" s="4" t="s">
        <v>4066</v>
      </c>
      <c r="Z954" s="35"/>
      <c r="AA954" s="1" t="str">
        <f>IFERROR(VLOOKUP(D:D,[1]Габариты!$A:$I,9,0),"")</f>
        <v>Вакансия</v>
      </c>
      <c r="AB954" s="6" t="str">
        <f>IFERROR(VLOOKUP(D:D,[1]Габариты!$A:$D,4,0),"")</f>
        <v>ОБУВНИЦЫ</v>
      </c>
      <c r="AC954" s="39">
        <f t="shared" si="177"/>
        <v>7793</v>
      </c>
      <c r="AD954" s="13" t="str">
        <f t="shared" si="178"/>
        <v>FBO</v>
      </c>
    </row>
    <row r="955" spans="1:30" s="6" customFormat="1" ht="20.100000000000001" customHeight="1" outlineLevel="1" x14ac:dyDescent="0.25">
      <c r="A955" s="635" t="s">
        <v>65</v>
      </c>
      <c r="B955" s="3"/>
      <c r="C955" s="13" t="s">
        <v>2582</v>
      </c>
      <c r="D955" s="39">
        <v>2479</v>
      </c>
      <c r="E955" s="4">
        <v>24</v>
      </c>
      <c r="F955" s="101">
        <v>2479</v>
      </c>
      <c r="G955" s="57" t="s">
        <v>4792</v>
      </c>
      <c r="H955" s="4"/>
      <c r="I955" s="4"/>
      <c r="J955" s="4"/>
      <c r="K955" s="54">
        <v>2479</v>
      </c>
      <c r="L955" s="57">
        <v>182454291</v>
      </c>
      <c r="M955" s="57">
        <v>182454291</v>
      </c>
      <c r="N955" s="4" t="s">
        <v>3767</v>
      </c>
      <c r="O955" s="4">
        <v>266578098</v>
      </c>
      <c r="P955" s="4">
        <v>266578142</v>
      </c>
      <c r="Q955" s="767" t="s">
        <v>3770</v>
      </c>
      <c r="R955" s="767">
        <v>389494308</v>
      </c>
      <c r="S955" s="4">
        <v>389494309</v>
      </c>
      <c r="T955" s="4"/>
      <c r="U955" s="4"/>
      <c r="V955" s="4"/>
      <c r="W955" s="4" t="s">
        <v>2162</v>
      </c>
      <c r="X955" s="4"/>
      <c r="Y955" s="4" t="s">
        <v>4066</v>
      </c>
      <c r="Z955" s="35"/>
      <c r="AA955" s="1" t="str">
        <f>IFERROR(VLOOKUP(D:D,[1]Габариты!$A:$I,9,0),"")</f>
        <v>Вакансия</v>
      </c>
      <c r="AB955" s="6" t="str">
        <f>IFERROR(VLOOKUP(D:D,[1]Габариты!$A:$D,4,0),"")</f>
        <v>ОБУВНИЦЫ</v>
      </c>
      <c r="AC955" s="39">
        <f t="shared" si="177"/>
        <v>2479</v>
      </c>
      <c r="AD955" s="13" t="str">
        <f t="shared" si="178"/>
        <v>FBO</v>
      </c>
    </row>
    <row r="956" spans="1:30" s="6" customFormat="1" ht="20.100000000000001" customHeight="1" outlineLevel="1" x14ac:dyDescent="0.25">
      <c r="A956" s="635" t="s">
        <v>75</v>
      </c>
      <c r="B956" s="3"/>
      <c r="C956" s="13" t="s">
        <v>2581</v>
      </c>
      <c r="D956" s="39">
        <v>2460</v>
      </c>
      <c r="E956" s="4">
        <v>15</v>
      </c>
      <c r="F956" s="101">
        <v>2460</v>
      </c>
      <c r="G956" s="57" t="s">
        <v>4781</v>
      </c>
      <c r="H956" s="4" t="s">
        <v>7113</v>
      </c>
      <c r="I956" s="4" t="s">
        <v>1200</v>
      </c>
      <c r="J956" s="4"/>
      <c r="K956" s="54">
        <v>2460</v>
      </c>
      <c r="L956" s="57">
        <v>174441754</v>
      </c>
      <c r="M956" s="57">
        <v>174441754</v>
      </c>
      <c r="N956" s="4" t="s">
        <v>574</v>
      </c>
      <c r="O956" s="4">
        <v>266954669</v>
      </c>
      <c r="P956" s="4">
        <v>266954673</v>
      </c>
      <c r="Q956" s="767" t="s">
        <v>2740</v>
      </c>
      <c r="R956" s="767">
        <v>356100347</v>
      </c>
      <c r="S956" s="4">
        <v>356100346</v>
      </c>
      <c r="T956" s="4"/>
      <c r="U956" s="4"/>
      <c r="V956" s="4"/>
      <c r="W956" s="4" t="s">
        <v>2175</v>
      </c>
      <c r="X956" s="4" t="s">
        <v>574</v>
      </c>
      <c r="Y956" s="4">
        <v>2460</v>
      </c>
      <c r="Z956" s="35"/>
      <c r="AA956" s="1" t="str">
        <f>IFERROR(VLOOKUP(D:D,[1]Габариты!$A:$I,9,0),"")</f>
        <v>Вакансия</v>
      </c>
      <c r="AB956" s="6" t="str">
        <f>IFERROR(VLOOKUP(D:D,[1]Габариты!$A:$D,4,0),"")</f>
        <v>ОБУВНИЦЫ</v>
      </c>
      <c r="AC956" s="39">
        <f t="shared" si="177"/>
        <v>2460</v>
      </c>
      <c r="AD956" s="13" t="str">
        <f t="shared" si="178"/>
        <v>FBS</v>
      </c>
    </row>
    <row r="957" spans="1:30" s="6" customFormat="1" ht="20.100000000000001" customHeight="1" outlineLevel="1" x14ac:dyDescent="0.25">
      <c r="A957" s="635" t="s">
        <v>1101</v>
      </c>
      <c r="B957" s="3"/>
      <c r="C957" s="13" t="s">
        <v>2582</v>
      </c>
      <c r="D957" s="39">
        <v>7792</v>
      </c>
      <c r="E957" s="4">
        <v>18</v>
      </c>
      <c r="F957" s="101">
        <v>7792</v>
      </c>
      <c r="G957" s="57"/>
      <c r="H957" s="4" t="s">
        <v>7114</v>
      </c>
      <c r="I957" s="4"/>
      <c r="J957" s="4"/>
      <c r="K957" s="54"/>
      <c r="L957" s="57"/>
      <c r="M957" s="57"/>
      <c r="N957" s="4" t="s">
        <v>1113</v>
      </c>
      <c r="O957" s="4">
        <v>660196513</v>
      </c>
      <c r="P957" s="4">
        <v>660196512</v>
      </c>
      <c r="Q957" s="767"/>
      <c r="R957" s="767"/>
      <c r="S957" s="4"/>
      <c r="T957" s="4"/>
      <c r="U957" s="4"/>
      <c r="V957" s="4"/>
      <c r="W957" s="4"/>
      <c r="X957" s="4" t="s">
        <v>1113</v>
      </c>
      <c r="Y957" s="4" t="s">
        <v>4066</v>
      </c>
      <c r="Z957" s="35"/>
      <c r="AA957" s="1" t="str">
        <f>IFERROR(VLOOKUP(D:D,[1]Габариты!$A:$I,9,0),"")</f>
        <v>Вакансия</v>
      </c>
      <c r="AB957" s="6" t="str">
        <f>IFERROR(VLOOKUP(D:D,[1]Габариты!$A:$D,4,0),"")</f>
        <v>ОБУВНИЦЫ</v>
      </c>
      <c r="AC957" s="39">
        <f t="shared" si="177"/>
        <v>7792</v>
      </c>
      <c r="AD957" s="13" t="str">
        <f t="shared" si="178"/>
        <v>FBO</v>
      </c>
    </row>
    <row r="958" spans="1:30" s="6" customFormat="1" ht="20.100000000000001" customHeight="1" outlineLevel="1" x14ac:dyDescent="0.25">
      <c r="A958" s="635" t="s">
        <v>72</v>
      </c>
      <c r="B958" s="3"/>
      <c r="C958" s="13" t="s">
        <v>2581</v>
      </c>
      <c r="D958" s="39">
        <v>2477</v>
      </c>
      <c r="E958" s="4">
        <v>16</v>
      </c>
      <c r="F958" s="101">
        <v>2477</v>
      </c>
      <c r="G958" s="57" t="s">
        <v>4790</v>
      </c>
      <c r="H958" s="4" t="s">
        <v>7115</v>
      </c>
      <c r="I958" s="4" t="s">
        <v>1204</v>
      </c>
      <c r="J958" s="4"/>
      <c r="K958" s="54">
        <v>2477</v>
      </c>
      <c r="L958" s="57">
        <v>182527081</v>
      </c>
      <c r="M958" s="57">
        <v>182527081</v>
      </c>
      <c r="N958" s="4" t="s">
        <v>580</v>
      </c>
      <c r="O958" s="4">
        <v>265073989</v>
      </c>
      <c r="P958" s="4">
        <v>265073996</v>
      </c>
      <c r="Q958" s="767" t="s">
        <v>2744</v>
      </c>
      <c r="R958" s="767">
        <v>358380649</v>
      </c>
      <c r="S958" s="4">
        <v>358380648</v>
      </c>
      <c r="T958" s="4"/>
      <c r="U958" s="4"/>
      <c r="V958" s="4"/>
      <c r="W958" s="4" t="s">
        <v>2179</v>
      </c>
      <c r="X958" s="4" t="s">
        <v>580</v>
      </c>
      <c r="Y958" s="4">
        <v>2477</v>
      </c>
      <c r="Z958" s="35"/>
      <c r="AA958" s="1" t="str">
        <f>IFERROR(VLOOKUP(D:D,[1]Габариты!$A:$I,9,0),"")</f>
        <v>Вакансия</v>
      </c>
      <c r="AB958" s="6" t="str">
        <f>IFERROR(VLOOKUP(D:D,[1]Габариты!$A:$D,4,0),"")</f>
        <v>ОБУВНИЦЫ</v>
      </c>
      <c r="AC958" s="39">
        <f t="shared" si="177"/>
        <v>2477</v>
      </c>
      <c r="AD958" s="13" t="str">
        <f t="shared" si="178"/>
        <v>FBS</v>
      </c>
    </row>
    <row r="959" spans="1:30" s="6" customFormat="1" ht="20.100000000000001" customHeight="1" outlineLevel="1" x14ac:dyDescent="0.25">
      <c r="A959" s="635" t="s">
        <v>564</v>
      </c>
      <c r="B959" s="3"/>
      <c r="C959" s="13" t="s">
        <v>2581</v>
      </c>
      <c r="D959" s="39">
        <v>778</v>
      </c>
      <c r="E959" s="4">
        <v>26</v>
      </c>
      <c r="F959" s="101">
        <v>778</v>
      </c>
      <c r="G959" s="57"/>
      <c r="H959" s="4" t="s">
        <v>7116</v>
      </c>
      <c r="I959" s="4"/>
      <c r="J959" s="4"/>
      <c r="K959" s="54"/>
      <c r="L959" s="57"/>
      <c r="M959" s="57"/>
      <c r="N959" s="4" t="s">
        <v>1015</v>
      </c>
      <c r="O959" s="4">
        <v>510686064</v>
      </c>
      <c r="P959" s="4">
        <v>510686063</v>
      </c>
      <c r="Q959" s="767"/>
      <c r="R959" s="767"/>
      <c r="S959" s="4"/>
      <c r="T959" s="4"/>
      <c r="U959" s="4"/>
      <c r="V959" s="4"/>
      <c r="W959" s="4" t="s">
        <v>2186</v>
      </c>
      <c r="X959" s="4" t="s">
        <v>1015</v>
      </c>
      <c r="Y959" s="4" t="s">
        <v>4066</v>
      </c>
      <c r="Z959" s="35"/>
      <c r="AA959" s="1" t="str">
        <f>IFERROR(VLOOKUP(D:D,[1]Габариты!$A:$I,9,0),"")</f>
        <v>Вакансия</v>
      </c>
      <c r="AB959" s="6" t="str">
        <f>IFERROR(VLOOKUP(D:D,[1]Габариты!$A:$D,4,0),"")</f>
        <v>ОБУВНИЦЫ</v>
      </c>
      <c r="AC959" s="39">
        <f t="shared" si="177"/>
        <v>778</v>
      </c>
      <c r="AD959" s="13" t="str">
        <f t="shared" si="178"/>
        <v>FBS</v>
      </c>
    </row>
    <row r="960" spans="1:30" s="6" customFormat="1" ht="20.100000000000001" customHeight="1" outlineLevel="1" x14ac:dyDescent="0.25">
      <c r="A960" s="635" t="s">
        <v>565</v>
      </c>
      <c r="B960" s="3"/>
      <c r="C960" s="13" t="s">
        <v>2582</v>
      </c>
      <c r="D960" s="39">
        <v>779</v>
      </c>
      <c r="E960" s="4">
        <v>18</v>
      </c>
      <c r="F960" s="101">
        <v>779</v>
      </c>
      <c r="G960" s="57"/>
      <c r="H960" s="4" t="s">
        <v>7117</v>
      </c>
      <c r="I960" s="4"/>
      <c r="J960" s="4"/>
      <c r="K960" s="54"/>
      <c r="L960" s="57"/>
      <c r="M960" s="57"/>
      <c r="N960" s="4" t="s">
        <v>1016</v>
      </c>
      <c r="O960" s="4">
        <v>515131119</v>
      </c>
      <c r="P960" s="4">
        <v>515131118</v>
      </c>
      <c r="Q960" s="767"/>
      <c r="R960" s="767"/>
      <c r="S960" s="4"/>
      <c r="T960" s="4"/>
      <c r="U960" s="4"/>
      <c r="V960" s="4"/>
      <c r="W960" s="4" t="s">
        <v>2187</v>
      </c>
      <c r="X960" s="4" t="s">
        <v>1016</v>
      </c>
      <c r="Y960" s="4" t="s">
        <v>4066</v>
      </c>
      <c r="Z960" s="35"/>
      <c r="AA960" s="1" t="str">
        <f>IFERROR(VLOOKUP(D:D,[1]Габариты!$A:$I,9,0),"")</f>
        <v>Вакансия</v>
      </c>
      <c r="AB960" s="6" t="str">
        <f>IFERROR(VLOOKUP(D:D,[1]Габариты!$A:$D,4,0),"")</f>
        <v>ОБУВНИЦЫ</v>
      </c>
      <c r="AC960" s="39">
        <f t="shared" si="177"/>
        <v>779</v>
      </c>
      <c r="AD960" s="13" t="str">
        <f t="shared" si="178"/>
        <v>FBO</v>
      </c>
    </row>
    <row r="961" spans="1:30" s="6" customFormat="1" ht="20.100000000000001" customHeight="1" outlineLevel="1" x14ac:dyDescent="0.25">
      <c r="A961" s="635" t="s">
        <v>811</v>
      </c>
      <c r="B961" s="3"/>
      <c r="C961" s="13" t="s">
        <v>2581</v>
      </c>
      <c r="D961" s="39">
        <v>3360</v>
      </c>
      <c r="E961" s="4">
        <v>16</v>
      </c>
      <c r="F961" s="101">
        <v>3360</v>
      </c>
      <c r="G961" s="57" t="s">
        <v>5061</v>
      </c>
      <c r="H961" s="4" t="s">
        <v>7118</v>
      </c>
      <c r="I961" s="4" t="s">
        <v>2082</v>
      </c>
      <c r="J961" s="4"/>
      <c r="K961" s="54"/>
      <c r="L961" s="57"/>
      <c r="M961" s="57"/>
      <c r="N961" s="4" t="s">
        <v>860</v>
      </c>
      <c r="O961" s="4">
        <v>515230584</v>
      </c>
      <c r="P961" s="4">
        <v>515230586</v>
      </c>
      <c r="Q961" s="767"/>
      <c r="R961" s="767"/>
      <c r="S961" s="4"/>
      <c r="T961" s="4"/>
      <c r="U961" s="4"/>
      <c r="V961" s="4"/>
      <c r="W961" s="4" t="s">
        <v>2191</v>
      </c>
      <c r="X961" s="4" t="s">
        <v>860</v>
      </c>
      <c r="Y961" s="4" t="s">
        <v>4066</v>
      </c>
      <c r="Z961" s="35"/>
      <c r="AA961" s="1" t="str">
        <f>IFERROR(VLOOKUP(D:D,[1]Габариты!$A:$I,9,0),"")</f>
        <v>Вакансия</v>
      </c>
      <c r="AB961" s="6" t="str">
        <f>IFERROR(VLOOKUP(D:D,[1]Габариты!$A:$D,4,0),"")</f>
        <v>ОБУВНИЦЫ</v>
      </c>
      <c r="AC961" s="39">
        <f t="shared" si="177"/>
        <v>3360</v>
      </c>
      <c r="AD961" s="13" t="str">
        <f t="shared" si="178"/>
        <v>FBS</v>
      </c>
    </row>
    <row r="962" spans="1:30" s="6" customFormat="1" ht="20.100000000000001" customHeight="1" outlineLevel="1" x14ac:dyDescent="0.25">
      <c r="A962" s="635" t="s">
        <v>150</v>
      </c>
      <c r="B962" s="3"/>
      <c r="C962" s="13" t="s">
        <v>2582</v>
      </c>
      <c r="D962" s="39">
        <v>2642</v>
      </c>
      <c r="E962" s="4">
        <v>24</v>
      </c>
      <c r="F962" s="101">
        <v>2642</v>
      </c>
      <c r="G962" s="57" t="s">
        <v>4851</v>
      </c>
      <c r="H962" s="4" t="s">
        <v>6498</v>
      </c>
      <c r="I962" s="4" t="s">
        <v>1203</v>
      </c>
      <c r="J962" s="4"/>
      <c r="K962" s="54" t="s">
        <v>2178</v>
      </c>
      <c r="L962" s="57">
        <v>250899500</v>
      </c>
      <c r="M962" s="57">
        <v>250899500</v>
      </c>
      <c r="N962" s="4" t="s">
        <v>631</v>
      </c>
      <c r="O962" s="4">
        <v>266953309</v>
      </c>
      <c r="P962" s="4">
        <v>266953318</v>
      </c>
      <c r="Q962" s="767" t="s">
        <v>2743</v>
      </c>
      <c r="R962" s="767">
        <v>323423516</v>
      </c>
      <c r="S962" s="4">
        <v>323423539</v>
      </c>
      <c r="T962" s="4"/>
      <c r="U962" s="4"/>
      <c r="V962" s="4"/>
      <c r="W962" s="4" t="s">
        <v>2178</v>
      </c>
      <c r="X962" s="4" t="s">
        <v>631</v>
      </c>
      <c r="Y962" s="4">
        <v>2642</v>
      </c>
      <c r="Z962" s="35"/>
      <c r="AA962" s="1" t="str">
        <f>IFERROR(VLOOKUP(D:D,[1]Габариты!$A:$I,9,0),"")</f>
        <v>Вакансия</v>
      </c>
      <c r="AB962" s="6" t="str">
        <f>IFERROR(VLOOKUP(D:D,[1]Габариты!$A:$D,4,0),"")</f>
        <v>ОБУВНИЦЫ</v>
      </c>
      <c r="AC962" s="39">
        <f t="shared" si="177"/>
        <v>2642</v>
      </c>
      <c r="AD962" s="13" t="str">
        <f t="shared" si="178"/>
        <v>FBO</v>
      </c>
    </row>
    <row r="963" spans="1:30" s="6" customFormat="1" ht="20.100000000000001" customHeight="1" outlineLevel="1" x14ac:dyDescent="0.25">
      <c r="A963" s="635" t="s">
        <v>3188</v>
      </c>
      <c r="B963" s="3"/>
      <c r="C963" s="13" t="s">
        <v>2582</v>
      </c>
      <c r="D963" s="39">
        <v>3622</v>
      </c>
      <c r="E963" s="4">
        <v>50</v>
      </c>
      <c r="F963" s="101">
        <v>3622</v>
      </c>
      <c r="G963" s="57" t="s">
        <v>5104</v>
      </c>
      <c r="H963" s="4" t="s">
        <v>6522</v>
      </c>
      <c r="I963" s="4" t="s">
        <v>3295</v>
      </c>
      <c r="J963" s="4" t="s">
        <v>3262</v>
      </c>
      <c r="K963" s="54" t="s">
        <v>7884</v>
      </c>
      <c r="L963" s="57">
        <v>1348890909</v>
      </c>
      <c r="M963" s="57">
        <v>1348890909</v>
      </c>
      <c r="N963" s="4" t="s">
        <v>3407</v>
      </c>
      <c r="O963" s="4">
        <v>995521720</v>
      </c>
      <c r="P963" s="4">
        <v>995521720</v>
      </c>
      <c r="Q963" s="767" t="s">
        <v>3408</v>
      </c>
      <c r="R963" s="767">
        <v>997936045</v>
      </c>
      <c r="S963" s="4">
        <v>997936045</v>
      </c>
      <c r="T963" s="4" t="s">
        <v>3318</v>
      </c>
      <c r="U963" s="4">
        <v>997770185</v>
      </c>
      <c r="V963" s="4">
        <v>997770185</v>
      </c>
      <c r="W963" s="4"/>
      <c r="X963" s="4" t="s">
        <v>3407</v>
      </c>
      <c r="Y963" s="4" t="s">
        <v>4066</v>
      </c>
      <c r="Z963" s="35"/>
      <c r="AA963" s="1" t="str">
        <f>IFERROR(VLOOKUP(D:D,[1]Габариты!$A:$I,9,0),"")</f>
        <v>Вакансия</v>
      </c>
      <c r="AB963" s="6" t="str">
        <f>IFERROR(VLOOKUP(D:D,[1]Габариты!$A:$D,4,0),"")</f>
        <v>ОБУВНИЦЫ</v>
      </c>
      <c r="AC963" s="39">
        <f t="shared" si="177"/>
        <v>3622</v>
      </c>
      <c r="AD963" s="13" t="str">
        <f t="shared" si="178"/>
        <v>FBO</v>
      </c>
    </row>
    <row r="964" spans="1:30" s="6" customFormat="1" ht="20.100000000000001" customHeight="1" outlineLevel="1" x14ac:dyDescent="0.25">
      <c r="A964" s="635" t="s">
        <v>228</v>
      </c>
      <c r="B964" s="3"/>
      <c r="C964" s="13" t="s">
        <v>2581</v>
      </c>
      <c r="D964" s="39">
        <v>2971</v>
      </c>
      <c r="E964" s="4">
        <v>18</v>
      </c>
      <c r="F964" s="101">
        <v>2971</v>
      </c>
      <c r="G964" s="57" t="s">
        <v>4924</v>
      </c>
      <c r="H964" s="4" t="s">
        <v>6491</v>
      </c>
      <c r="I964" s="4"/>
      <c r="J964" s="4" t="s">
        <v>1931</v>
      </c>
      <c r="K964" s="54" t="s">
        <v>2166</v>
      </c>
      <c r="L964" s="57">
        <v>268736939</v>
      </c>
      <c r="M964" s="57">
        <v>268736939</v>
      </c>
      <c r="N964" s="4" t="s">
        <v>707</v>
      </c>
      <c r="O964" s="4">
        <v>268931509</v>
      </c>
      <c r="P964" s="4">
        <v>268931577</v>
      </c>
      <c r="Q964" s="767" t="s">
        <v>4329</v>
      </c>
      <c r="R964" s="767">
        <v>1609774826</v>
      </c>
      <c r="S964" s="4">
        <v>1609774826</v>
      </c>
      <c r="T964" s="4" t="s">
        <v>4301</v>
      </c>
      <c r="U964" s="4">
        <v>1608535959</v>
      </c>
      <c r="V964" s="4">
        <v>1608535959</v>
      </c>
      <c r="W964" s="4" t="s">
        <v>2166</v>
      </c>
      <c r="X964" s="4" t="s">
        <v>707</v>
      </c>
      <c r="Y964" s="4" t="s">
        <v>4066</v>
      </c>
      <c r="Z964" s="35"/>
      <c r="AA964" s="1" t="str">
        <f>IFERROR(VLOOKUP(D:D,[1]Габариты!$A:$I,9,0),"")</f>
        <v>Вакансия</v>
      </c>
      <c r="AB964" s="6" t="str">
        <f>IFERROR(VLOOKUP(D:D,[1]Габариты!$A:$D,4,0),"")</f>
        <v>ОБУВНИЦЫ</v>
      </c>
      <c r="AC964" s="39">
        <f t="shared" si="177"/>
        <v>2971</v>
      </c>
      <c r="AD964" s="13" t="str">
        <f t="shared" ref="AD964:AD989" si="179">C964</f>
        <v>FBS</v>
      </c>
    </row>
    <row r="965" spans="1:30" s="6" customFormat="1" ht="20.100000000000001" customHeight="1" outlineLevel="1" x14ac:dyDescent="0.25">
      <c r="A965" s="635" t="s">
        <v>229</v>
      </c>
      <c r="B965" s="3"/>
      <c r="C965" s="13" t="s">
        <v>2581</v>
      </c>
      <c r="D965" s="39">
        <v>2972</v>
      </c>
      <c r="E965" s="4">
        <v>18</v>
      </c>
      <c r="F965" s="101">
        <v>2972</v>
      </c>
      <c r="G965" s="57" t="s">
        <v>4925</v>
      </c>
      <c r="H965" s="4" t="s">
        <v>6492</v>
      </c>
      <c r="I965" s="4"/>
      <c r="J965" s="4" t="s">
        <v>1932</v>
      </c>
      <c r="K965" s="54" t="s">
        <v>2167</v>
      </c>
      <c r="L965" s="57">
        <v>268938172</v>
      </c>
      <c r="M965" s="57">
        <v>268938172</v>
      </c>
      <c r="N965" s="4" t="s">
        <v>708</v>
      </c>
      <c r="O965" s="4">
        <v>268933048</v>
      </c>
      <c r="P965" s="4">
        <v>268933061</v>
      </c>
      <c r="Q965" s="767" t="s">
        <v>4333</v>
      </c>
      <c r="R965" s="767">
        <v>1609774862</v>
      </c>
      <c r="S965" s="4">
        <v>1609774862</v>
      </c>
      <c r="T965" s="4" t="s">
        <v>4302</v>
      </c>
      <c r="U965" s="4">
        <v>1608422731</v>
      </c>
      <c r="V965" s="4">
        <v>1608422731</v>
      </c>
      <c r="W965" s="4" t="s">
        <v>2167</v>
      </c>
      <c r="X965" s="4" t="s">
        <v>708</v>
      </c>
      <c r="Y965" s="4">
        <v>2972</v>
      </c>
      <c r="Z965" s="35"/>
      <c r="AA965" s="1" t="str">
        <f>IFERROR(VLOOKUP(D:D,[1]Габариты!$A:$I,9,0),"")</f>
        <v>Вакансия</v>
      </c>
      <c r="AB965" s="6" t="str">
        <f>IFERROR(VLOOKUP(D:D,[1]Габариты!$A:$D,4,0),"")</f>
        <v>ОБУВНИЦЫ</v>
      </c>
      <c r="AC965" s="39">
        <f t="shared" si="177"/>
        <v>2972</v>
      </c>
      <c r="AD965" s="13" t="str">
        <f t="shared" si="179"/>
        <v>FBS</v>
      </c>
    </row>
    <row r="966" spans="1:30" s="6" customFormat="1" ht="20.100000000000001" customHeight="1" outlineLevel="1" x14ac:dyDescent="0.25">
      <c r="A966" s="633" t="s">
        <v>3810</v>
      </c>
      <c r="B966" s="3"/>
      <c r="C966" s="13" t="s">
        <v>2582</v>
      </c>
      <c r="D966" s="39">
        <v>3582</v>
      </c>
      <c r="E966" s="4">
        <v>28</v>
      </c>
      <c r="F966" s="101">
        <v>3582</v>
      </c>
      <c r="G966" s="57"/>
      <c r="H966" s="4" t="s">
        <v>6493</v>
      </c>
      <c r="I966" s="4"/>
      <c r="J966" s="4"/>
      <c r="K966" s="54" t="s">
        <v>7877</v>
      </c>
      <c r="L966" s="57"/>
      <c r="M966" s="57"/>
      <c r="N966" s="4" t="s">
        <v>4356</v>
      </c>
      <c r="O966" s="4">
        <v>1328640955</v>
      </c>
      <c r="P966" s="4">
        <v>1328640955</v>
      </c>
      <c r="Q966" s="767"/>
      <c r="R966" s="767"/>
      <c r="S966" s="4"/>
      <c r="T966" s="4" t="s">
        <v>4345</v>
      </c>
      <c r="U966" s="4">
        <v>1608693331</v>
      </c>
      <c r="V966" s="4">
        <v>1608693331</v>
      </c>
      <c r="W966" s="4"/>
      <c r="X966" s="4" t="s">
        <v>4356</v>
      </c>
      <c r="Y966" s="4"/>
      <c r="Z966" s="35"/>
      <c r="AA966" s="1" t="str">
        <f>IFERROR(VLOOKUP(D:D,[1]Габариты!$A:$I,9,0),"")</f>
        <v>Вакансия</v>
      </c>
      <c r="AB966" s="6" t="str">
        <f>IFERROR(VLOOKUP(D:D,[1]Габариты!$A:$D,4,0),"")</f>
        <v>ОБУВНИЦЫ</v>
      </c>
      <c r="AC966" s="39">
        <f t="shared" si="177"/>
        <v>3582</v>
      </c>
      <c r="AD966" s="13" t="str">
        <f t="shared" si="179"/>
        <v>FBO</v>
      </c>
    </row>
    <row r="967" spans="1:30" s="6" customFormat="1" ht="20.100000000000001" customHeight="1" outlineLevel="1" x14ac:dyDescent="0.25">
      <c r="A967" s="635" t="s">
        <v>197</v>
      </c>
      <c r="B967" s="3"/>
      <c r="C967" s="13" t="s">
        <v>2581</v>
      </c>
      <c r="D967" s="39">
        <v>2925</v>
      </c>
      <c r="E967" s="4">
        <v>33</v>
      </c>
      <c r="F967" s="101">
        <v>2925</v>
      </c>
      <c r="G967" s="57" t="s">
        <v>4896</v>
      </c>
      <c r="H967" s="4" t="s">
        <v>6494</v>
      </c>
      <c r="I967" s="4"/>
      <c r="J967" s="4"/>
      <c r="K967" s="54"/>
      <c r="L967" s="57"/>
      <c r="M967" s="57"/>
      <c r="N967" s="4" t="s">
        <v>675</v>
      </c>
      <c r="O967" s="4">
        <v>269987584</v>
      </c>
      <c r="P967" s="4">
        <v>269987607</v>
      </c>
      <c r="Q967" s="767" t="s">
        <v>2737</v>
      </c>
      <c r="R967" s="767">
        <v>348255502</v>
      </c>
      <c r="S967" s="4">
        <v>348255537</v>
      </c>
      <c r="T967" s="4" t="s">
        <v>4312</v>
      </c>
      <c r="U967" s="4">
        <v>1608732430</v>
      </c>
      <c r="V967" s="4">
        <v>1608732430</v>
      </c>
      <c r="W967" s="4" t="s">
        <v>2172</v>
      </c>
      <c r="X967" s="4" t="s">
        <v>675</v>
      </c>
      <c r="Y967" s="4" t="s">
        <v>4066</v>
      </c>
      <c r="Z967" s="35"/>
      <c r="AA967" s="1" t="str">
        <f>IFERROR(VLOOKUP(D:D,[1]Габариты!$A:$I,9,0),"")</f>
        <v>Вакансия</v>
      </c>
      <c r="AB967" s="6" t="str">
        <f>IFERROR(VLOOKUP(D:D,[1]Габариты!$A:$D,4,0),"")</f>
        <v>ОБУВНИЦЫ</v>
      </c>
      <c r="AC967" s="39">
        <f t="shared" si="177"/>
        <v>2925</v>
      </c>
      <c r="AD967" s="13" t="str">
        <f t="shared" si="179"/>
        <v>FBS</v>
      </c>
    </row>
    <row r="968" spans="1:30" s="6" customFormat="1" ht="20.100000000000001" customHeight="1" outlineLevel="1" x14ac:dyDescent="0.25">
      <c r="A968" s="635" t="s">
        <v>198</v>
      </c>
      <c r="B968" s="3"/>
      <c r="C968" s="13" t="s">
        <v>2581</v>
      </c>
      <c r="D968" s="39">
        <v>2926</v>
      </c>
      <c r="E968" s="4">
        <v>33</v>
      </c>
      <c r="F968" s="101">
        <v>2926</v>
      </c>
      <c r="G968" s="57" t="s">
        <v>4897</v>
      </c>
      <c r="H968" s="4"/>
      <c r="I968" s="4"/>
      <c r="J968" s="4"/>
      <c r="K968" s="54"/>
      <c r="L968" s="57"/>
      <c r="M968" s="57"/>
      <c r="N968" s="4" t="s">
        <v>676</v>
      </c>
      <c r="O968" s="4">
        <v>267848273</v>
      </c>
      <c r="P968" s="4">
        <v>267848281</v>
      </c>
      <c r="Q968" s="767" t="s">
        <v>2738</v>
      </c>
      <c r="R968" s="767">
        <v>348493303</v>
      </c>
      <c r="S968" s="4">
        <v>348493304</v>
      </c>
      <c r="T968" s="4"/>
      <c r="U968" s="4"/>
      <c r="V968" s="4"/>
      <c r="W968" s="4" t="s">
        <v>2173</v>
      </c>
      <c r="X968" s="4" t="s">
        <v>676</v>
      </c>
      <c r="Y968" s="4">
        <v>2926</v>
      </c>
      <c r="Z968" s="35"/>
      <c r="AA968" s="1" t="str">
        <f>IFERROR(VLOOKUP(D:D,[1]Габариты!$A:$I,9,0),"")</f>
        <v>Вакансия</v>
      </c>
      <c r="AB968" s="6" t="str">
        <f>IFERROR(VLOOKUP(D:D,[1]Габариты!$A:$D,4,0),"")</f>
        <v>ОБУВНИЦЫ</v>
      </c>
      <c r="AC968" s="39">
        <f t="shared" si="177"/>
        <v>2926</v>
      </c>
      <c r="AD968" s="13" t="str">
        <f t="shared" si="179"/>
        <v>FBS</v>
      </c>
    </row>
    <row r="969" spans="1:30" s="6" customFormat="1" ht="20.100000000000001" customHeight="1" outlineLevel="1" x14ac:dyDescent="0.25">
      <c r="A969" s="635" t="s">
        <v>199</v>
      </c>
      <c r="B969" s="3"/>
      <c r="C969" s="13" t="s">
        <v>2581</v>
      </c>
      <c r="D969" s="39">
        <v>2927</v>
      </c>
      <c r="E969" s="4">
        <v>33</v>
      </c>
      <c r="F969" s="101">
        <v>2927</v>
      </c>
      <c r="G969" s="57" t="s">
        <v>4898</v>
      </c>
      <c r="H969" s="4" t="s">
        <v>6495</v>
      </c>
      <c r="I969" s="4"/>
      <c r="J969" s="4"/>
      <c r="K969" s="54"/>
      <c r="L969" s="57"/>
      <c r="M969" s="57"/>
      <c r="N969" s="4" t="s">
        <v>677</v>
      </c>
      <c r="O969" s="4">
        <v>267892094</v>
      </c>
      <c r="P969" s="4">
        <v>267892098</v>
      </c>
      <c r="Q969" s="767" t="s">
        <v>2739</v>
      </c>
      <c r="R969" s="767">
        <v>356216786</v>
      </c>
      <c r="S969" s="4">
        <v>356216787</v>
      </c>
      <c r="T969" s="4"/>
      <c r="U969" s="4"/>
      <c r="V969" s="4"/>
      <c r="W969" s="4" t="s">
        <v>2174</v>
      </c>
      <c r="X969" s="4" t="s">
        <v>677</v>
      </c>
      <c r="Y969" s="4" t="s">
        <v>4066</v>
      </c>
      <c r="Z969" s="35"/>
      <c r="AA969" s="1" t="str">
        <f>IFERROR(VLOOKUP(D:D,[1]Габариты!$A:$I,9,0),"")</f>
        <v>Вакансия</v>
      </c>
      <c r="AB969" s="6" t="str">
        <f>IFERROR(VLOOKUP(D:D,[1]Габариты!$A:$D,4,0),"")</f>
        <v>ОБУВНИЦЫ</v>
      </c>
      <c r="AC969" s="39">
        <f t="shared" si="177"/>
        <v>2927</v>
      </c>
      <c r="AD969" s="13" t="str">
        <f t="shared" si="179"/>
        <v>FBS</v>
      </c>
    </row>
    <row r="970" spans="1:30" s="6" customFormat="1" ht="20.100000000000001" customHeight="1" outlineLevel="1" x14ac:dyDescent="0.25">
      <c r="A970" s="635" t="s">
        <v>74</v>
      </c>
      <c r="B970" s="3"/>
      <c r="C970" s="13" t="s">
        <v>2582</v>
      </c>
      <c r="D970" s="39">
        <v>2461</v>
      </c>
      <c r="E970" s="4">
        <v>18</v>
      </c>
      <c r="F970" s="101">
        <v>2461</v>
      </c>
      <c r="G970" s="57" t="s">
        <v>4782</v>
      </c>
      <c r="H970" s="4" t="s">
        <v>6504</v>
      </c>
      <c r="I970" s="4" t="s">
        <v>1201</v>
      </c>
      <c r="J970" s="4" t="s">
        <v>1933</v>
      </c>
      <c r="K970" s="54" t="s">
        <v>2176</v>
      </c>
      <c r="L970" s="57">
        <v>174441758</v>
      </c>
      <c r="M970" s="57">
        <v>174441758</v>
      </c>
      <c r="N970" s="4" t="s">
        <v>575</v>
      </c>
      <c r="O970" s="4">
        <v>262691131</v>
      </c>
      <c r="P970" s="4">
        <v>262691143</v>
      </c>
      <c r="Q970" s="767" t="s">
        <v>2741</v>
      </c>
      <c r="R970" s="767">
        <v>378177941</v>
      </c>
      <c r="S970" s="4">
        <v>378177942</v>
      </c>
      <c r="T970" s="4"/>
      <c r="U970" s="4"/>
      <c r="V970" s="4"/>
      <c r="W970" s="4" t="s">
        <v>2176</v>
      </c>
      <c r="X970" s="4" t="s">
        <v>575</v>
      </c>
      <c r="Y970" s="4">
        <v>2461</v>
      </c>
      <c r="Z970" s="35"/>
      <c r="AA970" s="1" t="str">
        <f>IFERROR(VLOOKUP(D:D,[1]Габариты!$A:$I,9,0),"")</f>
        <v>Вакансия</v>
      </c>
      <c r="AB970" s="6" t="str">
        <f>IFERROR(VLOOKUP(D:D,[1]Габариты!$A:$D,4,0),"")</f>
        <v>ОБУВНИЦЫ</v>
      </c>
      <c r="AC970" s="39">
        <f t="shared" si="177"/>
        <v>2461</v>
      </c>
      <c r="AD970" s="13" t="str">
        <f t="shared" si="179"/>
        <v>FBO</v>
      </c>
    </row>
    <row r="971" spans="1:30" s="6" customFormat="1" ht="20.100000000000001" customHeight="1" outlineLevel="1" x14ac:dyDescent="0.25">
      <c r="A971" s="635" t="s">
        <v>810</v>
      </c>
      <c r="B971" s="3"/>
      <c r="C971" s="13" t="s">
        <v>2582</v>
      </c>
      <c r="D971" s="39">
        <v>3359</v>
      </c>
      <c r="E971" s="4">
        <v>24</v>
      </c>
      <c r="F971" s="101">
        <v>3359</v>
      </c>
      <c r="G971" s="57"/>
      <c r="H971" s="4" t="s">
        <v>6503</v>
      </c>
      <c r="I971" s="4" t="s">
        <v>2086</v>
      </c>
      <c r="J971" s="4" t="s">
        <v>1844</v>
      </c>
      <c r="K971" s="54" t="s">
        <v>2190</v>
      </c>
      <c r="L971" s="57"/>
      <c r="M971" s="57"/>
      <c r="N971" s="4" t="s">
        <v>859</v>
      </c>
      <c r="O971" s="4">
        <v>515312510</v>
      </c>
      <c r="P971" s="4">
        <v>515312509</v>
      </c>
      <c r="Q971" s="767"/>
      <c r="R971" s="767"/>
      <c r="S971" s="4"/>
      <c r="T971" s="4" t="s">
        <v>3011</v>
      </c>
      <c r="U971" s="4">
        <v>888387063</v>
      </c>
      <c r="V971" s="4">
        <v>888387063</v>
      </c>
      <c r="W971" s="4" t="s">
        <v>2190</v>
      </c>
      <c r="X971" s="4" t="s">
        <v>859</v>
      </c>
      <c r="Y971" s="4">
        <v>3359</v>
      </c>
      <c r="Z971" s="35"/>
      <c r="AA971" s="1" t="str">
        <f>IFERROR(VLOOKUP(D:D,[1]Габариты!$A:$I,9,0),"")</f>
        <v>Вакансия</v>
      </c>
      <c r="AB971" s="6" t="str">
        <f>IFERROR(VLOOKUP(D:D,[1]Габариты!$A:$D,4,0),"")</f>
        <v>ОБУВНИЦЫ</v>
      </c>
      <c r="AC971" s="39">
        <f t="shared" si="177"/>
        <v>3359</v>
      </c>
      <c r="AD971" s="13" t="str">
        <f t="shared" si="179"/>
        <v>FBO</v>
      </c>
    </row>
    <row r="972" spans="1:30" s="6" customFormat="1" ht="20.100000000000001" customHeight="1" outlineLevel="1" x14ac:dyDescent="0.25">
      <c r="A972" s="635" t="s">
        <v>73</v>
      </c>
      <c r="B972" s="3"/>
      <c r="C972" s="13" t="s">
        <v>2582</v>
      </c>
      <c r="D972" s="39">
        <v>2476</v>
      </c>
      <c r="E972" s="4">
        <v>24</v>
      </c>
      <c r="F972" s="101">
        <v>2476</v>
      </c>
      <c r="G972" s="57" t="s">
        <v>4789</v>
      </c>
      <c r="H972" s="4" t="s">
        <v>6505</v>
      </c>
      <c r="I972" s="4" t="s">
        <v>1205</v>
      </c>
      <c r="J972" s="4" t="s">
        <v>1843</v>
      </c>
      <c r="K972" s="54" t="s">
        <v>2180</v>
      </c>
      <c r="L972" s="57">
        <v>182526874</v>
      </c>
      <c r="M972" s="57">
        <v>182526874</v>
      </c>
      <c r="N972" s="4" t="s">
        <v>579</v>
      </c>
      <c r="O972" s="4">
        <v>266952332</v>
      </c>
      <c r="P972" s="4">
        <v>266952333</v>
      </c>
      <c r="Q972" s="767" t="s">
        <v>2745</v>
      </c>
      <c r="R972" s="767">
        <v>323434070</v>
      </c>
      <c r="S972" s="4">
        <v>323434090</v>
      </c>
      <c r="T972" s="4" t="s">
        <v>3010</v>
      </c>
      <c r="U972" s="4">
        <v>904326271</v>
      </c>
      <c r="V972" s="4">
        <v>904326271</v>
      </c>
      <c r="W972" s="4" t="s">
        <v>2180</v>
      </c>
      <c r="X972" s="4" t="s">
        <v>579</v>
      </c>
      <c r="Y972" s="4">
        <v>2476</v>
      </c>
      <c r="Z972" s="35"/>
      <c r="AA972" s="1" t="str">
        <f>IFERROR(VLOOKUP(D:D,[1]Габариты!$A:$I,9,0),"")</f>
        <v>Вакансия</v>
      </c>
      <c r="AB972" s="6" t="str">
        <f>IFERROR(VLOOKUP(D:D,[1]Габариты!$A:$D,4,0),"")</f>
        <v>ОБУВНИЦЫ</v>
      </c>
      <c r="AC972" s="39">
        <f t="shared" si="177"/>
        <v>2476</v>
      </c>
      <c r="AD972" s="13" t="str">
        <f t="shared" si="179"/>
        <v>FBO</v>
      </c>
    </row>
    <row r="973" spans="1:30" s="6" customFormat="1" ht="20.100000000000001" customHeight="1" outlineLevel="1" x14ac:dyDescent="0.25">
      <c r="A973" s="635" t="s">
        <v>1354</v>
      </c>
      <c r="B973" s="3"/>
      <c r="C973" s="13" t="s">
        <v>2581</v>
      </c>
      <c r="D973" s="39">
        <v>7794</v>
      </c>
      <c r="E973" s="4">
        <v>15</v>
      </c>
      <c r="F973" s="101">
        <v>7794</v>
      </c>
      <c r="G973" s="57"/>
      <c r="H973" s="4" t="s">
        <v>6511</v>
      </c>
      <c r="I973" s="4" t="s">
        <v>3300</v>
      </c>
      <c r="J973" s="4" t="s">
        <v>3261</v>
      </c>
      <c r="K973" s="54"/>
      <c r="L973" s="57"/>
      <c r="M973" s="57"/>
      <c r="N973" s="4" t="s">
        <v>1384</v>
      </c>
      <c r="O973" s="4">
        <v>690650839</v>
      </c>
      <c r="P973" s="4">
        <v>690650840</v>
      </c>
      <c r="Q973" s="767" t="s">
        <v>3412</v>
      </c>
      <c r="R973" s="767">
        <v>992660121</v>
      </c>
      <c r="S973" s="4">
        <v>992660122</v>
      </c>
      <c r="T973" s="4" t="s">
        <v>3314</v>
      </c>
      <c r="U973" s="4">
        <v>992647895</v>
      </c>
      <c r="V973" s="4">
        <v>992647895</v>
      </c>
      <c r="W973" s="4"/>
      <c r="X973" s="4" t="s">
        <v>1384</v>
      </c>
      <c r="Y973" s="4" t="s">
        <v>4066</v>
      </c>
      <c r="Z973" s="35"/>
      <c r="AA973" s="1" t="str">
        <f>IFERROR(VLOOKUP(D:D,[1]Габариты!$A:$I,9,0),"")</f>
        <v>Вакансия</v>
      </c>
      <c r="AB973" s="6" t="str">
        <f>IFERROR(VLOOKUP(D:D,[1]Габариты!$A:$D,4,0),"")</f>
        <v>ОБУВНИЦЫ</v>
      </c>
      <c r="AC973" s="39">
        <f t="shared" si="177"/>
        <v>7794</v>
      </c>
      <c r="AD973" s="13" t="str">
        <f t="shared" si="179"/>
        <v>FBS</v>
      </c>
    </row>
    <row r="974" spans="1:30" s="6" customFormat="1" ht="20.100000000000001" customHeight="1" outlineLevel="1" x14ac:dyDescent="0.25">
      <c r="A974" s="635" t="s">
        <v>3136</v>
      </c>
      <c r="B974" s="3"/>
      <c r="C974" s="13" t="s">
        <v>2582</v>
      </c>
      <c r="D974" s="39">
        <v>135582</v>
      </c>
      <c r="E974" s="4">
        <v>34</v>
      </c>
      <c r="F974" s="101">
        <v>135582</v>
      </c>
      <c r="G974" s="57"/>
      <c r="H974" s="4" t="s">
        <v>6528</v>
      </c>
      <c r="I974" s="4" t="s">
        <v>3245</v>
      </c>
      <c r="J974" s="4" t="s">
        <v>3194</v>
      </c>
      <c r="K974" s="74"/>
      <c r="L974" s="57"/>
      <c r="M974" s="57"/>
      <c r="N974" s="4" t="s">
        <v>3200</v>
      </c>
      <c r="O974" s="4">
        <v>967870353</v>
      </c>
      <c r="P974" s="4">
        <v>967870354</v>
      </c>
      <c r="Q974" s="767" t="s">
        <v>3418</v>
      </c>
      <c r="R974" s="767">
        <v>988513347</v>
      </c>
      <c r="S974" s="4">
        <v>988513349</v>
      </c>
      <c r="T974" s="4" t="s">
        <v>3206</v>
      </c>
      <c r="U974" s="4">
        <v>988670466</v>
      </c>
      <c r="V974" s="4">
        <v>988670466</v>
      </c>
      <c r="W974" s="4"/>
      <c r="X974" s="4" t="s">
        <v>3200</v>
      </c>
      <c r="Y974" s="4" t="s">
        <v>4066</v>
      </c>
      <c r="Z974" s="35"/>
      <c r="AA974" s="1" t="str">
        <f>IFERROR(VLOOKUP(D:D,[1]Габариты!$A:$I,9,0),"")</f>
        <v>Вакансия</v>
      </c>
      <c r="AB974" s="6" t="str">
        <f>IFERROR(VLOOKUP(D:D,[1]Габариты!$A:$D,4,0),"")</f>
        <v>ОБУВНИЦЫ</v>
      </c>
      <c r="AC974" s="39">
        <f t="shared" si="177"/>
        <v>135582</v>
      </c>
      <c r="AD974" s="13" t="str">
        <f t="shared" si="179"/>
        <v>FBO</v>
      </c>
    </row>
    <row r="975" spans="1:30" s="6" customFormat="1" ht="20.100000000000001" customHeight="1" outlineLevel="1" x14ac:dyDescent="0.25">
      <c r="A975" s="635" t="s">
        <v>3137</v>
      </c>
      <c r="B975" s="3"/>
      <c r="C975" s="13" t="s">
        <v>2582</v>
      </c>
      <c r="D975" s="39">
        <v>135583</v>
      </c>
      <c r="E975" s="4">
        <v>34</v>
      </c>
      <c r="F975" s="101">
        <v>135583</v>
      </c>
      <c r="G975" s="57"/>
      <c r="H975" s="4" t="s">
        <v>6512</v>
      </c>
      <c r="I975" s="4" t="s">
        <v>3246</v>
      </c>
      <c r="J975" s="4" t="s">
        <v>3195</v>
      </c>
      <c r="K975" s="54"/>
      <c r="L975" s="57"/>
      <c r="M975" s="57"/>
      <c r="N975" s="4" t="s">
        <v>3201</v>
      </c>
      <c r="O975" s="4">
        <v>967878629</v>
      </c>
      <c r="P975" s="4">
        <v>967878630</v>
      </c>
      <c r="Q975" s="767" t="s">
        <v>3417</v>
      </c>
      <c r="R975" s="767">
        <v>988527801</v>
      </c>
      <c r="S975" s="4">
        <v>988527804</v>
      </c>
      <c r="T975" s="4" t="s">
        <v>3207</v>
      </c>
      <c r="U975" s="4">
        <v>988682699</v>
      </c>
      <c r="V975" s="4">
        <v>988682699</v>
      </c>
      <c r="W975" s="4"/>
      <c r="X975" s="4" t="s">
        <v>3201</v>
      </c>
      <c r="Y975" s="4" t="s">
        <v>4066</v>
      </c>
      <c r="Z975" s="35"/>
      <c r="AA975" s="1" t="str">
        <f>IFERROR(VLOOKUP(D:D,[1]Габариты!$A:$I,9,0),"")</f>
        <v>Вакансия</v>
      </c>
      <c r="AB975" s="6" t="str">
        <f>IFERROR(VLOOKUP(D:D,[1]Габариты!$A:$D,4,0),"")</f>
        <v>ОБУВНИЦЫ</v>
      </c>
      <c r="AC975" s="39">
        <f t="shared" ref="AC975:AC1040" si="180">D975</f>
        <v>135583</v>
      </c>
      <c r="AD975" s="13" t="str">
        <f t="shared" si="179"/>
        <v>FBO</v>
      </c>
    </row>
    <row r="976" spans="1:30" s="6" customFormat="1" ht="20.100000000000001" customHeight="1" outlineLevel="1" x14ac:dyDescent="0.25">
      <c r="A976" s="635" t="s">
        <v>3138</v>
      </c>
      <c r="B976" s="3"/>
      <c r="C976" s="13" t="s">
        <v>2582</v>
      </c>
      <c r="D976" s="39">
        <v>135584</v>
      </c>
      <c r="E976" s="4">
        <v>34</v>
      </c>
      <c r="F976" s="101">
        <v>135584</v>
      </c>
      <c r="G976" s="57"/>
      <c r="H976" s="4" t="s">
        <v>6513</v>
      </c>
      <c r="I976" s="4" t="s">
        <v>3247</v>
      </c>
      <c r="J976" s="4" t="s">
        <v>3196</v>
      </c>
      <c r="K976" s="54"/>
      <c r="L976" s="57"/>
      <c r="M976" s="57"/>
      <c r="N976" s="4" t="s">
        <v>3202</v>
      </c>
      <c r="O976" s="4">
        <v>967886081</v>
      </c>
      <c r="P976" s="4">
        <v>967886080</v>
      </c>
      <c r="Q976" s="767" t="s">
        <v>3416</v>
      </c>
      <c r="R976" s="767">
        <v>988534625</v>
      </c>
      <c r="S976" s="4">
        <v>988534624</v>
      </c>
      <c r="T976" s="4" t="s">
        <v>3208</v>
      </c>
      <c r="U976" s="4">
        <v>988699393</v>
      </c>
      <c r="V976" s="4">
        <v>988699393</v>
      </c>
      <c r="W976" s="4"/>
      <c r="X976" s="4" t="s">
        <v>3202</v>
      </c>
      <c r="Y976" s="4" t="s">
        <v>4066</v>
      </c>
      <c r="Z976" s="35"/>
      <c r="AA976" s="1" t="str">
        <f>IFERROR(VLOOKUP(D:D,[1]Габариты!$A:$I,9,0),"")</f>
        <v>Вакансия</v>
      </c>
      <c r="AB976" s="6" t="str">
        <f>IFERROR(VLOOKUP(D:D,[1]Габариты!$A:$D,4,0),"")</f>
        <v>ОБУВНИЦЫ</v>
      </c>
      <c r="AC976" s="39">
        <f t="shared" si="180"/>
        <v>135584</v>
      </c>
      <c r="AD976" s="13" t="str">
        <f t="shared" si="179"/>
        <v>FBO</v>
      </c>
    </row>
    <row r="977" spans="1:30" s="6" customFormat="1" ht="20.100000000000001" customHeight="1" outlineLevel="1" x14ac:dyDescent="0.25">
      <c r="A977" s="635" t="s">
        <v>3139</v>
      </c>
      <c r="B977" s="3"/>
      <c r="C977" s="13" t="s">
        <v>2582</v>
      </c>
      <c r="D977" s="39">
        <v>135585</v>
      </c>
      <c r="E977" s="4">
        <v>34</v>
      </c>
      <c r="F977" s="101">
        <v>135585</v>
      </c>
      <c r="G977" s="57"/>
      <c r="H977" s="4" t="s">
        <v>6514</v>
      </c>
      <c r="I977" s="4" t="s">
        <v>3248</v>
      </c>
      <c r="J977" s="4" t="s">
        <v>3197</v>
      </c>
      <c r="K977" s="54"/>
      <c r="L977" s="57"/>
      <c r="M977" s="57"/>
      <c r="N977" s="4" t="s">
        <v>3203</v>
      </c>
      <c r="O977" s="4">
        <v>967888799</v>
      </c>
      <c r="P977" s="4">
        <v>967888800</v>
      </c>
      <c r="Q977" s="767" t="s">
        <v>3415</v>
      </c>
      <c r="R977" s="767">
        <v>988539230</v>
      </c>
      <c r="S977" s="4">
        <v>988539227</v>
      </c>
      <c r="T977" s="4" t="s">
        <v>3209</v>
      </c>
      <c r="U977" s="4">
        <v>988724314</v>
      </c>
      <c r="V977" s="4">
        <v>988724314</v>
      </c>
      <c r="W977" s="4"/>
      <c r="X977" s="4" t="s">
        <v>3203</v>
      </c>
      <c r="Y977" s="4" t="s">
        <v>4066</v>
      </c>
      <c r="Z977" s="35"/>
      <c r="AA977" s="1" t="str">
        <f>IFERROR(VLOOKUP(D:D,[1]Габариты!$A:$I,9,0),"")</f>
        <v>Вакансия</v>
      </c>
      <c r="AB977" s="6" t="str">
        <f>IFERROR(VLOOKUP(D:D,[1]Габариты!$A:$D,4,0),"")</f>
        <v>ОБУВНИЦЫ</v>
      </c>
      <c r="AC977" s="39">
        <f t="shared" si="180"/>
        <v>135585</v>
      </c>
      <c r="AD977" s="13" t="str">
        <f t="shared" si="179"/>
        <v>FBO</v>
      </c>
    </row>
    <row r="978" spans="1:30" s="6" customFormat="1" ht="20.100000000000001" customHeight="1" outlineLevel="1" x14ac:dyDescent="0.25">
      <c r="A978" s="635" t="s">
        <v>3140</v>
      </c>
      <c r="B978" s="3"/>
      <c r="C978" s="13" t="s">
        <v>2582</v>
      </c>
      <c r="D978" s="39">
        <v>135586</v>
      </c>
      <c r="E978" s="4">
        <v>34</v>
      </c>
      <c r="F978" s="101">
        <v>135586</v>
      </c>
      <c r="G978" s="57"/>
      <c r="H978" s="4" t="s">
        <v>6515</v>
      </c>
      <c r="I978" s="4" t="s">
        <v>3249</v>
      </c>
      <c r="J978" s="4" t="s">
        <v>3198</v>
      </c>
      <c r="K978" s="54"/>
      <c r="L978" s="57"/>
      <c r="M978" s="57"/>
      <c r="N978" s="4" t="s">
        <v>3204</v>
      </c>
      <c r="O978" s="4">
        <v>967894709</v>
      </c>
      <c r="P978" s="4">
        <v>967894708</v>
      </c>
      <c r="Q978" s="767" t="s">
        <v>3414</v>
      </c>
      <c r="R978" s="767">
        <v>988544474</v>
      </c>
      <c r="S978" s="4">
        <v>988544473</v>
      </c>
      <c r="T978" s="4" t="s">
        <v>3210</v>
      </c>
      <c r="U978" s="4">
        <v>988729350</v>
      </c>
      <c r="V978" s="4">
        <v>988729350</v>
      </c>
      <c r="W978" s="4"/>
      <c r="X978" s="4" t="s">
        <v>3204</v>
      </c>
      <c r="Y978" s="4" t="s">
        <v>4066</v>
      </c>
      <c r="Z978" s="35"/>
      <c r="AA978" s="1" t="str">
        <f>IFERROR(VLOOKUP(D:D,[1]Габариты!$A:$I,9,0),"")</f>
        <v>Вакансия</v>
      </c>
      <c r="AB978" s="6" t="str">
        <f>IFERROR(VLOOKUP(D:D,[1]Габариты!$A:$D,4,0),"")</f>
        <v>ОБУВНИЦЫ</v>
      </c>
      <c r="AC978" s="39">
        <f t="shared" si="180"/>
        <v>135586</v>
      </c>
      <c r="AD978" s="13" t="str">
        <f t="shared" si="179"/>
        <v>FBO</v>
      </c>
    </row>
    <row r="979" spans="1:30" s="6" customFormat="1" ht="20.100000000000001" customHeight="1" outlineLevel="1" x14ac:dyDescent="0.25">
      <c r="A979" s="635" t="s">
        <v>3141</v>
      </c>
      <c r="B979" s="3"/>
      <c r="C979" s="13" t="s">
        <v>2582</v>
      </c>
      <c r="D979" s="39">
        <v>135587</v>
      </c>
      <c r="E979" s="4">
        <v>34</v>
      </c>
      <c r="F979" s="101">
        <v>135587</v>
      </c>
      <c r="G979" s="57"/>
      <c r="H979" s="4" t="s">
        <v>6516</v>
      </c>
      <c r="I979" s="4" t="s">
        <v>3250</v>
      </c>
      <c r="J979" s="4" t="s">
        <v>3199</v>
      </c>
      <c r="K979" s="54"/>
      <c r="L979" s="57"/>
      <c r="M979" s="57"/>
      <c r="N979" s="4" t="s">
        <v>3205</v>
      </c>
      <c r="O979" s="4">
        <v>967897127</v>
      </c>
      <c r="P979" s="4">
        <v>967897126</v>
      </c>
      <c r="Q979" s="767" t="s">
        <v>3413</v>
      </c>
      <c r="R979" s="767">
        <v>988564182</v>
      </c>
      <c r="S979" s="4">
        <v>988564181</v>
      </c>
      <c r="T979" s="4" t="s">
        <v>3211</v>
      </c>
      <c r="U979" s="4">
        <v>988746220</v>
      </c>
      <c r="V979" s="4">
        <v>988746220</v>
      </c>
      <c r="W979" s="4"/>
      <c r="X979" s="4" t="s">
        <v>3205</v>
      </c>
      <c r="Y979" s="4" t="s">
        <v>4066</v>
      </c>
      <c r="Z979" s="35"/>
      <c r="AA979" s="1" t="str">
        <f>IFERROR(VLOOKUP(D:D,[1]Габариты!$A:$I,9,0),"")</f>
        <v>Вакансия</v>
      </c>
      <c r="AB979" s="6" t="str">
        <f>IFERROR(VLOOKUP(D:D,[1]Габариты!$A:$D,4,0),"")</f>
        <v>ОБУВНИЦЫ</v>
      </c>
      <c r="AC979" s="39">
        <f t="shared" si="180"/>
        <v>135587</v>
      </c>
      <c r="AD979" s="13" t="str">
        <f t="shared" si="179"/>
        <v>FBO</v>
      </c>
    </row>
    <row r="980" spans="1:30" s="6" customFormat="1" ht="20.100000000000001" customHeight="1" outlineLevel="1" x14ac:dyDescent="0.25">
      <c r="A980" s="635" t="s">
        <v>3921</v>
      </c>
      <c r="B980" s="3"/>
      <c r="C980" s="13" t="s">
        <v>2582</v>
      </c>
      <c r="D980" s="39">
        <v>3864</v>
      </c>
      <c r="E980" s="4">
        <v>40</v>
      </c>
      <c r="F980" s="101">
        <v>3864</v>
      </c>
      <c r="G980" s="57" t="s">
        <v>5728</v>
      </c>
      <c r="H980" s="4" t="s">
        <v>6536</v>
      </c>
      <c r="I980" s="4"/>
      <c r="J980" s="4" t="s">
        <v>5312</v>
      </c>
      <c r="K980" s="54" t="s">
        <v>7624</v>
      </c>
      <c r="L980" s="57"/>
      <c r="M980" s="57"/>
      <c r="N980" s="4" t="s">
        <v>4016</v>
      </c>
      <c r="O980" s="4">
        <v>1479893715</v>
      </c>
      <c r="P980" s="4">
        <v>1479893715</v>
      </c>
      <c r="Q980" s="767" t="s">
        <v>4330</v>
      </c>
      <c r="R980" s="767">
        <v>1609774502</v>
      </c>
      <c r="S980" s="4">
        <v>1609774502</v>
      </c>
      <c r="T980" s="4" t="s">
        <v>4313</v>
      </c>
      <c r="U980" s="4">
        <v>1609299905</v>
      </c>
      <c r="V980" s="4">
        <v>1609299905</v>
      </c>
      <c r="W980" s="4"/>
      <c r="X980" s="4" t="s">
        <v>4016</v>
      </c>
      <c r="Y980" s="4" t="s">
        <v>4066</v>
      </c>
      <c r="Z980" s="35"/>
      <c r="AA980" s="1" t="str">
        <f>IFERROR(VLOOKUP(D:D,[1]Габариты!$A:$I,9,0),"")</f>
        <v>Вакансия</v>
      </c>
      <c r="AB980" s="6" t="str">
        <f>IFERROR(VLOOKUP(D:D,[1]Габариты!$A:$D,4,0),"")</f>
        <v>ОБУВНИЦЫ</v>
      </c>
      <c r="AC980" s="39">
        <f t="shared" si="180"/>
        <v>3864</v>
      </c>
      <c r="AD980" s="13" t="str">
        <f t="shared" si="179"/>
        <v>FBO</v>
      </c>
    </row>
    <row r="981" spans="1:30" s="6" customFormat="1" ht="20.100000000000001" customHeight="1" outlineLevel="1" x14ac:dyDescent="0.25">
      <c r="A981" s="635" t="s">
        <v>809</v>
      </c>
      <c r="B981" s="3"/>
      <c r="C981" s="13" t="s">
        <v>2582</v>
      </c>
      <c r="D981" s="39">
        <v>3358</v>
      </c>
      <c r="E981" s="4">
        <v>18</v>
      </c>
      <c r="F981" s="101">
        <v>3358</v>
      </c>
      <c r="G981" s="57"/>
      <c r="H981" s="4" t="s">
        <v>6502</v>
      </c>
      <c r="I981" s="4" t="s">
        <v>2083</v>
      </c>
      <c r="J981" s="4" t="s">
        <v>1935</v>
      </c>
      <c r="K981" s="54" t="s">
        <v>2189</v>
      </c>
      <c r="L981" s="57"/>
      <c r="M981" s="57"/>
      <c r="N981" s="4" t="s">
        <v>858</v>
      </c>
      <c r="O981" s="4">
        <v>515310651</v>
      </c>
      <c r="P981" s="4">
        <v>515310650</v>
      </c>
      <c r="Q981" s="767"/>
      <c r="R981" s="767"/>
      <c r="S981" s="4"/>
      <c r="T981" s="4"/>
      <c r="U981" s="4"/>
      <c r="V981" s="4"/>
      <c r="W981" s="4" t="s">
        <v>2189</v>
      </c>
      <c r="X981" s="4" t="s">
        <v>858</v>
      </c>
      <c r="Y981" s="4" t="s">
        <v>4066</v>
      </c>
      <c r="Z981" s="35"/>
      <c r="AA981" s="1" t="str">
        <f>IFERROR(VLOOKUP(D:D,[1]Габариты!$A:$I,9,0),"")</f>
        <v>Вакансия</v>
      </c>
      <c r="AB981" s="6" t="str">
        <f>IFERROR(VLOOKUP(D:D,[1]Габариты!$A:$D,4,0),"")</f>
        <v>ОБУВНИЦЫ</v>
      </c>
      <c r="AC981" s="39">
        <f t="shared" si="180"/>
        <v>3358</v>
      </c>
      <c r="AD981" s="13" t="str">
        <f t="shared" si="179"/>
        <v>FBO</v>
      </c>
    </row>
    <row r="982" spans="1:30" s="6" customFormat="1" ht="20.100000000000001" customHeight="1" outlineLevel="1" x14ac:dyDescent="0.25">
      <c r="A982" s="635" t="s">
        <v>3189</v>
      </c>
      <c r="B982" s="3"/>
      <c r="C982" s="13" t="s">
        <v>2582</v>
      </c>
      <c r="D982" s="39">
        <v>3623</v>
      </c>
      <c r="E982" s="4">
        <v>50</v>
      </c>
      <c r="F982" s="101">
        <v>3623</v>
      </c>
      <c r="G982" s="57" t="s">
        <v>5728</v>
      </c>
      <c r="H982" s="4" t="s">
        <v>6523</v>
      </c>
      <c r="I982" s="4" t="s">
        <v>3296</v>
      </c>
      <c r="J982" s="4" t="s">
        <v>3263</v>
      </c>
      <c r="K982" s="54" t="s">
        <v>7885</v>
      </c>
      <c r="L982" s="57">
        <v>1348899354</v>
      </c>
      <c r="M982" s="57">
        <v>1348899354</v>
      </c>
      <c r="N982" s="4" t="s">
        <v>3405</v>
      </c>
      <c r="O982" s="4">
        <v>995567955</v>
      </c>
      <c r="P982" s="4">
        <v>995567955</v>
      </c>
      <c r="Q982" s="767" t="s">
        <v>3406</v>
      </c>
      <c r="R982" s="767">
        <v>998030551</v>
      </c>
      <c r="S982" s="4">
        <v>998030551</v>
      </c>
      <c r="T982" s="4" t="s">
        <v>3319</v>
      </c>
      <c r="U982" s="4">
        <v>997830872</v>
      </c>
      <c r="V982" s="4">
        <v>997830872</v>
      </c>
      <c r="W982" s="4"/>
      <c r="X982" s="4" t="s">
        <v>3405</v>
      </c>
      <c r="Y982" s="4" t="s">
        <v>4066</v>
      </c>
      <c r="Z982" s="35"/>
      <c r="AA982" s="1" t="str">
        <f>IFERROR(VLOOKUP(D:D,[1]Габариты!$A:$I,9,0),"")</f>
        <v>Вакансия</v>
      </c>
      <c r="AB982" s="6" t="str">
        <f>IFERROR(VLOOKUP(D:D,[1]Габариты!$A:$D,4,0),"")</f>
        <v>ОБУВНИЦЫ</v>
      </c>
      <c r="AC982" s="39">
        <f t="shared" si="180"/>
        <v>3623</v>
      </c>
      <c r="AD982" s="13" t="str">
        <f t="shared" si="179"/>
        <v>FBO</v>
      </c>
    </row>
    <row r="983" spans="1:30" s="6" customFormat="1" ht="20.100000000000001" customHeight="1" outlineLevel="1" x14ac:dyDescent="0.25">
      <c r="A983" s="635" t="s">
        <v>3192</v>
      </c>
      <c r="B983" s="3"/>
      <c r="C983" s="13" t="s">
        <v>2582</v>
      </c>
      <c r="D983" s="39">
        <v>3624</v>
      </c>
      <c r="E983" s="4">
        <v>50</v>
      </c>
      <c r="F983" s="101">
        <v>3624</v>
      </c>
      <c r="G983" s="57"/>
      <c r="H983" s="4" t="s">
        <v>6524</v>
      </c>
      <c r="I983" s="4" t="s">
        <v>3299</v>
      </c>
      <c r="J983" s="4" t="s">
        <v>3264</v>
      </c>
      <c r="K983" s="54" t="s">
        <v>7886</v>
      </c>
      <c r="L983" s="57"/>
      <c r="M983" s="57"/>
      <c r="N983" s="4" t="s">
        <v>3403</v>
      </c>
      <c r="O983" s="4">
        <v>995591601</v>
      </c>
      <c r="P983" s="4">
        <v>995591601</v>
      </c>
      <c r="Q983" s="767" t="s">
        <v>3404</v>
      </c>
      <c r="R983" s="767">
        <v>998039804</v>
      </c>
      <c r="S983" s="4">
        <v>998039803</v>
      </c>
      <c r="T983" s="4" t="s">
        <v>3322</v>
      </c>
      <c r="U983" s="4">
        <v>997837039</v>
      </c>
      <c r="V983" s="4">
        <v>997837039</v>
      </c>
      <c r="W983" s="4"/>
      <c r="X983" s="4" t="s">
        <v>3403</v>
      </c>
      <c r="Y983" s="4" t="s">
        <v>4066</v>
      </c>
      <c r="Z983" s="35"/>
      <c r="AA983" s="1" t="str">
        <f>IFERROR(VLOOKUP(D:D,[1]Габариты!$A:$I,9,0),"")</f>
        <v>Вакансия</v>
      </c>
      <c r="AB983" s="6" t="str">
        <f>IFERROR(VLOOKUP(D:D,[1]Габариты!$A:$D,4,0),"")</f>
        <v>ОБУВНИЦЫ</v>
      </c>
      <c r="AC983" s="39">
        <f t="shared" si="180"/>
        <v>3624</v>
      </c>
      <c r="AD983" s="13" t="str">
        <f t="shared" si="179"/>
        <v>FBO</v>
      </c>
    </row>
    <row r="984" spans="1:30" s="6" customFormat="1" ht="20.100000000000001" customHeight="1" outlineLevel="1" x14ac:dyDescent="0.25">
      <c r="A984" s="635" t="s">
        <v>3190</v>
      </c>
      <c r="B984" s="3"/>
      <c r="C984" s="13" t="s">
        <v>2582</v>
      </c>
      <c r="D984" s="39">
        <v>3625</v>
      </c>
      <c r="E984" s="4">
        <v>50</v>
      </c>
      <c r="F984" s="101">
        <v>3625</v>
      </c>
      <c r="G984" s="57" t="s">
        <v>5105</v>
      </c>
      <c r="H984" s="4" t="s">
        <v>6525</v>
      </c>
      <c r="I984" s="4" t="s">
        <v>3297</v>
      </c>
      <c r="J984" s="4" t="s">
        <v>3266</v>
      </c>
      <c r="K984" s="54" t="s">
        <v>7887</v>
      </c>
      <c r="L984" s="57">
        <v>1339404158</v>
      </c>
      <c r="M984" s="57">
        <v>1339404158</v>
      </c>
      <c r="N984" s="4" t="s">
        <v>3401</v>
      </c>
      <c r="O984" s="4">
        <v>995607822</v>
      </c>
      <c r="P984" s="4">
        <v>995607822</v>
      </c>
      <c r="Q984" s="767" t="s">
        <v>3402</v>
      </c>
      <c r="R984" s="767">
        <v>998050032</v>
      </c>
      <c r="S984" s="4">
        <v>998050032</v>
      </c>
      <c r="T984" s="4" t="s">
        <v>3320</v>
      </c>
      <c r="U984" s="4">
        <v>997842141</v>
      </c>
      <c r="V984" s="4">
        <v>997842141</v>
      </c>
      <c r="W984" s="4"/>
      <c r="X984" s="4" t="s">
        <v>3401</v>
      </c>
      <c r="Y984" s="4" t="s">
        <v>4066</v>
      </c>
      <c r="Z984" s="35"/>
      <c r="AA984" s="1" t="str">
        <f>IFERROR(VLOOKUP(D:D,[1]Габариты!$A:$I,9,0),"")</f>
        <v>Вакансия</v>
      </c>
      <c r="AB984" s="6" t="str">
        <f>IFERROR(VLOOKUP(D:D,[1]Габариты!$A:$D,4,0),"")</f>
        <v>ОБУВНИЦЫ</v>
      </c>
      <c r="AC984" s="39">
        <f t="shared" si="180"/>
        <v>3625</v>
      </c>
      <c r="AD984" s="13" t="str">
        <f t="shared" si="179"/>
        <v>FBO</v>
      </c>
    </row>
    <row r="985" spans="1:30" s="6" customFormat="1" ht="20.100000000000001" customHeight="1" outlineLevel="1" x14ac:dyDescent="0.25">
      <c r="A985" s="635" t="s">
        <v>3191</v>
      </c>
      <c r="B985" s="3"/>
      <c r="C985" s="13" t="s">
        <v>2582</v>
      </c>
      <c r="D985" s="39">
        <v>3626</v>
      </c>
      <c r="E985" s="4">
        <v>50</v>
      </c>
      <c r="F985" s="101">
        <v>3626</v>
      </c>
      <c r="G985" s="57" t="s">
        <v>5106</v>
      </c>
      <c r="H985" s="4" t="s">
        <v>6526</v>
      </c>
      <c r="I985" s="4" t="s">
        <v>3298</v>
      </c>
      <c r="J985" s="4" t="s">
        <v>3267</v>
      </c>
      <c r="K985" s="54" t="s">
        <v>7888</v>
      </c>
      <c r="L985" s="57">
        <v>1340173945</v>
      </c>
      <c r="M985" s="57">
        <v>1340173945</v>
      </c>
      <c r="N985" s="4" t="s">
        <v>3399</v>
      </c>
      <c r="O985" s="4">
        <v>995614903</v>
      </c>
      <c r="P985" s="4">
        <v>995614903</v>
      </c>
      <c r="Q985" s="767" t="s">
        <v>3400</v>
      </c>
      <c r="R985" s="767">
        <v>998500321</v>
      </c>
      <c r="S985" s="4">
        <v>998500321</v>
      </c>
      <c r="T985" s="4" t="s">
        <v>3321</v>
      </c>
      <c r="U985" s="4">
        <v>997849464</v>
      </c>
      <c r="V985" s="4">
        <v>997849464</v>
      </c>
      <c r="W985" s="4"/>
      <c r="X985" s="4" t="s">
        <v>3399</v>
      </c>
      <c r="Y985" s="4" t="s">
        <v>4066</v>
      </c>
      <c r="Z985" s="35"/>
      <c r="AA985" s="1" t="str">
        <f>IFERROR(VLOOKUP(D:D,[1]Габариты!$A:$I,9,0),"")</f>
        <v>Вакансия</v>
      </c>
      <c r="AB985" s="6" t="str">
        <f>IFERROR(VLOOKUP(D:D,[1]Габариты!$A:$D,4,0),"")</f>
        <v>ОБУВНИЦЫ</v>
      </c>
      <c r="AC985" s="39">
        <f t="shared" si="180"/>
        <v>3626</v>
      </c>
      <c r="AD985" s="13" t="str">
        <f t="shared" si="179"/>
        <v>FBO</v>
      </c>
    </row>
    <row r="986" spans="1:30" s="6" customFormat="1" ht="20.100000000000001" customHeight="1" outlineLevel="1" x14ac:dyDescent="0.25">
      <c r="A986" s="635" t="s">
        <v>3909</v>
      </c>
      <c r="B986" s="3"/>
      <c r="C986" s="13" t="s">
        <v>2582</v>
      </c>
      <c r="D986" s="39">
        <v>3767</v>
      </c>
      <c r="E986" s="4">
        <v>27</v>
      </c>
      <c r="F986" s="101">
        <v>3767</v>
      </c>
      <c r="G986" s="57"/>
      <c r="H986" s="4" t="s">
        <v>6529</v>
      </c>
      <c r="I986" s="4"/>
      <c r="J986" s="4"/>
      <c r="K986" s="54" t="s">
        <v>7889</v>
      </c>
      <c r="L986" s="57"/>
      <c r="M986" s="57"/>
      <c r="N986" s="4" t="s">
        <v>4012</v>
      </c>
      <c r="O986" s="4">
        <v>1472237325</v>
      </c>
      <c r="P986" s="4">
        <v>1472237325</v>
      </c>
      <c r="Q986" s="767"/>
      <c r="R986" s="767"/>
      <c r="S986" s="4"/>
      <c r="T986" s="4"/>
      <c r="U986" s="4"/>
      <c r="V986" s="4"/>
      <c r="W986" s="4"/>
      <c r="X986" s="4" t="s">
        <v>4012</v>
      </c>
      <c r="Y986" s="4" t="s">
        <v>4066</v>
      </c>
      <c r="Z986" s="35"/>
      <c r="AA986" s="1" t="str">
        <f>IFERROR(VLOOKUP(D:D,[1]Габариты!$A:$I,9,0),"")</f>
        <v>Вакансия</v>
      </c>
      <c r="AB986" s="6" t="str">
        <f>IFERROR(VLOOKUP(D:D,[1]Габариты!$A:$D,4,0),"")</f>
        <v>ОБУВНИЦЫ</v>
      </c>
      <c r="AC986" s="39">
        <f t="shared" si="180"/>
        <v>3767</v>
      </c>
      <c r="AD986" s="13" t="str">
        <f t="shared" si="179"/>
        <v>FBO</v>
      </c>
    </row>
    <row r="987" spans="1:30" s="6" customFormat="1" ht="20.100000000000001" customHeight="1" outlineLevel="1" x14ac:dyDescent="0.25">
      <c r="A987" s="635" t="s">
        <v>1079</v>
      </c>
      <c r="B987" s="3"/>
      <c r="C987" s="13" t="s">
        <v>2581</v>
      </c>
      <c r="D987" s="39" t="s">
        <v>1483</v>
      </c>
      <c r="E987" s="4">
        <v>21</v>
      </c>
      <c r="F987" s="101" t="s">
        <v>6195</v>
      </c>
      <c r="G987" s="57" t="s">
        <v>5172</v>
      </c>
      <c r="H987" s="4" t="s">
        <v>6507</v>
      </c>
      <c r="I987" s="4"/>
      <c r="J987" s="4" t="s">
        <v>5309</v>
      </c>
      <c r="K987" s="54" t="s">
        <v>6195</v>
      </c>
      <c r="L987" s="57">
        <v>934138913</v>
      </c>
      <c r="M987" s="57">
        <v>934138913</v>
      </c>
      <c r="N987" s="4" t="s">
        <v>1408</v>
      </c>
      <c r="O987" s="4">
        <v>640528913</v>
      </c>
      <c r="P987" s="4">
        <v>640528914</v>
      </c>
      <c r="Q987" s="767" t="s">
        <v>4332</v>
      </c>
      <c r="R987" s="767">
        <v>1609774687</v>
      </c>
      <c r="S987" s="4">
        <v>1609774687</v>
      </c>
      <c r="T987" s="4" t="s">
        <v>4441</v>
      </c>
      <c r="U987" s="4">
        <v>1608650689</v>
      </c>
      <c r="V987" s="4">
        <v>1608650689</v>
      </c>
      <c r="W987" s="4"/>
      <c r="X987" s="4" t="s">
        <v>1408</v>
      </c>
      <c r="Y987" s="4" t="s">
        <v>4066</v>
      </c>
      <c r="Z987" s="35"/>
      <c r="AA987" s="1" t="str">
        <f>IFERROR(VLOOKUP(D:D,[1]Габариты!$A:$I,9,0),"")</f>
        <v>Вакансия</v>
      </c>
      <c r="AB987" s="6" t="str">
        <f>IFERROR(VLOOKUP(D:D,[1]Габариты!$A:$D,4,0),"")</f>
        <v>ОБУВНИЦЫ</v>
      </c>
      <c r="AC987" s="39" t="str">
        <f t="shared" si="180"/>
        <v>MK00028</v>
      </c>
      <c r="AD987" s="13" t="str">
        <f t="shared" si="179"/>
        <v>FBS</v>
      </c>
    </row>
    <row r="988" spans="1:30" s="6" customFormat="1" ht="20.100000000000001" customHeight="1" outlineLevel="1" x14ac:dyDescent="0.25">
      <c r="A988" s="635" t="s">
        <v>1136</v>
      </c>
      <c r="B988" s="3"/>
      <c r="C988" s="13" t="s">
        <v>2581</v>
      </c>
      <c r="D988" s="39" t="s">
        <v>1484</v>
      </c>
      <c r="E988" s="4">
        <v>20</v>
      </c>
      <c r="F988" s="101" t="s">
        <v>6196</v>
      </c>
      <c r="G988" s="57" t="s">
        <v>5191</v>
      </c>
      <c r="H988" s="4" t="s">
        <v>6508</v>
      </c>
      <c r="I988" s="4"/>
      <c r="J988" s="4"/>
      <c r="K988" s="54" t="s">
        <v>6196</v>
      </c>
      <c r="L988" s="57">
        <v>946123380</v>
      </c>
      <c r="M988" s="57">
        <v>946123380</v>
      </c>
      <c r="N988" s="4" t="s">
        <v>1409</v>
      </c>
      <c r="O988" s="4">
        <v>677727996</v>
      </c>
      <c r="P988" s="4">
        <v>677727995</v>
      </c>
      <c r="Q988" s="767" t="s">
        <v>4335</v>
      </c>
      <c r="R988" s="767">
        <v>1609774638</v>
      </c>
      <c r="S988" s="4">
        <v>1609774638</v>
      </c>
      <c r="T988" s="4" t="s">
        <v>4440</v>
      </c>
      <c r="U988" s="4">
        <v>1608630475</v>
      </c>
      <c r="V988" s="4">
        <v>1608630475</v>
      </c>
      <c r="W988" s="4"/>
      <c r="X988" s="4" t="s">
        <v>1409</v>
      </c>
      <c r="Y988" s="4" t="s">
        <v>4066</v>
      </c>
      <c r="Z988" s="35"/>
      <c r="AA988" s="1" t="str">
        <f>IFERROR(VLOOKUP(D:D,[1]Габариты!$A:$I,9,0),"")</f>
        <v>Вакансия</v>
      </c>
      <c r="AB988" s="6" t="str">
        <f>IFERROR(VLOOKUP(D:D,[1]Габариты!$A:$D,4,0),"")</f>
        <v>ОБУВНИЦЫ</v>
      </c>
      <c r="AC988" s="39" t="str">
        <f t="shared" si="180"/>
        <v>MK1060101</v>
      </c>
      <c r="AD988" s="13" t="str">
        <f t="shared" si="179"/>
        <v>FBS</v>
      </c>
    </row>
    <row r="989" spans="1:30" s="6" customFormat="1" ht="20.100000000000001" customHeight="1" outlineLevel="1" x14ac:dyDescent="0.25">
      <c r="A989" s="635" t="s">
        <v>1146</v>
      </c>
      <c r="B989" s="3"/>
      <c r="C989" s="13" t="s">
        <v>2581</v>
      </c>
      <c r="D989" s="39" t="s">
        <v>1169</v>
      </c>
      <c r="E989" s="4">
        <v>21</v>
      </c>
      <c r="F989" s="101" t="s">
        <v>6197</v>
      </c>
      <c r="G989" s="57" t="s">
        <v>5185</v>
      </c>
      <c r="H989" s="4" t="s">
        <v>6509</v>
      </c>
      <c r="I989" s="4"/>
      <c r="J989" s="4" t="s">
        <v>5310</v>
      </c>
      <c r="K989" s="54" t="s">
        <v>6197</v>
      </c>
      <c r="L989" s="57">
        <v>1192669375</v>
      </c>
      <c r="M989" s="57">
        <v>1192669375</v>
      </c>
      <c r="N989" s="4" t="s">
        <v>1410</v>
      </c>
      <c r="O989" s="4">
        <v>683513166</v>
      </c>
      <c r="P989" s="4">
        <v>683513167</v>
      </c>
      <c r="Q989" s="767" t="s">
        <v>4331</v>
      </c>
      <c r="R989" s="767">
        <v>1609774713</v>
      </c>
      <c r="S989" s="4">
        <v>1609774713</v>
      </c>
      <c r="T989" s="4" t="s">
        <v>4304</v>
      </c>
      <c r="U989" s="4">
        <v>1608613938</v>
      </c>
      <c r="V989" s="4">
        <v>1608613938</v>
      </c>
      <c r="W989" s="4"/>
      <c r="X989" s="4" t="s">
        <v>1410</v>
      </c>
      <c r="Y989" s="4" t="s">
        <v>4066</v>
      </c>
      <c r="Z989" s="35"/>
      <c r="AA989" s="1" t="str">
        <f>IFERROR(VLOOKUP(D:D,[1]Габариты!$A:$I,9,0),"")</f>
        <v>Вакансия</v>
      </c>
      <c r="AB989" s="6" t="str">
        <f>IFERROR(VLOOKUP(D:D,[1]Габариты!$A:$D,4,0),"")</f>
        <v>ОБУВНИЦЫ</v>
      </c>
      <c r="AC989" s="39" t="str">
        <f t="shared" si="180"/>
        <v>MK00047</v>
      </c>
      <c r="AD989" s="13" t="str">
        <f t="shared" si="179"/>
        <v>FBS</v>
      </c>
    </row>
    <row r="990" spans="1:30" s="6" customFormat="1" ht="20.100000000000001" customHeight="1" outlineLevel="1" x14ac:dyDescent="0.25">
      <c r="A990" s="638" t="s">
        <v>7438</v>
      </c>
      <c r="B990" s="103"/>
      <c r="C990" s="13" t="s">
        <v>2582</v>
      </c>
      <c r="D990" s="104" t="s">
        <v>7439</v>
      </c>
      <c r="E990" s="100">
        <v>22</v>
      </c>
      <c r="F990" s="101" t="s">
        <v>7440</v>
      </c>
      <c r="G990" s="102" t="s">
        <v>7626</v>
      </c>
      <c r="H990" s="100" t="s">
        <v>7441</v>
      </c>
      <c r="I990" s="100"/>
      <c r="J990" s="100"/>
      <c r="K990" s="101"/>
      <c r="L990" s="102"/>
      <c r="M990" s="102"/>
      <c r="N990" s="100" t="s">
        <v>7494</v>
      </c>
      <c r="O990" s="100">
        <v>1712289662</v>
      </c>
      <c r="P990" s="100">
        <v>1712289662</v>
      </c>
      <c r="Q990" s="774"/>
      <c r="R990" s="774"/>
      <c r="S990" s="100"/>
      <c r="T990" s="100"/>
      <c r="U990" s="100"/>
      <c r="V990" s="100"/>
      <c r="W990" s="100"/>
      <c r="X990" s="100" t="s">
        <v>7494</v>
      </c>
      <c r="Y990" s="100"/>
      <c r="Z990" s="35"/>
      <c r="AA990" s="1" t="str">
        <f>IFERROR(VLOOKUP(D:D,[1]Габариты!$A:$I,9,0),"")</f>
        <v>Вакансия</v>
      </c>
      <c r="AB990" s="6" t="str">
        <f>IFERROR(VLOOKUP(D:D,[1]Габариты!$A:$D,4,0),"")</f>
        <v>ОБУВНИЦЫ</v>
      </c>
      <c r="AC990" s="39" t="str">
        <f>D990</f>
        <v>4157.17.05/01</v>
      </c>
      <c r="AD990" s="13" t="str">
        <f>C990</f>
        <v>FBO</v>
      </c>
    </row>
    <row r="991" spans="1:30" s="6" customFormat="1" ht="20.100000000000001" customHeight="1" outlineLevel="1" x14ac:dyDescent="0.25">
      <c r="A991" s="631" t="s">
        <v>7734</v>
      </c>
      <c r="B991" s="198"/>
      <c r="C991" s="109" t="s">
        <v>2582</v>
      </c>
      <c r="D991" s="199" t="s">
        <v>7733</v>
      </c>
      <c r="E991" s="200">
        <v>60</v>
      </c>
      <c r="F991" s="201" t="s">
        <v>7735</v>
      </c>
      <c r="G991" s="202"/>
      <c r="H991" s="200" t="s">
        <v>7778</v>
      </c>
      <c r="I991" s="200"/>
      <c r="J991" s="200"/>
      <c r="K991" s="201"/>
      <c r="L991" s="202"/>
      <c r="M991" s="202"/>
      <c r="N991" s="200" t="s">
        <v>7791</v>
      </c>
      <c r="O991" s="200">
        <v>1757599653</v>
      </c>
      <c r="P991" s="200">
        <v>1757599653</v>
      </c>
      <c r="Q991" s="882"/>
      <c r="R991" s="882"/>
      <c r="S991" s="200"/>
      <c r="T991" s="200"/>
      <c r="U991" s="200"/>
      <c r="V991" s="200"/>
      <c r="W991" s="200"/>
      <c r="X991" s="200" t="s">
        <v>7791</v>
      </c>
      <c r="Y991" s="200"/>
      <c r="Z991" s="35"/>
      <c r="AA991" s="1" t="str">
        <f>IFERROR(VLOOKUP(D:D,[1]Габариты!$A:$I,9,0),"")</f>
        <v>Вакансия</v>
      </c>
      <c r="AB991" s="6" t="str">
        <f>IFERROR(VLOOKUP(D:D,[1]Габариты!$A:$D,4,0),"")</f>
        <v>ПОЛКИ</v>
      </c>
      <c r="AC991" s="39" t="str">
        <f>D991</f>
        <v>5004.05/01</v>
      </c>
      <c r="AD991" s="13" t="str">
        <f>C991</f>
        <v>FBO</v>
      </c>
    </row>
    <row r="992" spans="1:30" s="6" customFormat="1" ht="20.100000000000001" customHeight="1" outlineLevel="1" x14ac:dyDescent="0.25">
      <c r="A992" s="680" t="s">
        <v>8085</v>
      </c>
      <c r="B992" s="306"/>
      <c r="C992" s="301" t="s">
        <v>2582</v>
      </c>
      <c r="D992" s="307" t="s">
        <v>8084</v>
      </c>
      <c r="E992" s="303">
        <v>24</v>
      </c>
      <c r="F992" s="304" t="s">
        <v>8194</v>
      </c>
      <c r="G992" s="305"/>
      <c r="H992" s="303" t="s">
        <v>8086</v>
      </c>
      <c r="I992" s="303"/>
      <c r="J992" s="303"/>
      <c r="K992" s="304"/>
      <c r="L992" s="305"/>
      <c r="M992" s="305"/>
      <c r="N992" s="303" t="s">
        <v>8092</v>
      </c>
      <c r="O992" s="303">
        <v>1786815121</v>
      </c>
      <c r="P992" s="303">
        <v>1786815121</v>
      </c>
      <c r="Q992" s="822"/>
      <c r="R992" s="822"/>
      <c r="S992" s="303"/>
      <c r="T992" s="303"/>
      <c r="U992" s="303"/>
      <c r="V992" s="303"/>
      <c r="W992" s="303"/>
      <c r="X992" s="303" t="s">
        <v>8092</v>
      </c>
      <c r="Y992" s="303"/>
      <c r="Z992" s="35"/>
      <c r="AA992" s="1" t="str">
        <f>IFERROR(VLOOKUP(D:D,[1]Габариты!$A:$I,9,0),"")</f>
        <v>Вакансия</v>
      </c>
      <c r="AB992" s="6" t="str">
        <f>IFERROR(VLOOKUP(D:D,[1]Габариты!$A:$D,4,0),"")</f>
        <v>ОБУВНИЦЫ</v>
      </c>
      <c r="AC992" s="39" t="str">
        <f>D992</f>
        <v>3945.17/01</v>
      </c>
      <c r="AD992" s="13" t="str">
        <f>C992</f>
        <v>FBO</v>
      </c>
    </row>
    <row r="993" spans="1:30" s="6" customFormat="1" ht="20.100000000000001" customHeight="1" outlineLevel="1" x14ac:dyDescent="0.2">
      <c r="A993" s="754" t="s">
        <v>426</v>
      </c>
      <c r="B993" s="754" t="s">
        <v>3846</v>
      </c>
      <c r="C993" s="13"/>
      <c r="D993" s="39"/>
      <c r="E993" s="4"/>
      <c r="F993" s="101"/>
      <c r="G993" s="57"/>
      <c r="H993" s="4"/>
      <c r="I993" s="4"/>
      <c r="J993" s="4"/>
      <c r="K993" s="54"/>
      <c r="L993" s="57"/>
      <c r="M993" s="57"/>
      <c r="N993" s="766"/>
      <c r="O993" s="4"/>
      <c r="P993" s="4"/>
      <c r="Q993" s="767"/>
      <c r="R993" s="767"/>
      <c r="S993" s="4"/>
      <c r="T993" s="4"/>
      <c r="U993" s="4"/>
      <c r="V993" s="4"/>
      <c r="W993" s="4"/>
      <c r="X993" s="4"/>
      <c r="Y993" s="4" t="s">
        <v>4066</v>
      </c>
      <c r="Z993" s="35"/>
      <c r="AA993" s="1" t="str">
        <f>IFERROR(VLOOKUP(D:D,[1]Габариты!$A:$I,9,0),"")</f>
        <v/>
      </c>
      <c r="AB993" s="6" t="str">
        <f>IFERROR(VLOOKUP(D:D,[1]Габариты!$A:$D,4,0),"")</f>
        <v/>
      </c>
      <c r="AC993" s="39"/>
      <c r="AD993" s="3"/>
    </row>
    <row r="994" spans="1:30" s="6" customFormat="1" ht="20.100000000000001" customHeight="1" outlineLevel="1" x14ac:dyDescent="0.25">
      <c r="A994" s="635" t="s">
        <v>174</v>
      </c>
      <c r="B994" s="3"/>
      <c r="C994" s="13" t="s">
        <v>2582</v>
      </c>
      <c r="D994" s="39">
        <v>2682</v>
      </c>
      <c r="E994" s="4">
        <v>40</v>
      </c>
      <c r="F994" s="101">
        <v>2682</v>
      </c>
      <c r="G994" s="57" t="s">
        <v>4870</v>
      </c>
      <c r="H994" s="4" t="s">
        <v>7119</v>
      </c>
      <c r="I994" s="4"/>
      <c r="J994" s="4"/>
      <c r="K994" s="54" t="s">
        <v>2192</v>
      </c>
      <c r="L994" s="57">
        <v>256360084</v>
      </c>
      <c r="M994" s="57">
        <v>256360084</v>
      </c>
      <c r="N994" s="4" t="s">
        <v>649</v>
      </c>
      <c r="O994" s="4">
        <v>265016638</v>
      </c>
      <c r="P994" s="4">
        <v>265016651</v>
      </c>
      <c r="Q994" s="767" t="s">
        <v>2750</v>
      </c>
      <c r="R994" s="767">
        <v>370850498</v>
      </c>
      <c r="S994" s="4">
        <v>370850499</v>
      </c>
      <c r="T994" s="4"/>
      <c r="U994" s="4"/>
      <c r="V994" s="4"/>
      <c r="W994" s="4" t="s">
        <v>2192</v>
      </c>
      <c r="X994" s="4" t="s">
        <v>649</v>
      </c>
      <c r="Y994" s="4" t="s">
        <v>4066</v>
      </c>
      <c r="Z994" s="35"/>
      <c r="AA994" s="1" t="str">
        <f>IFERROR(VLOOKUP(D:D,[1]Габариты!$A:$I,9,0),"")</f>
        <v>Вакансия</v>
      </c>
      <c r="AB994" s="6" t="str">
        <f>IFERROR(VLOOKUP(D:D,[1]Габариты!$A:$D,4,0),"")</f>
        <v>ПОЛКИ</v>
      </c>
      <c r="AC994" s="39">
        <f t="shared" si="180"/>
        <v>2682</v>
      </c>
      <c r="AD994" s="13" t="str">
        <f t="shared" si="178"/>
        <v>FBO</v>
      </c>
    </row>
    <row r="995" spans="1:30" s="6" customFormat="1" ht="20.100000000000001" customHeight="1" outlineLevel="1" x14ac:dyDescent="0.25">
      <c r="A995" s="635" t="s">
        <v>415</v>
      </c>
      <c r="B995" s="3"/>
      <c r="C995" s="13" t="s">
        <v>2582</v>
      </c>
      <c r="D995" s="39">
        <v>9402</v>
      </c>
      <c r="E995" s="4"/>
      <c r="F995" s="101">
        <v>9402</v>
      </c>
      <c r="G995" s="57"/>
      <c r="H995" s="4" t="s">
        <v>7120</v>
      </c>
      <c r="I995" s="4"/>
      <c r="J995" s="4"/>
      <c r="K995" s="54"/>
      <c r="L995" s="57"/>
      <c r="M995" s="57"/>
      <c r="N995" s="4" t="s">
        <v>866</v>
      </c>
      <c r="O995" s="4">
        <v>327853000</v>
      </c>
      <c r="P995" s="4">
        <v>327853058</v>
      </c>
      <c r="Q995" s="767" t="s">
        <v>2762</v>
      </c>
      <c r="R995" s="767">
        <v>346646919</v>
      </c>
      <c r="S995" s="4">
        <v>346646966</v>
      </c>
      <c r="T995" s="4"/>
      <c r="U995" s="4"/>
      <c r="V995" s="4"/>
      <c r="W995" s="4" t="s">
        <v>2206</v>
      </c>
      <c r="X995" s="4" t="s">
        <v>866</v>
      </c>
      <c r="Y995" s="4" t="s">
        <v>4066</v>
      </c>
      <c r="Z995" s="35"/>
      <c r="AA995" s="1" t="str">
        <f>IFERROR(VLOOKUP(D:D,[1]Габариты!$A:$I,9,0),"")</f>
        <v>Вакансия</v>
      </c>
      <c r="AB995" s="6" t="str">
        <f>IFERROR(VLOOKUP(D:D,[1]Габариты!$A:$D,4,0),"")</f>
        <v>ПОЛКИ</v>
      </c>
      <c r="AC995" s="39">
        <f t="shared" si="180"/>
        <v>9402</v>
      </c>
      <c r="AD995" s="13" t="str">
        <f t="shared" si="178"/>
        <v>FBO</v>
      </c>
    </row>
    <row r="996" spans="1:30" s="6" customFormat="1" ht="20.100000000000001" customHeight="1" outlineLevel="1" x14ac:dyDescent="0.25">
      <c r="A996" s="635" t="s">
        <v>171</v>
      </c>
      <c r="B996" s="3"/>
      <c r="C996" s="13" t="s">
        <v>2582</v>
      </c>
      <c r="D996" s="39">
        <v>2679</v>
      </c>
      <c r="E996" s="4">
        <v>72</v>
      </c>
      <c r="F996" s="101">
        <v>2679</v>
      </c>
      <c r="G996" s="57" t="s">
        <v>4867</v>
      </c>
      <c r="H996" s="4" t="s">
        <v>7121</v>
      </c>
      <c r="I996" s="4"/>
      <c r="J996" s="4"/>
      <c r="K996" s="54"/>
      <c r="L996" s="57"/>
      <c r="M996" s="57"/>
      <c r="N996" s="4" t="s">
        <v>646</v>
      </c>
      <c r="O996" s="4">
        <v>265286975</v>
      </c>
      <c r="P996" s="4">
        <v>265287005</v>
      </c>
      <c r="Q996" s="767" t="s">
        <v>2768</v>
      </c>
      <c r="R996" s="767">
        <v>370871739</v>
      </c>
      <c r="S996" s="4">
        <v>370871738</v>
      </c>
      <c r="T996" s="4"/>
      <c r="U996" s="4"/>
      <c r="V996" s="4"/>
      <c r="W996" s="4" t="s">
        <v>2213</v>
      </c>
      <c r="X996" s="4" t="s">
        <v>646</v>
      </c>
      <c r="Y996" s="4">
        <v>2679</v>
      </c>
      <c r="Z996" s="35"/>
      <c r="AA996" s="1" t="str">
        <f>IFERROR(VLOOKUP(D:D,[1]Габариты!$A:$I,9,0),"")</f>
        <v>Вакансия</v>
      </c>
      <c r="AB996" s="6" t="str">
        <f>IFERROR(VLOOKUP(D:D,[1]Габариты!$A:$D,4,0),"")</f>
        <v>ПОЛКИ</v>
      </c>
      <c r="AC996" s="39">
        <f t="shared" si="180"/>
        <v>2679</v>
      </c>
      <c r="AD996" s="13" t="str">
        <f t="shared" si="178"/>
        <v>FBO</v>
      </c>
    </row>
    <row r="997" spans="1:30" s="6" customFormat="1" ht="20.100000000000001" customHeight="1" outlineLevel="1" x14ac:dyDescent="0.25">
      <c r="A997" s="635" t="s">
        <v>480</v>
      </c>
      <c r="B997" s="15"/>
      <c r="C997" s="13" t="s">
        <v>2581</v>
      </c>
      <c r="D997" s="39">
        <v>914600</v>
      </c>
      <c r="E997" s="4">
        <v>30</v>
      </c>
      <c r="F997" s="101">
        <v>914600</v>
      </c>
      <c r="G997" s="57"/>
      <c r="H997" s="4" t="s">
        <v>7122</v>
      </c>
      <c r="I997" s="4"/>
      <c r="J997" s="4"/>
      <c r="K997" s="54"/>
      <c r="L997" s="57"/>
      <c r="M997" s="57"/>
      <c r="N997" s="806" t="s">
        <v>1013</v>
      </c>
      <c r="O997" s="4">
        <v>400686249</v>
      </c>
      <c r="P997" s="4">
        <v>400686248</v>
      </c>
      <c r="Q997" s="767"/>
      <c r="R997" s="767"/>
      <c r="S997" s="4"/>
      <c r="T997" s="4"/>
      <c r="U997" s="4"/>
      <c r="V997" s="4"/>
      <c r="W997" s="4" t="s">
        <v>2216</v>
      </c>
      <c r="X997" s="4" t="s">
        <v>1013</v>
      </c>
      <c r="Y997" s="4" t="s">
        <v>4066</v>
      </c>
      <c r="Z997" s="35"/>
      <c r="AA997" s="1" t="str">
        <f>IFERROR(VLOOKUP(D:D,[1]Габариты!$A:$I,9,0),"")</f>
        <v>Вакансия</v>
      </c>
      <c r="AB997" s="6" t="str">
        <f>IFERROR(VLOOKUP(D:D,[1]Габариты!$A:$D,4,0),"")</f>
        <v>ПОЛКИ</v>
      </c>
      <c r="AC997" s="39">
        <f t="shared" si="180"/>
        <v>914600</v>
      </c>
      <c r="AD997" s="13" t="str">
        <f t="shared" si="178"/>
        <v>FBS</v>
      </c>
    </row>
    <row r="998" spans="1:30" s="6" customFormat="1" ht="20.100000000000001" customHeight="1" outlineLevel="1" x14ac:dyDescent="0.25">
      <c r="A998" s="635" t="s">
        <v>481</v>
      </c>
      <c r="B998" s="15"/>
      <c r="C998" s="13" t="s">
        <v>2581</v>
      </c>
      <c r="D998" s="39">
        <v>915400</v>
      </c>
      <c r="E998" s="4">
        <v>30</v>
      </c>
      <c r="F998" s="101">
        <v>915400</v>
      </c>
      <c r="G998" s="57"/>
      <c r="H998" s="4" t="s">
        <v>7123</v>
      </c>
      <c r="I998" s="4"/>
      <c r="J998" s="4"/>
      <c r="K998" s="54"/>
      <c r="L998" s="57"/>
      <c r="M998" s="57"/>
      <c r="N998" s="4" t="s">
        <v>1017</v>
      </c>
      <c r="O998" s="4">
        <v>396276473</v>
      </c>
      <c r="P998" s="4">
        <v>396276474</v>
      </c>
      <c r="Q998" s="767"/>
      <c r="R998" s="767"/>
      <c r="S998" s="4"/>
      <c r="T998" s="4"/>
      <c r="U998" s="4"/>
      <c r="V998" s="4"/>
      <c r="W998" s="4" t="s">
        <v>2217</v>
      </c>
      <c r="X998" s="4" t="s">
        <v>1017</v>
      </c>
      <c r="Y998" s="4" t="s">
        <v>4066</v>
      </c>
      <c r="Z998" s="35"/>
      <c r="AA998" s="1" t="str">
        <f>IFERROR(VLOOKUP(D:D,[1]Габариты!$A:$I,9,0),"")</f>
        <v>Вакансия</v>
      </c>
      <c r="AB998" s="6" t="str">
        <f>IFERROR(VLOOKUP(D:D,[1]Габариты!$A:$D,4,0),"")</f>
        <v>ПОЛКИ</v>
      </c>
      <c r="AC998" s="39">
        <f t="shared" si="180"/>
        <v>915400</v>
      </c>
      <c r="AD998" s="13" t="str">
        <f t="shared" si="178"/>
        <v>FBS</v>
      </c>
    </row>
    <row r="999" spans="1:30" s="6" customFormat="1" ht="20.100000000000001" customHeight="1" outlineLevel="1" x14ac:dyDescent="0.25">
      <c r="A999" s="631" t="s">
        <v>1145</v>
      </c>
      <c r="B999" s="29"/>
      <c r="C999" s="13" t="s">
        <v>2581</v>
      </c>
      <c r="D999" s="39">
        <v>3182</v>
      </c>
      <c r="E999" s="4">
        <v>28</v>
      </c>
      <c r="F999" s="101">
        <v>3182</v>
      </c>
      <c r="G999" s="57"/>
      <c r="H999" s="4" t="s">
        <v>7124</v>
      </c>
      <c r="I999" s="4"/>
      <c r="J999" s="4"/>
      <c r="K999" s="54"/>
      <c r="L999" s="57"/>
      <c r="M999" s="57"/>
      <c r="N999" s="4" t="s">
        <v>2602</v>
      </c>
      <c r="O999" s="4">
        <v>469787608</v>
      </c>
      <c r="P999" s="4">
        <v>469787607</v>
      </c>
      <c r="Q999" s="767"/>
      <c r="R999" s="767"/>
      <c r="S999" s="4"/>
      <c r="T999" s="4"/>
      <c r="U999" s="4"/>
      <c r="V999" s="4"/>
      <c r="W999" s="4" t="s">
        <v>2218</v>
      </c>
      <c r="X999" s="4"/>
      <c r="Y999" s="4" t="s">
        <v>4066</v>
      </c>
      <c r="Z999" s="35"/>
      <c r="AA999" s="1" t="str">
        <f>IFERROR(VLOOKUP(D:D,[1]Габариты!$A:$I,9,0),"")</f>
        <v>Вакансия</v>
      </c>
      <c r="AB999" s="6" t="str">
        <f>IFERROR(VLOOKUP(D:D,[1]Габариты!$A:$D,4,0),"")</f>
        <v>ПОЛКИ</v>
      </c>
      <c r="AC999" s="39">
        <f t="shared" si="180"/>
        <v>3182</v>
      </c>
      <c r="AD999" s="13" t="str">
        <f t="shared" si="178"/>
        <v>FBS</v>
      </c>
    </row>
    <row r="1000" spans="1:30" s="6" customFormat="1" ht="20.100000000000001" customHeight="1" outlineLevel="1" x14ac:dyDescent="0.25">
      <c r="A1000" s="635" t="s">
        <v>172</v>
      </c>
      <c r="B1000" s="3"/>
      <c r="C1000" s="13" t="s">
        <v>2582</v>
      </c>
      <c r="D1000" s="39">
        <v>2680</v>
      </c>
      <c r="E1000" s="4">
        <v>72</v>
      </c>
      <c r="F1000" s="101">
        <v>2680</v>
      </c>
      <c r="G1000" s="57" t="s">
        <v>4868</v>
      </c>
      <c r="H1000" s="4" t="s">
        <v>7125</v>
      </c>
      <c r="I1000" s="4"/>
      <c r="J1000" s="4"/>
      <c r="K1000" s="54"/>
      <c r="L1000" s="57"/>
      <c r="M1000" s="57"/>
      <c r="N1000" s="4" t="s">
        <v>647</v>
      </c>
      <c r="O1000" s="4">
        <v>265292785</v>
      </c>
      <c r="P1000" s="4">
        <v>265292792</v>
      </c>
      <c r="Q1000" s="767" t="s">
        <v>2769</v>
      </c>
      <c r="R1000" s="767">
        <v>366479009</v>
      </c>
      <c r="S1000" s="4">
        <v>366479009</v>
      </c>
      <c r="T1000" s="4"/>
      <c r="U1000" s="4"/>
      <c r="V1000" s="4"/>
      <c r="W1000" s="4" t="s">
        <v>2214</v>
      </c>
      <c r="X1000" s="4" t="s">
        <v>647</v>
      </c>
      <c r="Y1000" s="4">
        <v>2680</v>
      </c>
      <c r="Z1000" s="35"/>
      <c r="AA1000" s="1" t="str">
        <f>IFERROR(VLOOKUP(D:D,[1]Габариты!$A:$I,9,0),"")</f>
        <v>Вакансия</v>
      </c>
      <c r="AB1000" s="6" t="str">
        <f>IFERROR(VLOOKUP(D:D,[1]Габариты!$A:$D,4,0),"")</f>
        <v>ПОЛКИ</v>
      </c>
      <c r="AC1000" s="39">
        <f t="shared" si="180"/>
        <v>2680</v>
      </c>
      <c r="AD1000" s="13" t="str">
        <f t="shared" si="178"/>
        <v>FBO</v>
      </c>
    </row>
    <row r="1001" spans="1:30" s="6" customFormat="1" ht="20.100000000000001" customHeight="1" outlineLevel="1" x14ac:dyDescent="0.25">
      <c r="A1001" s="635" t="s">
        <v>173</v>
      </c>
      <c r="B1001" s="3"/>
      <c r="C1001" s="13" t="s">
        <v>2582</v>
      </c>
      <c r="D1001" s="39">
        <v>2681</v>
      </c>
      <c r="E1001" s="4">
        <v>72</v>
      </c>
      <c r="F1001" s="101">
        <v>2681</v>
      </c>
      <c r="G1001" s="57" t="s">
        <v>4869</v>
      </c>
      <c r="H1001" s="4" t="s">
        <v>7126</v>
      </c>
      <c r="I1001" s="4"/>
      <c r="J1001" s="4"/>
      <c r="K1001" s="54"/>
      <c r="L1001" s="57"/>
      <c r="M1001" s="57"/>
      <c r="N1001" s="4" t="s">
        <v>648</v>
      </c>
      <c r="O1001" s="4">
        <v>265319946</v>
      </c>
      <c r="P1001" s="4">
        <v>265319959</v>
      </c>
      <c r="Q1001" s="767" t="s">
        <v>2770</v>
      </c>
      <c r="R1001" s="767">
        <v>370887897</v>
      </c>
      <c r="S1001" s="4">
        <v>370887897</v>
      </c>
      <c r="T1001" s="4"/>
      <c r="U1001" s="4"/>
      <c r="V1001" s="4"/>
      <c r="W1001" s="4" t="s">
        <v>2215</v>
      </c>
      <c r="X1001" s="4" t="s">
        <v>648</v>
      </c>
      <c r="Y1001" s="4" t="s">
        <v>4066</v>
      </c>
      <c r="Z1001" s="35"/>
      <c r="AA1001" s="1" t="str">
        <f>IFERROR(VLOOKUP(D:D,[1]Габариты!$A:$I,9,0),"")</f>
        <v>Вакансия</v>
      </c>
      <c r="AB1001" s="6" t="str">
        <f>IFERROR(VLOOKUP(D:D,[1]Габариты!$A:$D,4,0),"")</f>
        <v>ПОЛКИ</v>
      </c>
      <c r="AC1001" s="39">
        <f t="shared" si="180"/>
        <v>2681</v>
      </c>
      <c r="AD1001" s="13" t="str">
        <f t="shared" si="178"/>
        <v>FBO</v>
      </c>
    </row>
    <row r="1002" spans="1:30" s="6" customFormat="1" ht="20.100000000000001" customHeight="1" outlineLevel="1" x14ac:dyDescent="0.25">
      <c r="A1002" s="635" t="s">
        <v>416</v>
      </c>
      <c r="B1002" s="3"/>
      <c r="C1002" s="13" t="s">
        <v>2582</v>
      </c>
      <c r="D1002" s="39">
        <v>9403</v>
      </c>
      <c r="E1002" s="4"/>
      <c r="F1002" s="101">
        <v>9403</v>
      </c>
      <c r="G1002" s="57"/>
      <c r="H1002" s="4" t="s">
        <v>7127</v>
      </c>
      <c r="I1002" s="4"/>
      <c r="J1002" s="4"/>
      <c r="K1002" s="54"/>
      <c r="L1002" s="57"/>
      <c r="M1002" s="57"/>
      <c r="N1002" s="4" t="s">
        <v>867</v>
      </c>
      <c r="O1002" s="4">
        <v>327870308</v>
      </c>
      <c r="P1002" s="4">
        <v>327870314</v>
      </c>
      <c r="Q1002" s="767" t="s">
        <v>2763</v>
      </c>
      <c r="R1002" s="767">
        <v>341721729</v>
      </c>
      <c r="S1002" s="4">
        <v>341721773</v>
      </c>
      <c r="T1002" s="4"/>
      <c r="U1002" s="4"/>
      <c r="V1002" s="4"/>
      <c r="W1002" s="4" t="s">
        <v>2207</v>
      </c>
      <c r="X1002" s="4" t="s">
        <v>867</v>
      </c>
      <c r="Y1002" s="4" t="s">
        <v>4066</v>
      </c>
      <c r="Z1002" s="35"/>
      <c r="AA1002" s="1" t="str">
        <f>IFERROR(VLOOKUP(D:D,[1]Габариты!$A:$I,9,0),"")</f>
        <v>Вакансия</v>
      </c>
      <c r="AB1002" s="6" t="str">
        <f>IFERROR(VLOOKUP(D:D,[1]Габариты!$A:$D,4,0),"")</f>
        <v>ПОЛКИ</v>
      </c>
      <c r="AC1002" s="39">
        <f t="shared" si="180"/>
        <v>9403</v>
      </c>
      <c r="AD1002" s="13" t="str">
        <f t="shared" si="178"/>
        <v>FBO</v>
      </c>
    </row>
    <row r="1003" spans="1:30" s="6" customFormat="1" ht="20.100000000000001" customHeight="1" outlineLevel="1" x14ac:dyDescent="0.25">
      <c r="A1003" s="665" t="s">
        <v>381</v>
      </c>
      <c r="B1003" s="5"/>
      <c r="C1003" s="13" t="s">
        <v>2581</v>
      </c>
      <c r="D1003" s="40">
        <v>4303418</v>
      </c>
      <c r="E1003" s="4">
        <v>30</v>
      </c>
      <c r="F1003" s="101">
        <v>4303418</v>
      </c>
      <c r="G1003" s="57"/>
      <c r="H1003" s="4" t="s">
        <v>7128</v>
      </c>
      <c r="I1003" s="4"/>
      <c r="J1003" s="4"/>
      <c r="K1003" s="54"/>
      <c r="L1003" s="57"/>
      <c r="M1003" s="57"/>
      <c r="N1003" s="806" t="s">
        <v>7669</v>
      </c>
      <c r="O1003" s="4">
        <v>302899597</v>
      </c>
      <c r="P1003" s="4">
        <v>302899627</v>
      </c>
      <c r="Q1003" s="767"/>
      <c r="R1003" s="767"/>
      <c r="S1003" s="4"/>
      <c r="T1003" s="4"/>
      <c r="U1003" s="4"/>
      <c r="V1003" s="4"/>
      <c r="W1003" s="4" t="s">
        <v>2212</v>
      </c>
      <c r="X1003" s="4"/>
      <c r="Y1003" s="4" t="s">
        <v>4066</v>
      </c>
      <c r="Z1003" s="35"/>
      <c r="AA1003" s="1" t="str">
        <f>IFERROR(VLOOKUP(D:D,[1]Габариты!$A:$I,9,0),"")</f>
        <v>Вакансия</v>
      </c>
      <c r="AB1003" s="6" t="str">
        <f>IFERROR(VLOOKUP(D:D,[1]Габариты!$A:$D,4,0),"")</f>
        <v>ПОЛКИ</v>
      </c>
      <c r="AC1003" s="39">
        <f t="shared" si="180"/>
        <v>4303418</v>
      </c>
      <c r="AD1003" s="13" t="str">
        <f t="shared" si="178"/>
        <v>FBS</v>
      </c>
    </row>
    <row r="1004" spans="1:30" s="6" customFormat="1" ht="20.100000000000001" customHeight="1" outlineLevel="1" x14ac:dyDescent="0.25">
      <c r="A1004" s="635" t="s">
        <v>175</v>
      </c>
      <c r="B1004" s="3"/>
      <c r="C1004" s="13" t="s">
        <v>2582</v>
      </c>
      <c r="D1004" s="39">
        <v>2683</v>
      </c>
      <c r="E1004" s="4">
        <v>40</v>
      </c>
      <c r="F1004" s="101">
        <v>2683</v>
      </c>
      <c r="G1004" s="57" t="s">
        <v>4871</v>
      </c>
      <c r="H1004" s="4" t="s">
        <v>7129</v>
      </c>
      <c r="I1004" s="4"/>
      <c r="J1004" s="4"/>
      <c r="K1004" s="54" t="s">
        <v>2193</v>
      </c>
      <c r="L1004" s="57">
        <v>256356773</v>
      </c>
      <c r="M1004" s="57">
        <v>256356773</v>
      </c>
      <c r="N1004" s="4" t="s">
        <v>650</v>
      </c>
      <c r="O1004" s="4">
        <v>265015058</v>
      </c>
      <c r="P1004" s="4">
        <v>265015064</v>
      </c>
      <c r="Q1004" s="767"/>
      <c r="R1004" s="767"/>
      <c r="S1004" s="4"/>
      <c r="T1004" s="4"/>
      <c r="U1004" s="4"/>
      <c r="V1004" s="4"/>
      <c r="W1004" s="4" t="s">
        <v>2193</v>
      </c>
      <c r="X1004" s="4" t="s">
        <v>650</v>
      </c>
      <c r="Y1004" s="4" t="s">
        <v>4066</v>
      </c>
      <c r="Z1004" s="35"/>
      <c r="AA1004" s="1" t="str">
        <f>IFERROR(VLOOKUP(D:D,[1]Габариты!$A:$I,9,0),"")</f>
        <v>Вакансия</v>
      </c>
      <c r="AB1004" s="6" t="str">
        <f>IFERROR(VLOOKUP(D:D,[1]Габариты!$A:$D,4,0),"")</f>
        <v>ПОЛКИ</v>
      </c>
      <c r="AC1004" s="39">
        <f t="shared" si="180"/>
        <v>2683</v>
      </c>
      <c r="AD1004" s="13" t="str">
        <f t="shared" si="178"/>
        <v>FBO</v>
      </c>
    </row>
    <row r="1005" spans="1:30" s="6" customFormat="1" ht="20.100000000000001" customHeight="1" outlineLevel="1" x14ac:dyDescent="0.25">
      <c r="A1005" s="635" t="s">
        <v>204</v>
      </c>
      <c r="B1005" s="3"/>
      <c r="C1005" s="13" t="s">
        <v>2581</v>
      </c>
      <c r="D1005" s="39">
        <v>2941</v>
      </c>
      <c r="E1005" s="4">
        <v>73</v>
      </c>
      <c r="F1005" s="101">
        <v>2941</v>
      </c>
      <c r="G1005" s="57" t="s">
        <v>4901</v>
      </c>
      <c r="H1005" s="4" t="s">
        <v>7130</v>
      </c>
      <c r="I1005" s="4" t="s">
        <v>1214</v>
      </c>
      <c r="J1005" s="4"/>
      <c r="K1005" s="54" t="s">
        <v>2200</v>
      </c>
      <c r="L1005" s="57">
        <v>255049446</v>
      </c>
      <c r="M1005" s="57">
        <v>255049446</v>
      </c>
      <c r="N1005" s="4" t="s">
        <v>683</v>
      </c>
      <c r="O1005" s="4">
        <v>265319808</v>
      </c>
      <c r="P1005" s="4">
        <v>265319821</v>
      </c>
      <c r="Q1005" s="767" t="s">
        <v>2756</v>
      </c>
      <c r="R1005" s="767">
        <v>322173372</v>
      </c>
      <c r="S1005" s="4">
        <v>322173399</v>
      </c>
      <c r="T1005" s="4"/>
      <c r="U1005" s="4"/>
      <c r="V1005" s="4"/>
      <c r="W1005" s="4" t="s">
        <v>2200</v>
      </c>
      <c r="X1005" s="4" t="s">
        <v>683</v>
      </c>
      <c r="Y1005" s="4">
        <v>2941</v>
      </c>
      <c r="Z1005" s="35"/>
      <c r="AA1005" s="1" t="str">
        <f>IFERROR(VLOOKUP(D:D,[1]Габариты!$A:$I,9,0),"")</f>
        <v>Вакансия</v>
      </c>
      <c r="AB1005" s="6" t="str">
        <f>IFERROR(VLOOKUP(D:D,[1]Габариты!$A:$D,4,0),"")</f>
        <v>ПОЛКИ</v>
      </c>
      <c r="AC1005" s="39">
        <f t="shared" si="180"/>
        <v>2941</v>
      </c>
      <c r="AD1005" s="13" t="str">
        <f t="shared" si="178"/>
        <v>FBS</v>
      </c>
    </row>
    <row r="1006" spans="1:30" s="6" customFormat="1" ht="20.100000000000001" customHeight="1" outlineLevel="1" x14ac:dyDescent="0.25">
      <c r="A1006" s="635" t="s">
        <v>205</v>
      </c>
      <c r="B1006" s="3"/>
      <c r="C1006" s="13" t="s">
        <v>2581</v>
      </c>
      <c r="D1006" s="39">
        <v>2942</v>
      </c>
      <c r="E1006" s="4">
        <v>73</v>
      </c>
      <c r="F1006" s="101">
        <v>2942</v>
      </c>
      <c r="G1006" s="57" t="s">
        <v>4902</v>
      </c>
      <c r="H1006" s="4" t="s">
        <v>7131</v>
      </c>
      <c r="I1006" s="4" t="s">
        <v>1215</v>
      </c>
      <c r="J1006" s="4"/>
      <c r="K1006" s="54"/>
      <c r="L1006" s="57"/>
      <c r="M1006" s="57"/>
      <c r="N1006" s="4" t="s">
        <v>684</v>
      </c>
      <c r="O1006" s="4">
        <v>265333256</v>
      </c>
      <c r="P1006" s="4">
        <v>265333264</v>
      </c>
      <c r="Q1006" s="767" t="s">
        <v>2757</v>
      </c>
      <c r="R1006" s="767">
        <v>322281111</v>
      </c>
      <c r="S1006" s="4">
        <v>322281111</v>
      </c>
      <c r="T1006" s="4"/>
      <c r="U1006" s="4"/>
      <c r="V1006" s="4"/>
      <c r="W1006" s="4" t="s">
        <v>2201</v>
      </c>
      <c r="X1006" s="4" t="s">
        <v>684</v>
      </c>
      <c r="Y1006" s="4" t="s">
        <v>4066</v>
      </c>
      <c r="Z1006" s="35"/>
      <c r="AA1006" s="1" t="str">
        <f>IFERROR(VLOOKUP(D:D,[1]Габариты!$A:$I,9,0),"")</f>
        <v>Вакансия</v>
      </c>
      <c r="AB1006" s="6" t="str">
        <f>IFERROR(VLOOKUP(D:D,[1]Габариты!$A:$D,4,0),"")</f>
        <v>ПОЛКИ</v>
      </c>
      <c r="AC1006" s="39">
        <f t="shared" si="180"/>
        <v>2942</v>
      </c>
      <c r="AD1006" s="13" t="str">
        <f t="shared" si="178"/>
        <v>FBS</v>
      </c>
    </row>
    <row r="1007" spans="1:30" s="6" customFormat="1" ht="20.100000000000001" customHeight="1" outlineLevel="1" x14ac:dyDescent="0.25">
      <c r="A1007" s="635" t="s">
        <v>206</v>
      </c>
      <c r="B1007" s="3"/>
      <c r="C1007" s="13" t="s">
        <v>2581</v>
      </c>
      <c r="D1007" s="39">
        <v>2943</v>
      </c>
      <c r="E1007" s="4">
        <v>73</v>
      </c>
      <c r="F1007" s="101">
        <v>2943</v>
      </c>
      <c r="G1007" s="57" t="s">
        <v>4903</v>
      </c>
      <c r="H1007" s="4" t="s">
        <v>7132</v>
      </c>
      <c r="I1007" s="4" t="s">
        <v>1216</v>
      </c>
      <c r="J1007" s="4"/>
      <c r="K1007" s="54" t="s">
        <v>2202</v>
      </c>
      <c r="L1007" s="57">
        <v>255115113</v>
      </c>
      <c r="M1007" s="57">
        <v>255115113</v>
      </c>
      <c r="N1007" s="4" t="s">
        <v>685</v>
      </c>
      <c r="O1007" s="4">
        <v>265298892</v>
      </c>
      <c r="P1007" s="4">
        <v>265298924</v>
      </c>
      <c r="Q1007" s="767" t="s">
        <v>2758</v>
      </c>
      <c r="R1007" s="767">
        <v>322243557</v>
      </c>
      <c r="S1007" s="4">
        <v>322243557</v>
      </c>
      <c r="T1007" s="4"/>
      <c r="U1007" s="4"/>
      <c r="V1007" s="4"/>
      <c r="W1007" s="4" t="s">
        <v>2202</v>
      </c>
      <c r="X1007" s="4" t="s">
        <v>685</v>
      </c>
      <c r="Y1007" s="4">
        <v>2943</v>
      </c>
      <c r="Z1007" s="35"/>
      <c r="AA1007" s="1" t="str">
        <f>IFERROR(VLOOKUP(D:D,[1]Габариты!$A:$I,9,0),"")</f>
        <v>Вакансия</v>
      </c>
      <c r="AB1007" s="6" t="str">
        <f>IFERROR(VLOOKUP(D:D,[1]Габариты!$A:$D,4,0),"")</f>
        <v>ПОЛКИ</v>
      </c>
      <c r="AC1007" s="39">
        <f t="shared" si="180"/>
        <v>2943</v>
      </c>
      <c r="AD1007" s="13" t="str">
        <f t="shared" si="178"/>
        <v>FBS</v>
      </c>
    </row>
    <row r="1008" spans="1:30" s="6" customFormat="1" ht="20.100000000000001" customHeight="1" outlineLevel="1" x14ac:dyDescent="0.25">
      <c r="A1008" s="635" t="s">
        <v>207</v>
      </c>
      <c r="B1008" s="3"/>
      <c r="C1008" s="13" t="s">
        <v>2581</v>
      </c>
      <c r="D1008" s="39">
        <v>2944</v>
      </c>
      <c r="E1008" s="4">
        <v>80</v>
      </c>
      <c r="F1008" s="101">
        <v>2944</v>
      </c>
      <c r="G1008" s="57" t="s">
        <v>4904</v>
      </c>
      <c r="H1008" s="4" t="s">
        <v>7133</v>
      </c>
      <c r="I1008" s="4" t="s">
        <v>1217</v>
      </c>
      <c r="J1008" s="4"/>
      <c r="K1008" s="54"/>
      <c r="L1008" s="57"/>
      <c r="M1008" s="57"/>
      <c r="N1008" s="4" t="s">
        <v>686</v>
      </c>
      <c r="O1008" s="4">
        <v>266613816</v>
      </c>
      <c r="P1008" s="4">
        <v>266613821</v>
      </c>
      <c r="Q1008" s="767" t="s">
        <v>2759</v>
      </c>
      <c r="R1008" s="767">
        <v>322316924</v>
      </c>
      <c r="S1008" s="4">
        <v>322316963</v>
      </c>
      <c r="T1008" s="4" t="s">
        <v>4311</v>
      </c>
      <c r="U1008" s="4">
        <v>1608724338</v>
      </c>
      <c r="V1008" s="4">
        <v>1608724338</v>
      </c>
      <c r="W1008" s="4" t="s">
        <v>2203</v>
      </c>
      <c r="X1008" s="4" t="s">
        <v>686</v>
      </c>
      <c r="Y1008" s="4">
        <v>2944</v>
      </c>
      <c r="Z1008" s="35"/>
      <c r="AA1008" s="1" t="str">
        <f>IFERROR(VLOOKUP(D:D,[1]Габариты!$A:$I,9,0),"")</f>
        <v>Вакансия</v>
      </c>
      <c r="AB1008" s="6" t="str">
        <f>IFERROR(VLOOKUP(D:D,[1]Габариты!$A:$D,4,0),"")</f>
        <v>ПОЛКИ</v>
      </c>
      <c r="AC1008" s="39">
        <f t="shared" si="180"/>
        <v>2944</v>
      </c>
      <c r="AD1008" s="13" t="str">
        <f t="shared" si="178"/>
        <v>FBS</v>
      </c>
    </row>
    <row r="1009" spans="1:30" s="6" customFormat="1" ht="20.100000000000001" customHeight="1" outlineLevel="1" x14ac:dyDescent="0.25">
      <c r="A1009" s="635" t="s">
        <v>413</v>
      </c>
      <c r="B1009" s="3"/>
      <c r="C1009" s="13" t="s">
        <v>2581</v>
      </c>
      <c r="D1009" s="39">
        <v>9400</v>
      </c>
      <c r="E1009" s="4"/>
      <c r="F1009" s="101">
        <v>9400</v>
      </c>
      <c r="G1009" s="57"/>
      <c r="H1009" s="4" t="s">
        <v>7134</v>
      </c>
      <c r="I1009" s="4"/>
      <c r="J1009" s="4"/>
      <c r="K1009" s="54"/>
      <c r="L1009" s="57"/>
      <c r="M1009" s="57"/>
      <c r="N1009" s="4" t="s">
        <v>864</v>
      </c>
      <c r="O1009" s="4">
        <v>327831039</v>
      </c>
      <c r="P1009" s="4">
        <v>327831089</v>
      </c>
      <c r="Q1009" s="767" t="s">
        <v>2760</v>
      </c>
      <c r="R1009" s="767">
        <v>342200858</v>
      </c>
      <c r="S1009" s="4">
        <v>342200880</v>
      </c>
      <c r="T1009" s="4"/>
      <c r="U1009" s="4"/>
      <c r="V1009" s="4"/>
      <c r="W1009" s="4" t="s">
        <v>2204</v>
      </c>
      <c r="X1009" s="4" t="s">
        <v>864</v>
      </c>
      <c r="Y1009" s="4" t="s">
        <v>4066</v>
      </c>
      <c r="Z1009" s="35"/>
      <c r="AA1009" s="1" t="str">
        <f>IFERROR(VLOOKUP(D:D,[1]Габариты!$A:$I,9,0),"")</f>
        <v>Вакансия</v>
      </c>
      <c r="AB1009" s="6" t="str">
        <f>IFERROR(VLOOKUP(D:D,[1]Габариты!$A:$D,4,0),"")</f>
        <v>ПОЛКИ</v>
      </c>
      <c r="AC1009" s="39">
        <f t="shared" si="180"/>
        <v>9400</v>
      </c>
      <c r="AD1009" s="13" t="str">
        <f t="shared" si="178"/>
        <v>FBS</v>
      </c>
    </row>
    <row r="1010" spans="1:30" s="6" customFormat="1" ht="20.100000000000001" customHeight="1" outlineLevel="1" x14ac:dyDescent="0.25">
      <c r="A1010" s="635" t="s">
        <v>414</v>
      </c>
      <c r="B1010" s="3"/>
      <c r="C1010" s="13" t="s">
        <v>2582</v>
      </c>
      <c r="D1010" s="39">
        <v>9401</v>
      </c>
      <c r="E1010" s="4"/>
      <c r="F1010" s="101">
        <v>9401</v>
      </c>
      <c r="G1010" s="57"/>
      <c r="H1010" s="4" t="s">
        <v>7135</v>
      </c>
      <c r="I1010" s="4"/>
      <c r="J1010" s="4"/>
      <c r="K1010" s="54"/>
      <c r="L1010" s="57"/>
      <c r="M1010" s="57"/>
      <c r="N1010" s="4" t="s">
        <v>865</v>
      </c>
      <c r="O1010" s="4">
        <v>327844974</v>
      </c>
      <c r="P1010" s="4">
        <v>327844996</v>
      </c>
      <c r="Q1010" s="767" t="s">
        <v>2761</v>
      </c>
      <c r="R1010" s="767">
        <v>346642695</v>
      </c>
      <c r="S1010" s="4">
        <v>346642713</v>
      </c>
      <c r="T1010" s="4"/>
      <c r="U1010" s="4"/>
      <c r="V1010" s="4"/>
      <c r="W1010" s="4" t="s">
        <v>2205</v>
      </c>
      <c r="X1010" s="4" t="s">
        <v>865</v>
      </c>
      <c r="Y1010" s="4" t="s">
        <v>4066</v>
      </c>
      <c r="Z1010" s="35"/>
      <c r="AA1010" s="1" t="str">
        <f>IFERROR(VLOOKUP(D:D,[1]Габариты!$A:$I,9,0),"")</f>
        <v>Вакансия</v>
      </c>
      <c r="AB1010" s="6" t="str">
        <f>IFERROR(VLOOKUP(D:D,[1]Габариты!$A:$D,4,0),"")</f>
        <v>ПОЛКИ</v>
      </c>
      <c r="AC1010" s="39">
        <f t="shared" si="180"/>
        <v>9401</v>
      </c>
      <c r="AD1010" s="13" t="str">
        <f t="shared" si="178"/>
        <v>FBO</v>
      </c>
    </row>
    <row r="1011" spans="1:30" s="6" customFormat="1" ht="20.100000000000001" customHeight="1" outlineLevel="1" x14ac:dyDescent="0.25">
      <c r="A1011" s="635" t="s">
        <v>95</v>
      </c>
      <c r="B1011" s="3"/>
      <c r="C1011" s="13" t="s">
        <v>2581</v>
      </c>
      <c r="D1011" s="39">
        <v>2609</v>
      </c>
      <c r="E1011" s="4">
        <v>42</v>
      </c>
      <c r="F1011" s="101">
        <v>2609</v>
      </c>
      <c r="G1011" s="57" t="s">
        <v>4831</v>
      </c>
      <c r="H1011" s="4" t="s">
        <v>6544</v>
      </c>
      <c r="I1011" s="4" t="s">
        <v>1212</v>
      </c>
      <c r="J1011" s="4" t="s">
        <v>2031</v>
      </c>
      <c r="K1011" s="54" t="s">
        <v>2195</v>
      </c>
      <c r="L1011" s="57">
        <v>202348894</v>
      </c>
      <c r="M1011" s="57">
        <v>202348894</v>
      </c>
      <c r="N1011" s="4" t="s">
        <v>614</v>
      </c>
      <c r="O1011" s="4">
        <v>262895664</v>
      </c>
      <c r="P1011" s="4">
        <v>262895675</v>
      </c>
      <c r="Q1011" s="767" t="s">
        <v>2752</v>
      </c>
      <c r="R1011" s="767">
        <v>322157033</v>
      </c>
      <c r="S1011" s="4">
        <v>322157033</v>
      </c>
      <c r="T1011" s="4" t="s">
        <v>3323</v>
      </c>
      <c r="U1011" s="4">
        <v>958482327</v>
      </c>
      <c r="V1011" s="4">
        <v>958482327</v>
      </c>
      <c r="W1011" s="4" t="s">
        <v>2195</v>
      </c>
      <c r="X1011" s="4" t="s">
        <v>614</v>
      </c>
      <c r="Y1011" s="4">
        <v>2609</v>
      </c>
      <c r="Z1011" s="35"/>
      <c r="AA1011" s="1" t="str">
        <f>IFERROR(VLOOKUP(D:D,[1]Габариты!$A:$I,9,0),"")</f>
        <v>Вакансия</v>
      </c>
      <c r="AB1011" s="6" t="str">
        <f>IFERROR(VLOOKUP(D:D,[1]Габариты!$A:$D,4,0),"")</f>
        <v>ПОЛКИ</v>
      </c>
      <c r="AC1011" s="39">
        <f t="shared" si="180"/>
        <v>2609</v>
      </c>
      <c r="AD1011" s="13" t="str">
        <f t="shared" si="178"/>
        <v>FBS</v>
      </c>
    </row>
    <row r="1012" spans="1:30" s="6" customFormat="1" ht="20.100000000000001" customHeight="1" outlineLevel="1" x14ac:dyDescent="0.25">
      <c r="A1012" s="635" t="s">
        <v>96</v>
      </c>
      <c r="B1012" s="3"/>
      <c r="C1012" s="13" t="s">
        <v>2581</v>
      </c>
      <c r="D1012" s="39">
        <v>2610</v>
      </c>
      <c r="E1012" s="4">
        <v>42</v>
      </c>
      <c r="F1012" s="101">
        <v>2610</v>
      </c>
      <c r="G1012" s="57" t="s">
        <v>4832</v>
      </c>
      <c r="H1012" s="4" t="s">
        <v>6545</v>
      </c>
      <c r="I1012" s="4" t="s">
        <v>1213</v>
      </c>
      <c r="J1012" s="4" t="s">
        <v>2032</v>
      </c>
      <c r="K1012" s="54"/>
      <c r="L1012" s="57"/>
      <c r="M1012" s="57"/>
      <c r="N1012" s="4" t="s">
        <v>615</v>
      </c>
      <c r="O1012" s="4">
        <v>262899037</v>
      </c>
      <c r="P1012" s="4">
        <v>262899044</v>
      </c>
      <c r="Q1012" s="767" t="s">
        <v>2753</v>
      </c>
      <c r="R1012" s="767">
        <v>322160282</v>
      </c>
      <c r="S1012" s="4">
        <v>322160282</v>
      </c>
      <c r="T1012" s="4" t="s">
        <v>3127</v>
      </c>
      <c r="U1012" s="4">
        <v>958488297</v>
      </c>
      <c r="V1012" s="4">
        <v>958488297</v>
      </c>
      <c r="W1012" s="4" t="s">
        <v>2196</v>
      </c>
      <c r="X1012" s="4" t="s">
        <v>615</v>
      </c>
      <c r="Y1012" s="4">
        <v>2610</v>
      </c>
      <c r="Z1012" s="35"/>
      <c r="AA1012" s="1" t="str">
        <f>IFERROR(VLOOKUP(D:D,[1]Габариты!$A:$I,9,0),"")</f>
        <v>Вакансия</v>
      </c>
      <c r="AB1012" s="6" t="str">
        <f>IFERROR(VLOOKUP(D:D,[1]Габариты!$A:$D,4,0),"")</f>
        <v>ПОЛКИ</v>
      </c>
      <c r="AC1012" s="39">
        <f t="shared" si="180"/>
        <v>2610</v>
      </c>
      <c r="AD1012" s="13" t="str">
        <f t="shared" si="178"/>
        <v>FBS</v>
      </c>
    </row>
    <row r="1013" spans="1:30" s="6" customFormat="1" ht="20.100000000000001" customHeight="1" outlineLevel="1" x14ac:dyDescent="0.25">
      <c r="A1013" s="635" t="s">
        <v>224</v>
      </c>
      <c r="B1013" s="3"/>
      <c r="C1013" s="13" t="s">
        <v>2582</v>
      </c>
      <c r="D1013" s="39">
        <v>2964</v>
      </c>
      <c r="E1013" s="4">
        <v>75</v>
      </c>
      <c r="F1013" s="101">
        <v>2964</v>
      </c>
      <c r="G1013" s="57" t="s">
        <v>4920</v>
      </c>
      <c r="H1013" s="4" t="s">
        <v>6546</v>
      </c>
      <c r="I1013" s="4" t="s">
        <v>3899</v>
      </c>
      <c r="J1013" s="4" t="s">
        <v>1936</v>
      </c>
      <c r="K1013" s="54" t="s">
        <v>2197</v>
      </c>
      <c r="L1013" s="57">
        <v>272623790</v>
      </c>
      <c r="M1013" s="57">
        <v>272623790</v>
      </c>
      <c r="N1013" s="4" t="s">
        <v>703</v>
      </c>
      <c r="O1013" s="4">
        <v>272183709</v>
      </c>
      <c r="P1013" s="4">
        <v>272183714</v>
      </c>
      <c r="Q1013" s="767" t="s">
        <v>2754</v>
      </c>
      <c r="R1013" s="767">
        <v>362558915</v>
      </c>
      <c r="S1013" s="4">
        <v>362558915</v>
      </c>
      <c r="T1013" s="4" t="s">
        <v>3542</v>
      </c>
      <c r="U1013" s="4">
        <v>1056363528</v>
      </c>
      <c r="V1013" s="4">
        <v>1056363528</v>
      </c>
      <c r="W1013" s="4" t="s">
        <v>2197</v>
      </c>
      <c r="X1013" s="4" t="s">
        <v>703</v>
      </c>
      <c r="Y1013" s="4">
        <v>2964</v>
      </c>
      <c r="Z1013" s="35"/>
      <c r="AA1013" s="1" t="str">
        <f>IFERROR(VLOOKUP(D:D,[1]Габариты!$A:$I,9,0),"")</f>
        <v>Вакансия</v>
      </c>
      <c r="AB1013" s="6" t="str">
        <f>IFERROR(VLOOKUP(D:D,[1]Габариты!$A:$D,4,0),"")</f>
        <v>ПОЛКИ</v>
      </c>
      <c r="AC1013" s="39">
        <f t="shared" si="180"/>
        <v>2964</v>
      </c>
      <c r="AD1013" s="13" t="str">
        <f t="shared" si="178"/>
        <v>FBO</v>
      </c>
    </row>
    <row r="1014" spans="1:30" s="6" customFormat="1" ht="20.100000000000001" customHeight="1" outlineLevel="1" x14ac:dyDescent="0.25">
      <c r="A1014" s="635" t="s">
        <v>225</v>
      </c>
      <c r="B1014" s="3"/>
      <c r="C1014" s="13" t="s">
        <v>2582</v>
      </c>
      <c r="D1014" s="39">
        <v>2965</v>
      </c>
      <c r="E1014" s="4">
        <v>75</v>
      </c>
      <c r="F1014" s="101">
        <v>2965</v>
      </c>
      <c r="G1014" s="57" t="s">
        <v>4921</v>
      </c>
      <c r="H1014" s="4" t="s">
        <v>6547</v>
      </c>
      <c r="I1014" s="4"/>
      <c r="J1014" s="4" t="s">
        <v>1937</v>
      </c>
      <c r="K1014" s="54"/>
      <c r="L1014" s="57"/>
      <c r="M1014" s="57"/>
      <c r="N1014" s="4" t="s">
        <v>704</v>
      </c>
      <c r="O1014" s="4">
        <v>272186238</v>
      </c>
      <c r="P1014" s="4">
        <v>272186249</v>
      </c>
      <c r="Q1014" s="767" t="s">
        <v>2755</v>
      </c>
      <c r="R1014" s="767">
        <v>356551318</v>
      </c>
      <c r="S1014" s="4">
        <v>356551318</v>
      </c>
      <c r="T1014" s="4" t="s">
        <v>3541</v>
      </c>
      <c r="U1014" s="4">
        <v>1056350609</v>
      </c>
      <c r="V1014" s="4">
        <v>1056350609</v>
      </c>
      <c r="W1014" s="4" t="s">
        <v>2198</v>
      </c>
      <c r="X1014" s="4" t="s">
        <v>704</v>
      </c>
      <c r="Y1014" s="4">
        <v>2965</v>
      </c>
      <c r="Z1014" s="35"/>
      <c r="AA1014" s="1" t="str">
        <f>IFERROR(VLOOKUP(D:D,[1]Габариты!$A:$I,9,0),"")</f>
        <v>Вакансия</v>
      </c>
      <c r="AB1014" s="6" t="str">
        <f>IFERROR(VLOOKUP(D:D,[1]Габариты!$A:$D,4,0),"")</f>
        <v>ПОЛКИ</v>
      </c>
      <c r="AC1014" s="39">
        <f t="shared" si="180"/>
        <v>2965</v>
      </c>
      <c r="AD1014" s="13" t="str">
        <f t="shared" si="178"/>
        <v>FBO</v>
      </c>
    </row>
    <row r="1015" spans="1:30" s="6" customFormat="1" ht="20.100000000000001" customHeight="1" outlineLevel="1" x14ac:dyDescent="0.25">
      <c r="A1015" s="635" t="s">
        <v>226</v>
      </c>
      <c r="B1015" s="3"/>
      <c r="C1015" s="13" t="s">
        <v>2582</v>
      </c>
      <c r="D1015" s="39">
        <v>2966</v>
      </c>
      <c r="E1015" s="4">
        <v>75</v>
      </c>
      <c r="F1015" s="101">
        <v>2966</v>
      </c>
      <c r="G1015" s="57" t="s">
        <v>4922</v>
      </c>
      <c r="H1015" s="4" t="s">
        <v>6548</v>
      </c>
      <c r="I1015" s="4"/>
      <c r="J1015" s="4" t="s">
        <v>1938</v>
      </c>
      <c r="K1015" s="54"/>
      <c r="L1015" s="57"/>
      <c r="M1015" s="57"/>
      <c r="N1015" s="4" t="s">
        <v>705</v>
      </c>
      <c r="O1015" s="4">
        <v>270723464</v>
      </c>
      <c r="P1015" s="4">
        <v>270723474</v>
      </c>
      <c r="Q1015" s="767"/>
      <c r="R1015" s="767"/>
      <c r="S1015" s="4"/>
      <c r="T1015" s="4" t="s">
        <v>3545</v>
      </c>
      <c r="U1015" s="4">
        <v>1057247485</v>
      </c>
      <c r="V1015" s="4">
        <v>1057247485</v>
      </c>
      <c r="W1015" s="4" t="s">
        <v>2199</v>
      </c>
      <c r="X1015" s="4" t="s">
        <v>705</v>
      </c>
      <c r="Y1015" s="4">
        <v>2966</v>
      </c>
      <c r="Z1015" s="35"/>
      <c r="AA1015" s="1" t="str">
        <f>IFERROR(VLOOKUP(D:D,[1]Габариты!$A:$I,9,0),"")</f>
        <v>Вакансия</v>
      </c>
      <c r="AB1015" s="6" t="str">
        <f>IFERROR(VLOOKUP(D:D,[1]Габариты!$A:$D,4,0),"")</f>
        <v>ПОЛКИ</v>
      </c>
      <c r="AC1015" s="39">
        <f t="shared" si="180"/>
        <v>2966</v>
      </c>
      <c r="AD1015" s="13" t="str">
        <f t="shared" si="178"/>
        <v>FBO</v>
      </c>
    </row>
    <row r="1016" spans="1:30" s="6" customFormat="1" ht="20.100000000000001" customHeight="1" outlineLevel="1" x14ac:dyDescent="0.25">
      <c r="A1016" s="635" t="s">
        <v>113</v>
      </c>
      <c r="B1016" s="3"/>
      <c r="C1016" s="13" t="s">
        <v>2582</v>
      </c>
      <c r="D1016" s="39">
        <v>2652</v>
      </c>
      <c r="E1016" s="4">
        <v>56</v>
      </c>
      <c r="F1016" s="101">
        <v>2652</v>
      </c>
      <c r="G1016" s="57" t="s">
        <v>4857</v>
      </c>
      <c r="H1016" s="4" t="s">
        <v>6549</v>
      </c>
      <c r="I1016" s="4" t="s">
        <v>1218</v>
      </c>
      <c r="J1016" s="4" t="s">
        <v>1939</v>
      </c>
      <c r="K1016" s="54" t="s">
        <v>2208</v>
      </c>
      <c r="L1016" s="57">
        <v>220426099</v>
      </c>
      <c r="M1016" s="57">
        <v>220426099</v>
      </c>
      <c r="N1016" s="4" t="s">
        <v>637</v>
      </c>
      <c r="O1016" s="4">
        <v>262709227</v>
      </c>
      <c r="P1016" s="4">
        <v>262709229</v>
      </c>
      <c r="Q1016" s="767" t="s">
        <v>2764</v>
      </c>
      <c r="R1016" s="767">
        <v>322651019</v>
      </c>
      <c r="S1016" s="4">
        <v>322651041</v>
      </c>
      <c r="T1016" s="4" t="s">
        <v>3662</v>
      </c>
      <c r="U1016" s="4">
        <v>1126339759</v>
      </c>
      <c r="V1016" s="4">
        <v>1126339759</v>
      </c>
      <c r="W1016" s="4" t="s">
        <v>2208</v>
      </c>
      <c r="X1016" s="4" t="s">
        <v>637</v>
      </c>
      <c r="Y1016" s="4">
        <v>2652</v>
      </c>
      <c r="Z1016" s="35"/>
      <c r="AA1016" s="1" t="str">
        <f>IFERROR(VLOOKUP(D:D,[1]Габариты!$A:$I,9,0),"")</f>
        <v>Вакансия</v>
      </c>
      <c r="AB1016" s="6" t="str">
        <f>IFERROR(VLOOKUP(D:D,[1]Габариты!$A:$D,4,0),"")</f>
        <v>ПОЛКИ</v>
      </c>
      <c r="AC1016" s="39">
        <f t="shared" si="180"/>
        <v>2652</v>
      </c>
      <c r="AD1016" s="13" t="str">
        <f t="shared" si="178"/>
        <v>FBO</v>
      </c>
    </row>
    <row r="1017" spans="1:30" s="6" customFormat="1" ht="20.100000000000001" customHeight="1" outlineLevel="1" x14ac:dyDescent="0.25">
      <c r="A1017" s="635" t="s">
        <v>104</v>
      </c>
      <c r="B1017" s="3"/>
      <c r="C1017" s="13" t="s">
        <v>2582</v>
      </c>
      <c r="D1017" s="39">
        <v>2624</v>
      </c>
      <c r="E1017" s="4">
        <v>56</v>
      </c>
      <c r="F1017" s="101">
        <v>2624</v>
      </c>
      <c r="G1017" s="57" t="s">
        <v>4842</v>
      </c>
      <c r="H1017" s="4" t="s">
        <v>6550</v>
      </c>
      <c r="I1017" s="4" t="s">
        <v>1219</v>
      </c>
      <c r="J1017" s="4" t="s">
        <v>1940</v>
      </c>
      <c r="K1017" s="54"/>
      <c r="L1017" s="57"/>
      <c r="M1017" s="57"/>
      <c r="N1017" s="4" t="s">
        <v>624</v>
      </c>
      <c r="O1017" s="4">
        <v>265487064</v>
      </c>
      <c r="P1017" s="4">
        <v>265487067</v>
      </c>
      <c r="Q1017" s="767" t="s">
        <v>2765</v>
      </c>
      <c r="R1017" s="767">
        <v>322650706</v>
      </c>
      <c r="S1017" s="4">
        <v>322650706</v>
      </c>
      <c r="T1017" s="4"/>
      <c r="U1017" s="4"/>
      <c r="V1017" s="4"/>
      <c r="W1017" s="4" t="s">
        <v>2209</v>
      </c>
      <c r="X1017" s="4" t="s">
        <v>624</v>
      </c>
      <c r="Y1017" s="4">
        <v>2624</v>
      </c>
      <c r="Z1017" s="35"/>
      <c r="AA1017" s="1" t="str">
        <f>IFERROR(VLOOKUP(D:D,[1]Габариты!$A:$I,9,0),"")</f>
        <v>Вакансия</v>
      </c>
      <c r="AB1017" s="6" t="str">
        <f>IFERROR(VLOOKUP(D:D,[1]Габариты!$A:$D,4,0),"")</f>
        <v>ПОЛКИ</v>
      </c>
      <c r="AC1017" s="39">
        <f t="shared" si="180"/>
        <v>2624</v>
      </c>
      <c r="AD1017" s="13" t="str">
        <f t="shared" si="178"/>
        <v>FBO</v>
      </c>
    </row>
    <row r="1018" spans="1:30" s="6" customFormat="1" ht="20.100000000000001" customHeight="1" outlineLevel="1" x14ac:dyDescent="0.25">
      <c r="A1018" s="635" t="s">
        <v>67</v>
      </c>
      <c r="B1018" s="3"/>
      <c r="C1018" s="13" t="s">
        <v>2582</v>
      </c>
      <c r="D1018" s="39">
        <v>2482</v>
      </c>
      <c r="E1018" s="4">
        <v>56</v>
      </c>
      <c r="F1018" s="101">
        <v>2482</v>
      </c>
      <c r="G1018" s="57" t="s">
        <v>4793</v>
      </c>
      <c r="H1018" s="4" t="s">
        <v>6551</v>
      </c>
      <c r="I1018" s="4" t="s">
        <v>1220</v>
      </c>
      <c r="J1018" s="4" t="s">
        <v>1941</v>
      </c>
      <c r="K1018" s="54"/>
      <c r="L1018" s="57"/>
      <c r="M1018" s="57"/>
      <c r="N1018" s="4" t="s">
        <v>581</v>
      </c>
      <c r="O1018" s="4">
        <v>267846137</v>
      </c>
      <c r="P1018" s="4">
        <v>267846140</v>
      </c>
      <c r="Q1018" s="767" t="s">
        <v>2766</v>
      </c>
      <c r="R1018" s="767">
        <v>322652702</v>
      </c>
      <c r="S1018" s="4">
        <v>322652716</v>
      </c>
      <c r="T1018" s="4"/>
      <c r="U1018" s="4"/>
      <c r="V1018" s="4"/>
      <c r="W1018" s="4" t="s">
        <v>2210</v>
      </c>
      <c r="X1018" s="4" t="s">
        <v>581</v>
      </c>
      <c r="Y1018" s="4">
        <v>2482</v>
      </c>
      <c r="Z1018" s="35"/>
      <c r="AA1018" s="1" t="str">
        <f>IFERROR(VLOOKUP(D:D,[1]Габариты!$A:$I,9,0),"")</f>
        <v>Вакансия</v>
      </c>
      <c r="AB1018" s="6" t="str">
        <f>IFERROR(VLOOKUP(D:D,[1]Габариты!$A:$D,4,0),"")</f>
        <v>ПОЛКИ</v>
      </c>
      <c r="AC1018" s="39">
        <f t="shared" si="180"/>
        <v>2482</v>
      </c>
      <c r="AD1018" s="13" t="str">
        <f t="shared" si="178"/>
        <v>FBO</v>
      </c>
    </row>
    <row r="1019" spans="1:30" s="6" customFormat="1" ht="20.100000000000001" customHeight="1" outlineLevel="1" x14ac:dyDescent="0.25">
      <c r="A1019" s="665" t="s">
        <v>286</v>
      </c>
      <c r="B1019" s="2"/>
      <c r="C1019" s="13" t="s">
        <v>2582</v>
      </c>
      <c r="D1019" s="39">
        <v>3054</v>
      </c>
      <c r="E1019" s="4">
        <v>56</v>
      </c>
      <c r="F1019" s="101">
        <v>3054</v>
      </c>
      <c r="G1019" s="57" t="s">
        <v>4979</v>
      </c>
      <c r="H1019" s="4" t="s">
        <v>6552</v>
      </c>
      <c r="I1019" s="4" t="s">
        <v>1221</v>
      </c>
      <c r="J1019" s="4"/>
      <c r="K1019" s="54" t="s">
        <v>2211</v>
      </c>
      <c r="L1019" s="57">
        <v>286319558</v>
      </c>
      <c r="M1019" s="57">
        <v>286319558</v>
      </c>
      <c r="N1019" s="4" t="s">
        <v>761</v>
      </c>
      <c r="O1019" s="4">
        <v>286318505</v>
      </c>
      <c r="P1019" s="4">
        <v>286318514</v>
      </c>
      <c r="Q1019" s="767" t="s">
        <v>2767</v>
      </c>
      <c r="R1019" s="767">
        <v>322656582</v>
      </c>
      <c r="S1019" s="4">
        <v>322656582</v>
      </c>
      <c r="T1019" s="4"/>
      <c r="U1019" s="4"/>
      <c r="V1019" s="4"/>
      <c r="W1019" s="4" t="s">
        <v>2211</v>
      </c>
      <c r="X1019" s="4" t="s">
        <v>761</v>
      </c>
      <c r="Y1019" s="4">
        <v>3054</v>
      </c>
      <c r="Z1019" s="35"/>
      <c r="AA1019" s="1" t="str">
        <f>IFERROR(VLOOKUP(D:D,[1]Габариты!$A:$I,9,0),"")</f>
        <v>Вакансия</v>
      </c>
      <c r="AB1019" s="6" t="str">
        <f>IFERROR(VLOOKUP(D:D,[1]Габариты!$A:$D,4,0),"")</f>
        <v>ПОЛКИ</v>
      </c>
      <c r="AC1019" s="39">
        <f t="shared" si="180"/>
        <v>3054</v>
      </c>
      <c r="AD1019" s="13" t="str">
        <f t="shared" si="178"/>
        <v>FBO</v>
      </c>
    </row>
    <row r="1020" spans="1:30" s="6" customFormat="1" ht="20.100000000000001" customHeight="1" outlineLevel="1" x14ac:dyDescent="0.25">
      <c r="A1020" s="631" t="s">
        <v>1564</v>
      </c>
      <c r="B1020" s="29"/>
      <c r="C1020" s="13" t="s">
        <v>2582</v>
      </c>
      <c r="D1020" s="39">
        <v>9501</v>
      </c>
      <c r="E1020" s="4">
        <v>30</v>
      </c>
      <c r="F1020" s="101">
        <v>9501</v>
      </c>
      <c r="G1020" s="57"/>
      <c r="H1020" s="4" t="s">
        <v>6553</v>
      </c>
      <c r="I1020" s="4"/>
      <c r="J1020" s="4"/>
      <c r="K1020" s="54"/>
      <c r="L1020" s="57"/>
      <c r="M1020" s="57"/>
      <c r="N1020" s="4" t="s">
        <v>1606</v>
      </c>
      <c r="O1020" s="4">
        <v>765225824</v>
      </c>
      <c r="P1020" s="4">
        <v>765225825</v>
      </c>
      <c r="Q1020" s="767"/>
      <c r="R1020" s="767"/>
      <c r="S1020" s="4"/>
      <c r="T1020" s="4" t="s">
        <v>4310</v>
      </c>
      <c r="U1020" s="4">
        <v>1608701566</v>
      </c>
      <c r="V1020" s="4">
        <v>1608701566</v>
      </c>
      <c r="W1020" s="4"/>
      <c r="X1020" s="4" t="s">
        <v>1606</v>
      </c>
      <c r="Y1020" s="4" t="s">
        <v>4066</v>
      </c>
      <c r="Z1020" s="35"/>
      <c r="AA1020" s="1" t="str">
        <f>IFERROR(VLOOKUP(D:D,[1]Габариты!$A:$I,9,0),"")</f>
        <v>Вакансия</v>
      </c>
      <c r="AB1020" s="6" t="str">
        <f>IFERROR(VLOOKUP(D:D,[1]Габариты!$A:$D,4,0),"")</f>
        <v>ПОЛКИ</v>
      </c>
      <c r="AC1020" s="39">
        <f t="shared" si="180"/>
        <v>9501</v>
      </c>
      <c r="AD1020" s="13" t="str">
        <f t="shared" si="178"/>
        <v>FBO</v>
      </c>
    </row>
    <row r="1021" spans="1:30" s="6" customFormat="1" ht="20.100000000000001" customHeight="1" outlineLevel="1" x14ac:dyDescent="0.25">
      <c r="A1021" s="631" t="s">
        <v>1565</v>
      </c>
      <c r="B1021" s="29"/>
      <c r="C1021" s="13" t="s">
        <v>2582</v>
      </c>
      <c r="D1021" s="39">
        <v>9502</v>
      </c>
      <c r="E1021" s="4">
        <v>30</v>
      </c>
      <c r="F1021" s="101">
        <v>9502</v>
      </c>
      <c r="G1021" s="57"/>
      <c r="H1021" s="4" t="s">
        <v>6554</v>
      </c>
      <c r="I1021" s="4"/>
      <c r="J1021" s="4"/>
      <c r="K1021" s="54"/>
      <c r="L1021" s="57"/>
      <c r="M1021" s="57"/>
      <c r="N1021" s="4" t="s">
        <v>1607</v>
      </c>
      <c r="O1021" s="4">
        <v>774982273</v>
      </c>
      <c r="P1021" s="4">
        <v>774982272</v>
      </c>
      <c r="Q1021" s="767"/>
      <c r="R1021" s="767"/>
      <c r="S1021" s="4"/>
      <c r="T1021" s="4"/>
      <c r="U1021" s="4"/>
      <c r="V1021" s="4"/>
      <c r="W1021" s="4"/>
      <c r="X1021" s="4" t="s">
        <v>1607</v>
      </c>
      <c r="Y1021" s="4">
        <v>9502</v>
      </c>
      <c r="Z1021" s="35"/>
      <c r="AA1021" s="1" t="str">
        <f>IFERROR(VLOOKUP(D:D,[1]Габариты!$A:$I,9,0),"")</f>
        <v>Вакансия</v>
      </c>
      <c r="AB1021" s="6" t="str">
        <f>IFERROR(VLOOKUP(D:D,[1]Габариты!$A:$D,4,0),"")</f>
        <v>ПОЛКИ</v>
      </c>
      <c r="AC1021" s="39">
        <f t="shared" si="180"/>
        <v>9502</v>
      </c>
      <c r="AD1021" s="13" t="str">
        <f t="shared" si="178"/>
        <v>FBO</v>
      </c>
    </row>
    <row r="1022" spans="1:30" s="6" customFormat="1" ht="20.100000000000001" customHeight="1" outlineLevel="1" x14ac:dyDescent="0.25">
      <c r="A1022" s="631" t="s">
        <v>1566</v>
      </c>
      <c r="B1022" s="29"/>
      <c r="C1022" s="13" t="s">
        <v>2582</v>
      </c>
      <c r="D1022" s="39">
        <v>9503</v>
      </c>
      <c r="E1022" s="4">
        <v>30</v>
      </c>
      <c r="F1022" s="101">
        <v>9503</v>
      </c>
      <c r="G1022" s="57"/>
      <c r="H1022" s="4" t="s">
        <v>6555</v>
      </c>
      <c r="I1022" s="4"/>
      <c r="J1022" s="4"/>
      <c r="K1022" s="54"/>
      <c r="L1022" s="57"/>
      <c r="M1022" s="57"/>
      <c r="N1022" s="4" t="s">
        <v>1608</v>
      </c>
      <c r="O1022" s="4">
        <v>774997595</v>
      </c>
      <c r="P1022" s="4">
        <v>774997594</v>
      </c>
      <c r="Q1022" s="767"/>
      <c r="R1022" s="767"/>
      <c r="S1022" s="4"/>
      <c r="T1022" s="4"/>
      <c r="U1022" s="4"/>
      <c r="V1022" s="4"/>
      <c r="W1022" s="4"/>
      <c r="X1022" s="4" t="s">
        <v>1608</v>
      </c>
      <c r="Y1022" s="4">
        <v>9503</v>
      </c>
      <c r="Z1022" s="35"/>
      <c r="AA1022" s="1" t="str">
        <f>IFERROR(VLOOKUP(D:D,[1]Габариты!$A:$I,9,0),"")</f>
        <v>Вакансия</v>
      </c>
      <c r="AB1022" s="6" t="str">
        <f>IFERROR(VLOOKUP(D:D,[1]Габариты!$A:$D,4,0),"")</f>
        <v>ПОЛКИ</v>
      </c>
      <c r="AC1022" s="39">
        <f t="shared" si="180"/>
        <v>9503</v>
      </c>
      <c r="AD1022" s="13" t="str">
        <f t="shared" si="178"/>
        <v>FBO</v>
      </c>
    </row>
    <row r="1023" spans="1:30" s="6" customFormat="1" ht="20.100000000000001" customHeight="1" outlineLevel="1" x14ac:dyDescent="0.25">
      <c r="A1023" s="631" t="s">
        <v>1587</v>
      </c>
      <c r="B1023" s="29"/>
      <c r="C1023" s="13" t="s">
        <v>2582</v>
      </c>
      <c r="D1023" s="39">
        <v>9701</v>
      </c>
      <c r="E1023" s="4">
        <v>120</v>
      </c>
      <c r="F1023" s="101">
        <v>9701</v>
      </c>
      <c r="G1023" s="57"/>
      <c r="H1023" s="4" t="s">
        <v>6556</v>
      </c>
      <c r="I1023" s="4"/>
      <c r="J1023" s="4" t="s">
        <v>1942</v>
      </c>
      <c r="K1023" s="54"/>
      <c r="L1023" s="57"/>
      <c r="M1023" s="57"/>
      <c r="N1023" s="4" t="s">
        <v>1609</v>
      </c>
      <c r="O1023" s="4">
        <v>770459420</v>
      </c>
      <c r="P1023" s="4">
        <v>770459419</v>
      </c>
      <c r="Q1023" s="767"/>
      <c r="R1023" s="767"/>
      <c r="S1023" s="4"/>
      <c r="T1023" s="4" t="s">
        <v>3012</v>
      </c>
      <c r="U1023" s="4">
        <v>924721638</v>
      </c>
      <c r="V1023" s="4">
        <v>924721638</v>
      </c>
      <c r="W1023" s="4"/>
      <c r="X1023" s="4" t="s">
        <v>1609</v>
      </c>
      <c r="Y1023" s="4">
        <v>9701</v>
      </c>
      <c r="Z1023" s="35"/>
      <c r="AA1023" s="1" t="str">
        <f>IFERROR(VLOOKUP(D:D,[1]Габариты!$A:$I,9,0),"")</f>
        <v>Вакансия</v>
      </c>
      <c r="AB1023" s="6" t="str">
        <f>IFERROR(VLOOKUP(D:D,[1]Габариты!$A:$D,4,0),"")</f>
        <v>ПОЛКИ</v>
      </c>
      <c r="AC1023" s="39">
        <f t="shared" si="180"/>
        <v>9701</v>
      </c>
      <c r="AD1023" s="13" t="str">
        <f t="shared" si="178"/>
        <v>FBO</v>
      </c>
    </row>
    <row r="1024" spans="1:30" s="6" customFormat="1" ht="20.100000000000001" customHeight="1" outlineLevel="1" x14ac:dyDescent="0.25">
      <c r="A1024" s="631" t="s">
        <v>1689</v>
      </c>
      <c r="B1024" s="29"/>
      <c r="C1024" s="13" t="s">
        <v>2582</v>
      </c>
      <c r="D1024" s="39">
        <v>9702</v>
      </c>
      <c r="E1024" s="4">
        <v>120</v>
      </c>
      <c r="F1024" s="101">
        <v>9702</v>
      </c>
      <c r="G1024" s="57"/>
      <c r="H1024" s="4" t="s">
        <v>6557</v>
      </c>
      <c r="I1024" s="4"/>
      <c r="J1024" s="4" t="s">
        <v>3253</v>
      </c>
      <c r="K1024" s="54"/>
      <c r="L1024" s="57"/>
      <c r="M1024" s="57"/>
      <c r="N1024" s="4" t="s">
        <v>2604</v>
      </c>
      <c r="O1024" s="4">
        <v>836265505</v>
      </c>
      <c r="P1024" s="4">
        <v>836265504</v>
      </c>
      <c r="Q1024" s="767"/>
      <c r="R1024" s="767"/>
      <c r="S1024" s="4"/>
      <c r="T1024" s="4"/>
      <c r="U1024" s="4"/>
      <c r="V1024" s="4"/>
      <c r="W1024" s="4"/>
      <c r="X1024" s="4" t="s">
        <v>2604</v>
      </c>
      <c r="Y1024" s="4" t="s">
        <v>4066</v>
      </c>
      <c r="Z1024" s="35"/>
      <c r="AA1024" s="1" t="str">
        <f>IFERROR(VLOOKUP(D:D,[1]Габариты!$A:$I,9,0),"")</f>
        <v>Вакансия</v>
      </c>
      <c r="AB1024" s="6" t="str">
        <f>IFERROR(VLOOKUP(D:D,[1]Габариты!$A:$D,4,0),"")</f>
        <v>ПОЛКИ</v>
      </c>
      <c r="AC1024" s="39">
        <f t="shared" si="180"/>
        <v>9702</v>
      </c>
      <c r="AD1024" s="13" t="str">
        <f t="shared" si="178"/>
        <v>FBO</v>
      </c>
    </row>
    <row r="1025" spans="1:30" s="6" customFormat="1" ht="20.100000000000001" customHeight="1" outlineLevel="1" x14ac:dyDescent="0.25">
      <c r="A1025" s="631" t="s">
        <v>1690</v>
      </c>
      <c r="B1025" s="29"/>
      <c r="C1025" s="13" t="s">
        <v>2582</v>
      </c>
      <c r="D1025" s="39">
        <v>9703</v>
      </c>
      <c r="E1025" s="4">
        <v>120</v>
      </c>
      <c r="F1025" s="101">
        <v>9703</v>
      </c>
      <c r="G1025" s="57"/>
      <c r="H1025" s="4" t="s">
        <v>6558</v>
      </c>
      <c r="I1025" s="4"/>
      <c r="J1025" s="4" t="s">
        <v>1943</v>
      </c>
      <c r="K1025" s="54"/>
      <c r="L1025" s="57"/>
      <c r="M1025" s="57"/>
      <c r="N1025" s="4" t="s">
        <v>2605</v>
      </c>
      <c r="O1025" s="4">
        <v>836265755</v>
      </c>
      <c r="P1025" s="4">
        <v>836265756</v>
      </c>
      <c r="Q1025" s="767"/>
      <c r="R1025" s="767"/>
      <c r="S1025" s="4"/>
      <c r="T1025" s="4"/>
      <c r="U1025" s="4"/>
      <c r="V1025" s="4"/>
      <c r="W1025" s="4"/>
      <c r="X1025" s="4" t="s">
        <v>2605</v>
      </c>
      <c r="Y1025" s="4" t="s">
        <v>4066</v>
      </c>
      <c r="Z1025" s="35"/>
      <c r="AA1025" s="1" t="str">
        <f>IFERROR(VLOOKUP(D:D,[1]Габариты!$A:$I,9,0),"")</f>
        <v>Вакансия</v>
      </c>
      <c r="AB1025" s="6" t="str">
        <f>IFERROR(VLOOKUP(D:D,[1]Габариты!$A:$D,4,0),"")</f>
        <v>ПОЛКИ</v>
      </c>
      <c r="AC1025" s="39">
        <f t="shared" si="180"/>
        <v>9703</v>
      </c>
      <c r="AD1025" s="13" t="str">
        <f t="shared" si="178"/>
        <v>FBO</v>
      </c>
    </row>
    <row r="1026" spans="1:30" s="6" customFormat="1" ht="20.100000000000001" customHeight="1" outlineLevel="1" x14ac:dyDescent="0.25">
      <c r="A1026" s="631" t="s">
        <v>1573</v>
      </c>
      <c r="B1026" s="29"/>
      <c r="C1026" s="13" t="s">
        <v>2582</v>
      </c>
      <c r="D1026" s="39">
        <v>14020</v>
      </c>
      <c r="E1026" s="4">
        <v>50</v>
      </c>
      <c r="F1026" s="101">
        <v>14020</v>
      </c>
      <c r="G1026" s="57"/>
      <c r="H1026" s="4" t="s">
        <v>6559</v>
      </c>
      <c r="I1026" s="4"/>
      <c r="J1026" s="4" t="s">
        <v>3987</v>
      </c>
      <c r="K1026" s="54"/>
      <c r="L1026" s="57"/>
      <c r="M1026" s="57"/>
      <c r="N1026" s="4" t="s">
        <v>1610</v>
      </c>
      <c r="O1026" s="4">
        <v>799260224</v>
      </c>
      <c r="P1026" s="4">
        <v>799260223</v>
      </c>
      <c r="Q1026" s="767"/>
      <c r="R1026" s="767"/>
      <c r="S1026" s="4"/>
      <c r="T1026" s="4" t="s">
        <v>4307</v>
      </c>
      <c r="U1026" s="4">
        <v>1608683071</v>
      </c>
      <c r="V1026" s="4">
        <v>1608683071</v>
      </c>
      <c r="W1026" s="4"/>
      <c r="X1026" s="4" t="s">
        <v>1610</v>
      </c>
      <c r="Y1026" s="4" t="s">
        <v>4066</v>
      </c>
      <c r="Z1026" s="35"/>
      <c r="AA1026" s="1" t="str">
        <f>IFERROR(VLOOKUP(D:D,[1]Габариты!$A:$I,9,0),"")</f>
        <v>Вакансия</v>
      </c>
      <c r="AB1026" s="6" t="str">
        <f>IFERROR(VLOOKUP(D:D,[1]Габариты!$A:$D,4,0),"")</f>
        <v>ПОЛКИ</v>
      </c>
      <c r="AC1026" s="39">
        <f t="shared" si="180"/>
        <v>14020</v>
      </c>
      <c r="AD1026" s="13" t="str">
        <f t="shared" si="178"/>
        <v>FBO</v>
      </c>
    </row>
    <row r="1027" spans="1:30" s="6" customFormat="1" ht="20.100000000000001" customHeight="1" outlineLevel="1" x14ac:dyDescent="0.25">
      <c r="A1027" s="631" t="s">
        <v>1080</v>
      </c>
      <c r="B1027" s="29"/>
      <c r="C1027" s="13" t="s">
        <v>2581</v>
      </c>
      <c r="D1027" s="39" t="s">
        <v>1486</v>
      </c>
      <c r="E1027" s="4">
        <v>20</v>
      </c>
      <c r="F1027" s="101" t="s">
        <v>4728</v>
      </c>
      <c r="G1027" s="57" t="s">
        <v>5194</v>
      </c>
      <c r="H1027" s="4" t="s">
        <v>6560</v>
      </c>
      <c r="I1027" s="4"/>
      <c r="J1027" s="4"/>
      <c r="K1027" s="54" t="s">
        <v>4728</v>
      </c>
      <c r="L1027" s="57">
        <v>935283153</v>
      </c>
      <c r="M1027" s="57">
        <v>935283153</v>
      </c>
      <c r="N1027" s="4" t="s">
        <v>1412</v>
      </c>
      <c r="O1027" s="4">
        <v>640596302</v>
      </c>
      <c r="P1027" s="4">
        <v>640596301</v>
      </c>
      <c r="Q1027" s="767"/>
      <c r="R1027" s="767"/>
      <c r="S1027" s="4"/>
      <c r="T1027" s="4"/>
      <c r="U1027" s="4"/>
      <c r="V1027" s="4"/>
      <c r="W1027" s="4"/>
      <c r="X1027" s="4" t="s">
        <v>1412</v>
      </c>
      <c r="Y1027" s="4" t="s">
        <v>4066</v>
      </c>
      <c r="Z1027" s="35"/>
      <c r="AA1027" s="1" t="str">
        <f>IFERROR(VLOOKUP(D:D,[1]Габариты!$A:$I,9,0),"")</f>
        <v>Вакансия</v>
      </c>
      <c r="AB1027" s="6" t="str">
        <f>IFERROR(VLOOKUP(D:D,[1]Габариты!$A:$D,4,0),"")</f>
        <v>ПОЛКИ</v>
      </c>
      <c r="AC1027" s="39" t="str">
        <f t="shared" si="180"/>
        <v>MK1110101</v>
      </c>
      <c r="AD1027" s="13" t="str">
        <f t="shared" si="178"/>
        <v>FBS</v>
      </c>
    </row>
    <row r="1028" spans="1:30" s="6" customFormat="1" ht="20.100000000000001" customHeight="1" outlineLevel="1" x14ac:dyDescent="0.25">
      <c r="A1028" s="631" t="s">
        <v>1659</v>
      </c>
      <c r="B1028" s="29"/>
      <c r="C1028" s="13" t="s">
        <v>2582</v>
      </c>
      <c r="D1028" s="39" t="s">
        <v>1660</v>
      </c>
      <c r="E1028" s="4">
        <v>45</v>
      </c>
      <c r="F1028" s="101" t="s">
        <v>4694</v>
      </c>
      <c r="G1028" s="57" t="s">
        <v>5227</v>
      </c>
      <c r="H1028" s="4" t="s">
        <v>6562</v>
      </c>
      <c r="I1028" s="4"/>
      <c r="J1028" s="4"/>
      <c r="K1028" s="54" t="s">
        <v>4694</v>
      </c>
      <c r="L1028" s="57">
        <v>1122706576</v>
      </c>
      <c r="M1028" s="57">
        <v>1122706576</v>
      </c>
      <c r="N1028" s="4" t="s">
        <v>2603</v>
      </c>
      <c r="O1028" s="4">
        <v>815199494</v>
      </c>
      <c r="P1028" s="4">
        <v>815199493</v>
      </c>
      <c r="Q1028" s="767"/>
      <c r="R1028" s="767"/>
      <c r="S1028" s="4"/>
      <c r="T1028" s="4"/>
      <c r="U1028" s="4"/>
      <c r="V1028" s="4"/>
      <c r="W1028" s="4"/>
      <c r="X1028" s="4"/>
      <c r="Y1028" s="4" t="s">
        <v>4066</v>
      </c>
      <c r="Z1028" s="35"/>
      <c r="AA1028" s="1" t="str">
        <f>IFERROR(VLOOKUP(D:D,[1]Габариты!$A:$I,9,0),"")</f>
        <v>Вакансия</v>
      </c>
      <c r="AB1028" s="6" t="str">
        <f>IFERROR(VLOOKUP(D:D,[1]Габариты!$A:$D,4,0),"")</f>
        <v>ПОЛКИ</v>
      </c>
      <c r="AC1028" s="39" t="str">
        <f t="shared" si="180"/>
        <v>MK2000101</v>
      </c>
      <c r="AD1028" s="13" t="str">
        <f t="shared" si="178"/>
        <v>FBO</v>
      </c>
    </row>
    <row r="1029" spans="1:30" s="6" customFormat="1" ht="20.100000000000001" customHeight="1" outlineLevel="1" x14ac:dyDescent="0.25">
      <c r="A1029" s="631" t="s">
        <v>1099</v>
      </c>
      <c r="B1029" s="29"/>
      <c r="C1029" s="13" t="s">
        <v>2581</v>
      </c>
      <c r="D1029" s="39" t="s">
        <v>1487</v>
      </c>
      <c r="E1029" s="4">
        <v>60</v>
      </c>
      <c r="F1029" s="101" t="s">
        <v>4726</v>
      </c>
      <c r="G1029" s="57" t="s">
        <v>5187</v>
      </c>
      <c r="H1029" s="4" t="s">
        <v>6561</v>
      </c>
      <c r="I1029" s="4"/>
      <c r="J1029" s="4"/>
      <c r="K1029" s="54" t="s">
        <v>4726</v>
      </c>
      <c r="L1029" s="57">
        <v>937293837</v>
      </c>
      <c r="M1029" s="57">
        <v>937293837</v>
      </c>
      <c r="N1029" s="4" t="s">
        <v>1413</v>
      </c>
      <c r="O1029" s="4">
        <v>660845527</v>
      </c>
      <c r="P1029" s="4">
        <v>660845526</v>
      </c>
      <c r="Q1029" s="767"/>
      <c r="R1029" s="767"/>
      <c r="S1029" s="4"/>
      <c r="T1029" s="4"/>
      <c r="U1029" s="4"/>
      <c r="V1029" s="4"/>
      <c r="W1029" s="4"/>
      <c r="X1029" s="4" t="s">
        <v>1413</v>
      </c>
      <c r="Y1029" s="4" t="s">
        <v>4066</v>
      </c>
      <c r="Z1029" s="35"/>
      <c r="AA1029" s="1" t="str">
        <f>IFERROR(VLOOKUP(D:D,[1]Габариты!$A:$I,9,0),"")</f>
        <v>Вакансия</v>
      </c>
      <c r="AB1029" s="6" t="str">
        <f>IFERROR(VLOOKUP(D:D,[1]Габариты!$A:$D,4,0),"")</f>
        <v>ПОЛКИ</v>
      </c>
      <c r="AC1029" s="39" t="str">
        <f t="shared" si="180"/>
        <v>MK1020101</v>
      </c>
      <c r="AD1029" s="13" t="str">
        <f t="shared" si="178"/>
        <v>FBS</v>
      </c>
    </row>
    <row r="1030" spans="1:30" s="6" customFormat="1" ht="20.100000000000001" customHeight="1" outlineLevel="1" x14ac:dyDescent="0.25">
      <c r="A1030" s="631" t="s">
        <v>1752</v>
      </c>
      <c r="B1030" s="29"/>
      <c r="C1030" s="13" t="s">
        <v>2582</v>
      </c>
      <c r="D1030" s="39" t="s">
        <v>1753</v>
      </c>
      <c r="E1030" s="4">
        <v>54</v>
      </c>
      <c r="F1030" s="101" t="s">
        <v>5757</v>
      </c>
      <c r="G1030" s="57" t="s">
        <v>5829</v>
      </c>
      <c r="H1030" s="4" t="s">
        <v>6563</v>
      </c>
      <c r="I1030" s="4"/>
      <c r="J1030" s="4"/>
      <c r="K1030" s="54" t="s">
        <v>5757</v>
      </c>
      <c r="L1030" s="57">
        <v>937316653</v>
      </c>
      <c r="M1030" s="57">
        <v>937316653</v>
      </c>
      <c r="N1030" s="4" t="s">
        <v>1759</v>
      </c>
      <c r="O1030" s="4">
        <v>860008324</v>
      </c>
      <c r="P1030" s="4">
        <v>860008324</v>
      </c>
      <c r="Q1030" s="767"/>
      <c r="R1030" s="767"/>
      <c r="S1030" s="4"/>
      <c r="T1030" s="4"/>
      <c r="U1030" s="4"/>
      <c r="V1030" s="4"/>
      <c r="W1030" s="4"/>
      <c r="X1030" s="4" t="s">
        <v>1759</v>
      </c>
      <c r="Y1030" s="4" t="s">
        <v>4066</v>
      </c>
      <c r="Z1030" s="35"/>
      <c r="AA1030" s="1" t="str">
        <f>IFERROR(VLOOKUP(D:D,[1]Габариты!$A:$I,9,0),"")</f>
        <v>Вакансия</v>
      </c>
      <c r="AB1030" s="6" t="str">
        <f>IFERROR(VLOOKUP(D:D,[1]Габариты!$A:$D,4,0),"")</f>
        <v>ПОЛКИ</v>
      </c>
      <c r="AC1030" s="39" t="str">
        <f t="shared" si="180"/>
        <v>MK1020201</v>
      </c>
      <c r="AD1030" s="13" t="str">
        <f t="shared" si="178"/>
        <v>FBO</v>
      </c>
    </row>
    <row r="1031" spans="1:30" s="6" customFormat="1" ht="20.100000000000001" customHeight="1" outlineLevel="1" x14ac:dyDescent="0.25">
      <c r="A1031" s="635" t="s">
        <v>94</v>
      </c>
      <c r="B1031" s="3"/>
      <c r="C1031" s="13" t="s">
        <v>2581</v>
      </c>
      <c r="D1031" s="39">
        <v>2608</v>
      </c>
      <c r="E1031" s="4">
        <v>42</v>
      </c>
      <c r="F1031" s="101">
        <v>2608</v>
      </c>
      <c r="G1031" s="57" t="s">
        <v>4830</v>
      </c>
      <c r="H1031" s="4" t="s">
        <v>6542</v>
      </c>
      <c r="I1031" s="4" t="s">
        <v>1211</v>
      </c>
      <c r="J1031" s="4" t="s">
        <v>2030</v>
      </c>
      <c r="K1031" s="54" t="s">
        <v>2194</v>
      </c>
      <c r="L1031" s="57">
        <v>202621901</v>
      </c>
      <c r="M1031" s="57">
        <v>202621901</v>
      </c>
      <c r="N1031" s="4" t="s">
        <v>613</v>
      </c>
      <c r="O1031" s="4">
        <v>262899193</v>
      </c>
      <c r="P1031" s="4">
        <v>262899196</v>
      </c>
      <c r="Q1031" s="767" t="s">
        <v>2751</v>
      </c>
      <c r="R1031" s="767">
        <v>322153522</v>
      </c>
      <c r="S1031" s="4">
        <v>322153522</v>
      </c>
      <c r="T1031" s="4" t="s">
        <v>3126</v>
      </c>
      <c r="U1031" s="4">
        <v>958437837</v>
      </c>
      <c r="V1031" s="4">
        <v>958437837</v>
      </c>
      <c r="W1031" s="4" t="s">
        <v>2194</v>
      </c>
      <c r="X1031" s="4" t="s">
        <v>613</v>
      </c>
      <c r="Y1031" s="4">
        <v>2608</v>
      </c>
      <c r="Z1031" s="35"/>
      <c r="AA1031" s="1" t="str">
        <f>IFERROR(VLOOKUP(D:D,[1]Габариты!$A:$I,9,0),"")</f>
        <v>Вакансия</v>
      </c>
      <c r="AB1031" s="6" t="str">
        <f>IFERROR(VLOOKUP(D:D,[1]Габариты!$A:$D,4,0),"")</f>
        <v>ПОЛКИ</v>
      </c>
      <c r="AC1031" s="39">
        <f t="shared" si="180"/>
        <v>2608</v>
      </c>
      <c r="AD1031" s="13" t="str">
        <f>C1031</f>
        <v>FBS</v>
      </c>
    </row>
    <row r="1032" spans="1:30" s="6" customFormat="1" ht="20.100000000000001" customHeight="1" outlineLevel="1" x14ac:dyDescent="0.25">
      <c r="A1032" s="635" t="s">
        <v>4196</v>
      </c>
      <c r="B1032" s="3"/>
      <c r="C1032" s="13" t="s">
        <v>2581</v>
      </c>
      <c r="D1032" s="44" t="s">
        <v>4195</v>
      </c>
      <c r="E1032" s="4">
        <v>42</v>
      </c>
      <c r="F1032" s="106" t="s">
        <v>6205</v>
      </c>
      <c r="G1032" s="57" t="s">
        <v>5138</v>
      </c>
      <c r="H1032" s="4" t="s">
        <v>6543</v>
      </c>
      <c r="I1032" s="4"/>
      <c r="J1032" s="4" t="s">
        <v>5308</v>
      </c>
      <c r="K1032" s="54" t="s">
        <v>6205</v>
      </c>
      <c r="L1032" s="57">
        <v>1471349720</v>
      </c>
      <c r="M1032" s="57">
        <v>1471349720</v>
      </c>
      <c r="N1032" s="4" t="s">
        <v>4369</v>
      </c>
      <c r="O1032" s="4">
        <v>1625950474</v>
      </c>
      <c r="P1032" s="4">
        <v>1625950474</v>
      </c>
      <c r="Q1032" s="767"/>
      <c r="R1032" s="767"/>
      <c r="S1032" s="4"/>
      <c r="T1032" s="4" t="s">
        <v>4438</v>
      </c>
      <c r="U1032" s="4">
        <v>1625965632</v>
      </c>
      <c r="V1032" s="4">
        <v>1625965632</v>
      </c>
      <c r="W1032" s="4"/>
      <c r="X1032" s="4" t="s">
        <v>4369</v>
      </c>
      <c r="Y1032" s="4"/>
      <c r="Z1032" s="35"/>
      <c r="AA1032" s="1" t="str">
        <f>IFERROR(VLOOKUP(D:D,[1]Габариты!$A:$I,9,0),"")</f>
        <v>Вакансия</v>
      </c>
      <c r="AB1032" s="6" t="str">
        <f>IFERROR(VLOOKUP(D:D,[1]Габариты!$A:$D,4,0),"")</f>
        <v>ПОЛКИ</v>
      </c>
      <c r="AC1032" s="39" t="str">
        <f t="shared" si="180"/>
        <v>2608.01/01</v>
      </c>
      <c r="AD1032" s="13" t="str">
        <f>C1032</f>
        <v>FBS</v>
      </c>
    </row>
    <row r="1033" spans="1:30" s="1" customFormat="1" ht="20.100000000000001" customHeight="1" outlineLevel="1" x14ac:dyDescent="0.2">
      <c r="A1033" s="754" t="s">
        <v>425</v>
      </c>
      <c r="B1033" s="756" t="s">
        <v>3846</v>
      </c>
      <c r="C1033" s="13"/>
      <c r="D1033" s="42"/>
      <c r="E1033" s="4"/>
      <c r="F1033" s="101"/>
      <c r="G1033" s="57"/>
      <c r="H1033" s="4"/>
      <c r="I1033" s="4"/>
      <c r="J1033" s="4"/>
      <c r="K1033" s="54"/>
      <c r="L1033" s="57"/>
      <c r="M1033" s="57"/>
      <c r="N1033" s="4"/>
      <c r="O1033" s="4"/>
      <c r="P1033" s="4"/>
      <c r="Q1033" s="767"/>
      <c r="R1033" s="767"/>
      <c r="S1033" s="4"/>
      <c r="T1033" s="4"/>
      <c r="U1033" s="4"/>
      <c r="V1033" s="4"/>
      <c r="W1033" s="4"/>
      <c r="X1033" s="4"/>
      <c r="Y1033" s="4" t="s">
        <v>4066</v>
      </c>
      <c r="Z1033" s="35"/>
      <c r="AA1033" s="1" t="str">
        <f>IFERROR(VLOOKUP(D:D,[1]Габариты!$A:$I,9,0),"")</f>
        <v/>
      </c>
      <c r="AB1033" s="6" t="str">
        <f>IFERROR(VLOOKUP(D:D,[1]Габариты!$A:$D,4,0),"")</f>
        <v/>
      </c>
      <c r="AC1033" s="39"/>
      <c r="AD1033" s="3"/>
    </row>
    <row r="1034" spans="1:30" s="6" customFormat="1" ht="20.100000000000001" customHeight="1" outlineLevel="1" x14ac:dyDescent="0.25">
      <c r="A1034" s="635" t="s">
        <v>41</v>
      </c>
      <c r="B1034" s="3"/>
      <c r="C1034" s="13" t="s">
        <v>2582</v>
      </c>
      <c r="D1034" s="39" t="s">
        <v>9</v>
      </c>
      <c r="E1034" s="4">
        <v>30</v>
      </c>
      <c r="F1034" s="101" t="s">
        <v>9</v>
      </c>
      <c r="G1034" s="57" t="s">
        <v>6157</v>
      </c>
      <c r="H1034" s="4"/>
      <c r="I1034" s="4"/>
      <c r="J1034" s="4"/>
      <c r="K1034" s="54"/>
      <c r="L1034" s="57"/>
      <c r="M1034" s="57"/>
      <c r="N1034" s="4"/>
      <c r="O1034" s="4"/>
      <c r="P1034" s="4"/>
      <c r="Q1034" s="767"/>
      <c r="R1034" s="767"/>
      <c r="S1034" s="4"/>
      <c r="T1034" s="4"/>
      <c r="U1034" s="4"/>
      <c r="V1034" s="4"/>
      <c r="W1034" s="4" t="s">
        <v>2219</v>
      </c>
      <c r="X1034" s="4" t="s">
        <v>819</v>
      </c>
      <c r="Y1034" s="4" t="s">
        <v>4066</v>
      </c>
      <c r="Z1034" s="35"/>
      <c r="AA1034" s="1" t="str">
        <f>IFERROR(VLOOKUP(D:D,[1]Габариты!$A:$I,9,0),"")</f>
        <v>Вакансия</v>
      </c>
      <c r="AB1034" s="6" t="str">
        <f>IFERROR(VLOOKUP(D:D,[1]Габариты!$A:$D,4,0),"")</f>
        <v>ПУФ</v>
      </c>
      <c r="AC1034" s="39" t="str">
        <f t="shared" si="180"/>
        <v>М0155</v>
      </c>
      <c r="AD1034" s="13" t="str">
        <f t="shared" si="178"/>
        <v>FBO</v>
      </c>
    </row>
    <row r="1035" spans="1:30" s="6" customFormat="1" ht="20.100000000000001" customHeight="1" outlineLevel="1" x14ac:dyDescent="0.25">
      <c r="A1035" s="635" t="s">
        <v>396</v>
      </c>
      <c r="B1035" s="3"/>
      <c r="C1035" s="13" t="s">
        <v>2582</v>
      </c>
      <c r="D1035" s="39" t="s">
        <v>42</v>
      </c>
      <c r="E1035" s="4">
        <v>30</v>
      </c>
      <c r="F1035" s="101" t="s">
        <v>42</v>
      </c>
      <c r="G1035" s="57"/>
      <c r="H1035" s="4"/>
      <c r="I1035" s="4"/>
      <c r="J1035" s="4"/>
      <c r="K1035" s="54"/>
      <c r="L1035" s="57"/>
      <c r="M1035" s="57"/>
      <c r="N1035" s="4"/>
      <c r="O1035" s="4"/>
      <c r="P1035" s="4"/>
      <c r="Q1035" s="767"/>
      <c r="R1035" s="767"/>
      <c r="S1035" s="4"/>
      <c r="T1035" s="4"/>
      <c r="U1035" s="4"/>
      <c r="V1035" s="4"/>
      <c r="W1035" s="4" t="s">
        <v>42</v>
      </c>
      <c r="X1035" s="4"/>
      <c r="Y1035" s="4" t="s">
        <v>4066</v>
      </c>
      <c r="Z1035" s="35"/>
      <c r="AA1035" s="1" t="str">
        <f>IFERROR(VLOOKUP(D:D,[1]Габариты!$A:$I,9,0),"")</f>
        <v>Вакансия</v>
      </c>
      <c r="AB1035" s="6" t="str">
        <f>IFERROR(VLOOKUP(D:D,[1]Габариты!$A:$D,4,0),"")</f>
        <v>ПУФ</v>
      </c>
      <c r="AC1035" s="39" t="str">
        <f t="shared" si="180"/>
        <v>М0157</v>
      </c>
      <c r="AD1035" s="13" t="str">
        <f t="shared" si="178"/>
        <v>FBO</v>
      </c>
    </row>
    <row r="1036" spans="1:30" s="6" customFormat="1" ht="20.100000000000001" customHeight="1" outlineLevel="1" x14ac:dyDescent="0.25">
      <c r="A1036" s="635" t="s">
        <v>44</v>
      </c>
      <c r="B1036" s="3"/>
      <c r="C1036" s="13" t="s">
        <v>2582</v>
      </c>
      <c r="D1036" s="39" t="s">
        <v>8</v>
      </c>
      <c r="E1036" s="4">
        <v>30</v>
      </c>
      <c r="F1036" s="101" t="s">
        <v>8</v>
      </c>
      <c r="G1036" s="57" t="s">
        <v>6156</v>
      </c>
      <c r="H1036" s="4"/>
      <c r="I1036" s="4"/>
      <c r="J1036" s="4"/>
      <c r="K1036" s="54"/>
      <c r="L1036" s="57"/>
      <c r="M1036" s="57"/>
      <c r="N1036" s="4"/>
      <c r="O1036" s="4"/>
      <c r="P1036" s="4"/>
      <c r="Q1036" s="767"/>
      <c r="R1036" s="767"/>
      <c r="S1036" s="4"/>
      <c r="T1036" s="4"/>
      <c r="U1036" s="4"/>
      <c r="V1036" s="4"/>
      <c r="W1036" s="4" t="s">
        <v>8</v>
      </c>
      <c r="X1036" s="4" t="s">
        <v>820</v>
      </c>
      <c r="Y1036" s="4" t="s">
        <v>8</v>
      </c>
      <c r="Z1036" s="35"/>
      <c r="AA1036" s="1" t="str">
        <f>IFERROR(VLOOKUP(D:D,[1]Габариты!$A:$I,9,0),"")</f>
        <v>Вакансия</v>
      </c>
      <c r="AB1036" s="6" t="str">
        <f>IFERROR(VLOOKUP(D:D,[1]Габариты!$A:$D,4,0),"")</f>
        <v>ПУФ</v>
      </c>
      <c r="AC1036" s="39" t="str">
        <f t="shared" si="180"/>
        <v>М0153</v>
      </c>
      <c r="AD1036" s="13" t="str">
        <f t="shared" si="178"/>
        <v>FBO</v>
      </c>
    </row>
    <row r="1037" spans="1:30" s="6" customFormat="1" ht="20.100000000000001" customHeight="1" outlineLevel="1" x14ac:dyDescent="0.25">
      <c r="A1037" s="665" t="s">
        <v>56</v>
      </c>
      <c r="B1037" s="2"/>
      <c r="C1037" s="13" t="s">
        <v>2582</v>
      </c>
      <c r="D1037" s="39" t="s">
        <v>57</v>
      </c>
      <c r="E1037" s="4">
        <v>30</v>
      </c>
      <c r="F1037" s="101" t="s">
        <v>57</v>
      </c>
      <c r="G1037" s="57"/>
      <c r="H1037" s="4"/>
      <c r="I1037" s="4"/>
      <c r="J1037" s="4"/>
      <c r="K1037" s="54"/>
      <c r="L1037" s="57"/>
      <c r="M1037" s="57"/>
      <c r="N1037" s="4"/>
      <c r="O1037" s="4"/>
      <c r="P1037" s="4"/>
      <c r="Q1037" s="767"/>
      <c r="R1037" s="767"/>
      <c r="S1037" s="4"/>
      <c r="T1037" s="4"/>
      <c r="U1037" s="4"/>
      <c r="V1037" s="4"/>
      <c r="W1037" s="4" t="s">
        <v>57</v>
      </c>
      <c r="X1037" s="4"/>
      <c r="Y1037" s="4" t="s">
        <v>4066</v>
      </c>
      <c r="Z1037" s="35"/>
      <c r="AA1037" s="1" t="str">
        <f>IFERROR(VLOOKUP(D:D,[1]Габариты!$A:$I,9,0),"")</f>
        <v>Вакансия</v>
      </c>
      <c r="AB1037" s="6" t="str">
        <f>IFERROR(VLOOKUP(D:D,[1]Габариты!$A:$D,4,0),"")</f>
        <v>ПУФ</v>
      </c>
      <c r="AC1037" s="39" t="str">
        <f t="shared" si="180"/>
        <v>М0162</v>
      </c>
      <c r="AD1037" s="13" t="str">
        <f t="shared" si="178"/>
        <v>FBO</v>
      </c>
    </row>
    <row r="1038" spans="1:30" s="6" customFormat="1" ht="20.100000000000001" customHeight="1" outlineLevel="1" x14ac:dyDescent="0.25">
      <c r="A1038" s="635" t="s">
        <v>58</v>
      </c>
      <c r="B1038" s="3"/>
      <c r="C1038" s="13" t="s">
        <v>2582</v>
      </c>
      <c r="D1038" s="39" t="s">
        <v>4</v>
      </c>
      <c r="E1038" s="4">
        <v>30</v>
      </c>
      <c r="F1038" s="101" t="s">
        <v>4</v>
      </c>
      <c r="G1038" s="57" t="s">
        <v>6158</v>
      </c>
      <c r="H1038" s="4"/>
      <c r="I1038" s="4"/>
      <c r="J1038" s="4"/>
      <c r="K1038" s="54"/>
      <c r="L1038" s="57"/>
      <c r="M1038" s="57"/>
      <c r="N1038" s="4"/>
      <c r="O1038" s="4"/>
      <c r="P1038" s="4"/>
      <c r="Q1038" s="767"/>
      <c r="R1038" s="767"/>
      <c r="S1038" s="4"/>
      <c r="T1038" s="4"/>
      <c r="U1038" s="4"/>
      <c r="V1038" s="4"/>
      <c r="W1038" s="4" t="s">
        <v>4</v>
      </c>
      <c r="X1038" s="4" t="s">
        <v>821</v>
      </c>
      <c r="Y1038" s="4" t="s">
        <v>4</v>
      </c>
      <c r="Z1038" s="35"/>
      <c r="AA1038" s="1" t="str">
        <f>IFERROR(VLOOKUP(D:D,[1]Габариты!$A:$I,9,0),"")</f>
        <v>Вакансия</v>
      </c>
      <c r="AB1038" s="6" t="str">
        <f>IFERROR(VLOOKUP(D:D,[1]Габариты!$A:$D,4,0),"")</f>
        <v>ПУФ</v>
      </c>
      <c r="AC1038" s="39" t="str">
        <f t="shared" si="180"/>
        <v>М0163</v>
      </c>
      <c r="AD1038" s="13" t="str">
        <f t="shared" si="178"/>
        <v>FBO</v>
      </c>
    </row>
    <row r="1039" spans="1:30" s="6" customFormat="1" ht="20.100000000000001" customHeight="1" outlineLevel="1" x14ac:dyDescent="0.25">
      <c r="A1039" s="635" t="s">
        <v>43</v>
      </c>
      <c r="B1039" s="3"/>
      <c r="C1039" s="13" t="s">
        <v>2582</v>
      </c>
      <c r="D1039" s="39" t="s">
        <v>7</v>
      </c>
      <c r="E1039" s="4">
        <v>30</v>
      </c>
      <c r="F1039" s="101" t="s">
        <v>7</v>
      </c>
      <c r="G1039" s="57" t="s">
        <v>6155</v>
      </c>
      <c r="H1039" s="4" t="s">
        <v>7136</v>
      </c>
      <c r="I1039" s="4"/>
      <c r="J1039" s="4"/>
      <c r="K1039" s="54"/>
      <c r="L1039" s="57"/>
      <c r="M1039" s="57"/>
      <c r="N1039" s="4"/>
      <c r="O1039" s="4"/>
      <c r="P1039" s="4"/>
      <c r="Q1039" s="767" t="s">
        <v>2771</v>
      </c>
      <c r="R1039" s="767">
        <v>371784942</v>
      </c>
      <c r="S1039" s="4">
        <v>371784943</v>
      </c>
      <c r="T1039" s="4"/>
      <c r="U1039" s="4"/>
      <c r="V1039" s="4"/>
      <c r="W1039" s="4" t="s">
        <v>2220</v>
      </c>
      <c r="X1039" s="4" t="s">
        <v>822</v>
      </c>
      <c r="Y1039" s="4" t="s">
        <v>7</v>
      </c>
      <c r="Z1039" s="35"/>
      <c r="AA1039" s="1" t="str">
        <f>IFERROR(VLOOKUP(D:D,[1]Габариты!$A:$I,9,0),"")</f>
        <v>Вакансия</v>
      </c>
      <c r="AB1039" s="6" t="str">
        <f>IFERROR(VLOOKUP(D:D,[1]Габариты!$A:$D,4,0),"")</f>
        <v>ПУФ</v>
      </c>
      <c r="AC1039" s="39" t="str">
        <f t="shared" si="180"/>
        <v>М0152</v>
      </c>
      <c r="AD1039" s="13" t="str">
        <f t="shared" si="178"/>
        <v>FBO</v>
      </c>
    </row>
    <row r="1040" spans="1:30" s="6" customFormat="1" ht="20.100000000000001" customHeight="1" outlineLevel="1" x14ac:dyDescent="0.25">
      <c r="A1040" s="635" t="s">
        <v>398</v>
      </c>
      <c r="B1040" s="3"/>
      <c r="C1040" s="13" t="s">
        <v>2581</v>
      </c>
      <c r="D1040" s="39" t="s">
        <v>19</v>
      </c>
      <c r="E1040" s="4">
        <v>10</v>
      </c>
      <c r="F1040" s="101" t="s">
        <v>19</v>
      </c>
      <c r="G1040" s="57" t="s">
        <v>6164</v>
      </c>
      <c r="H1040" s="4"/>
      <c r="I1040" s="4"/>
      <c r="J1040" s="4"/>
      <c r="K1040" s="54"/>
      <c r="L1040" s="57"/>
      <c r="M1040" s="57"/>
      <c r="N1040" s="4"/>
      <c r="O1040" s="4"/>
      <c r="P1040" s="4"/>
      <c r="Q1040" s="767"/>
      <c r="R1040" s="767"/>
      <c r="S1040" s="4"/>
      <c r="T1040" s="4"/>
      <c r="U1040" s="4"/>
      <c r="V1040" s="4"/>
      <c r="W1040" s="4" t="s">
        <v>19</v>
      </c>
      <c r="X1040" s="4"/>
      <c r="Y1040" s="4" t="s">
        <v>4066</v>
      </c>
      <c r="Z1040" s="35"/>
      <c r="AA1040" s="1" t="str">
        <f>IFERROR(VLOOKUP(D:D,[1]Габариты!$A:$I,9,0),"")</f>
        <v>Вакансия</v>
      </c>
      <c r="AB1040" s="6" t="str">
        <f>IFERROR(VLOOKUP(D:D,[1]Габариты!$A:$D,4,0),"")</f>
        <v>ПУФ</v>
      </c>
      <c r="AC1040" s="39" t="str">
        <f t="shared" si="180"/>
        <v>М0423</v>
      </c>
      <c r="AD1040" s="13" t="str">
        <f t="shared" si="178"/>
        <v>FBS</v>
      </c>
    </row>
    <row r="1041" spans="1:30" s="6" customFormat="1" ht="20.100000000000001" customHeight="1" outlineLevel="1" x14ac:dyDescent="0.25">
      <c r="A1041" s="635" t="s">
        <v>397</v>
      </c>
      <c r="B1041" s="3"/>
      <c r="C1041" s="13" t="s">
        <v>2581</v>
      </c>
      <c r="D1041" s="39" t="s">
        <v>18</v>
      </c>
      <c r="E1041" s="4">
        <v>10</v>
      </c>
      <c r="F1041" s="101" t="s">
        <v>18</v>
      </c>
      <c r="G1041" s="57" t="s">
        <v>6163</v>
      </c>
      <c r="H1041" s="4" t="s">
        <v>7137</v>
      </c>
      <c r="I1041" s="4"/>
      <c r="J1041" s="4"/>
      <c r="K1041" s="54"/>
      <c r="L1041" s="57"/>
      <c r="M1041" s="57"/>
      <c r="N1041" s="4"/>
      <c r="O1041" s="4"/>
      <c r="P1041" s="4"/>
      <c r="Q1041" s="767" t="s">
        <v>2772</v>
      </c>
      <c r="R1041" s="767">
        <v>348015487</v>
      </c>
      <c r="S1041" s="4">
        <v>348015522</v>
      </c>
      <c r="T1041" s="4"/>
      <c r="U1041" s="4"/>
      <c r="V1041" s="4"/>
      <c r="W1041" s="4" t="s">
        <v>18</v>
      </c>
      <c r="X1041" s="4" t="s">
        <v>801</v>
      </c>
      <c r="Y1041" s="4" t="s">
        <v>18</v>
      </c>
      <c r="Z1041" s="35"/>
      <c r="AA1041" s="1" t="str">
        <f>IFERROR(VLOOKUP(D:D,[1]Габариты!$A:$I,9,0),"")</f>
        <v>Вакансия</v>
      </c>
      <c r="AB1041" s="6" t="str">
        <f>IFERROR(VLOOKUP(D:D,[1]Габариты!$A:$D,4,0),"")</f>
        <v>ПУФ</v>
      </c>
      <c r="AC1041" s="39" t="str">
        <f t="shared" ref="AC1041:AC1104" si="181">D1041</f>
        <v>М0422</v>
      </c>
      <c r="AD1041" s="13" t="str">
        <f t="shared" si="178"/>
        <v>FBS</v>
      </c>
    </row>
    <row r="1042" spans="1:30" s="6" customFormat="1" ht="20.100000000000001" customHeight="1" outlineLevel="1" x14ac:dyDescent="0.25">
      <c r="A1042" s="635" t="s">
        <v>400</v>
      </c>
      <c r="B1042" s="3"/>
      <c r="C1042" s="13" t="s">
        <v>2581</v>
      </c>
      <c r="D1042" s="39" t="s">
        <v>21</v>
      </c>
      <c r="E1042" s="4">
        <v>10</v>
      </c>
      <c r="F1042" s="101" t="s">
        <v>21</v>
      </c>
      <c r="G1042" s="57" t="s">
        <v>6284</v>
      </c>
      <c r="H1042" s="4"/>
      <c r="I1042" s="4"/>
      <c r="J1042" s="4"/>
      <c r="K1042" s="54" t="s">
        <v>21</v>
      </c>
      <c r="L1042" s="57">
        <v>251271221</v>
      </c>
      <c r="M1042" s="57">
        <v>251271221</v>
      </c>
      <c r="N1042" s="4"/>
      <c r="O1042" s="4"/>
      <c r="P1042" s="4"/>
      <c r="Q1042" s="767"/>
      <c r="R1042" s="767"/>
      <c r="S1042" s="4"/>
      <c r="T1042" s="4"/>
      <c r="U1042" s="4"/>
      <c r="V1042" s="4"/>
      <c r="W1042" s="4" t="s">
        <v>21</v>
      </c>
      <c r="X1042" s="4"/>
      <c r="Y1042" s="4" t="s">
        <v>4066</v>
      </c>
      <c r="Z1042" s="35"/>
      <c r="AA1042" s="1" t="str">
        <f>IFERROR(VLOOKUP(D:D,[1]Габариты!$A:$I,9,0),"")</f>
        <v>Вакансия</v>
      </c>
      <c r="AB1042" s="6" t="str">
        <f>IFERROR(VLOOKUP(D:D,[1]Габариты!$A:$D,4,0),"")</f>
        <v>ПУФ</v>
      </c>
      <c r="AC1042" s="39" t="str">
        <f t="shared" si="181"/>
        <v>М0425</v>
      </c>
      <c r="AD1042" s="13" t="str">
        <f t="shared" si="178"/>
        <v>FBS</v>
      </c>
    </row>
    <row r="1043" spans="1:30" s="6" customFormat="1" ht="20.100000000000001" customHeight="1" outlineLevel="1" x14ac:dyDescent="0.25">
      <c r="A1043" s="635" t="s">
        <v>399</v>
      </c>
      <c r="B1043" s="3"/>
      <c r="C1043" s="13" t="s">
        <v>2581</v>
      </c>
      <c r="D1043" s="39" t="s">
        <v>20</v>
      </c>
      <c r="E1043" s="4">
        <v>10</v>
      </c>
      <c r="F1043" s="101" t="s">
        <v>20</v>
      </c>
      <c r="G1043" s="57" t="s">
        <v>6165</v>
      </c>
      <c r="H1043" s="4"/>
      <c r="I1043" s="4"/>
      <c r="J1043" s="4"/>
      <c r="K1043" s="54"/>
      <c r="L1043" s="57"/>
      <c r="M1043" s="57"/>
      <c r="N1043" s="4"/>
      <c r="O1043" s="4"/>
      <c r="P1043" s="4"/>
      <c r="Q1043" s="767"/>
      <c r="R1043" s="767"/>
      <c r="S1043" s="4"/>
      <c r="T1043" s="4"/>
      <c r="U1043" s="4"/>
      <c r="V1043" s="4"/>
      <c r="W1043" s="4" t="s">
        <v>20</v>
      </c>
      <c r="X1043" s="4"/>
      <c r="Y1043" s="4" t="s">
        <v>4066</v>
      </c>
      <c r="Z1043" s="35"/>
      <c r="AA1043" s="1" t="str">
        <f>IFERROR(VLOOKUP(D:D,[1]Габариты!$A:$I,9,0),"")</f>
        <v>Вакансия</v>
      </c>
      <c r="AB1043" s="6" t="str">
        <f>IFERROR(VLOOKUP(D:D,[1]Габариты!$A:$D,4,0),"")</f>
        <v>ПУФ</v>
      </c>
      <c r="AC1043" s="39" t="str">
        <f t="shared" si="181"/>
        <v>М0424</v>
      </c>
      <c r="AD1043" s="13" t="str">
        <f t="shared" si="178"/>
        <v>FBS</v>
      </c>
    </row>
    <row r="1044" spans="1:30" s="6" customFormat="1" ht="20.100000000000001" customHeight="1" outlineLevel="1" x14ac:dyDescent="0.25">
      <c r="A1044" s="635" t="s">
        <v>59</v>
      </c>
      <c r="B1044" s="3"/>
      <c r="C1044" s="13" t="s">
        <v>2581</v>
      </c>
      <c r="D1044" s="39" t="s">
        <v>3</v>
      </c>
      <c r="E1044" s="4">
        <v>10</v>
      </c>
      <c r="F1044" s="101" t="s">
        <v>3</v>
      </c>
      <c r="G1044" s="57" t="s">
        <v>6159</v>
      </c>
      <c r="H1044" s="4" t="s">
        <v>7138</v>
      </c>
      <c r="I1044" s="4"/>
      <c r="J1044" s="4"/>
      <c r="K1044" s="54"/>
      <c r="L1044" s="57"/>
      <c r="M1044" s="57"/>
      <c r="N1044" s="4" t="s">
        <v>7731</v>
      </c>
      <c r="O1044" s="4">
        <v>267316968</v>
      </c>
      <c r="P1044" s="4">
        <v>267316980</v>
      </c>
      <c r="Q1044" s="767" t="s">
        <v>2773</v>
      </c>
      <c r="R1044" s="767">
        <v>348003931</v>
      </c>
      <c r="S1044" s="4">
        <v>348003960</v>
      </c>
      <c r="T1044" s="4"/>
      <c r="U1044" s="4"/>
      <c r="V1044" s="4"/>
      <c r="W1044" s="4" t="s">
        <v>3</v>
      </c>
      <c r="X1044" s="4" t="s">
        <v>800</v>
      </c>
      <c r="Y1044" s="4" t="s">
        <v>4066</v>
      </c>
      <c r="Z1044" s="35"/>
      <c r="AA1044" s="1" t="str">
        <f>IFERROR(VLOOKUP(D:D,[1]Габариты!$A:$I,9,0),"")</f>
        <v>Вакансия</v>
      </c>
      <c r="AB1044" s="6" t="str">
        <f>IFERROR(VLOOKUP(D:D,[1]Габариты!$A:$D,4,0),"")</f>
        <v>ПУФ</v>
      </c>
      <c r="AC1044" s="39" t="str">
        <f t="shared" si="181"/>
        <v>М0421</v>
      </c>
      <c r="AD1044" s="13" t="str">
        <f t="shared" ref="AD1044:AD1107" si="182">C1044</f>
        <v>FBS</v>
      </c>
    </row>
    <row r="1045" spans="1:30" s="6" customFormat="1" ht="20.100000000000001" customHeight="1" outlineLevel="1" x14ac:dyDescent="0.25">
      <c r="A1045" s="635" t="s">
        <v>404</v>
      </c>
      <c r="B1045" s="3"/>
      <c r="C1045" s="13" t="s">
        <v>3172</v>
      </c>
      <c r="D1045" s="39" t="s">
        <v>6</v>
      </c>
      <c r="E1045" s="4">
        <v>10</v>
      </c>
      <c r="F1045" s="101" t="s">
        <v>6</v>
      </c>
      <c r="G1045" s="57" t="s">
        <v>6161</v>
      </c>
      <c r="H1045" s="4"/>
      <c r="I1045" s="4" t="s">
        <v>1162</v>
      </c>
      <c r="J1045" s="4"/>
      <c r="K1045" s="54"/>
      <c r="L1045" s="57"/>
      <c r="M1045" s="57"/>
      <c r="N1045" s="4"/>
      <c r="O1045" s="4"/>
      <c r="P1045" s="4"/>
      <c r="Q1045" s="767" t="s">
        <v>2774</v>
      </c>
      <c r="R1045" s="767">
        <v>348014623</v>
      </c>
      <c r="S1045" s="4">
        <v>348014660</v>
      </c>
      <c r="T1045" s="4"/>
      <c r="U1045" s="4"/>
      <c r="V1045" s="4"/>
      <c r="W1045" s="4" t="s">
        <v>6</v>
      </c>
      <c r="X1045" s="4"/>
      <c r="Y1045" s="4" t="s">
        <v>4066</v>
      </c>
      <c r="Z1045" s="35"/>
      <c r="AA1045" s="1" t="str">
        <f>IFERROR(VLOOKUP(D:D,[1]Габариты!$A:$I,9,0),"")</f>
        <v>Вакансия</v>
      </c>
      <c r="AB1045" s="6" t="str">
        <f>IFERROR(VLOOKUP(D:D,[1]Габариты!$A:$D,4,0),"")</f>
        <v>ПУФ</v>
      </c>
      <c r="AC1045" s="39" t="str">
        <f t="shared" si="181"/>
        <v>М0509</v>
      </c>
      <c r="AD1045" s="13" t="str">
        <f t="shared" si="182"/>
        <v xml:space="preserve">СКГТ </v>
      </c>
    </row>
    <row r="1046" spans="1:30" s="6" customFormat="1" ht="20.100000000000001" customHeight="1" outlineLevel="1" x14ac:dyDescent="0.25">
      <c r="A1046" s="635" t="s">
        <v>40</v>
      </c>
      <c r="B1046" s="3"/>
      <c r="C1046" s="13" t="s">
        <v>3172</v>
      </c>
      <c r="D1046" s="39" t="s">
        <v>2</v>
      </c>
      <c r="E1046" s="4">
        <v>10</v>
      </c>
      <c r="F1046" s="101" t="s">
        <v>2</v>
      </c>
      <c r="G1046" s="57" t="s">
        <v>6162</v>
      </c>
      <c r="H1046" s="4"/>
      <c r="I1046" s="4" t="s">
        <v>1163</v>
      </c>
      <c r="J1046" s="4"/>
      <c r="K1046" s="54"/>
      <c r="L1046" s="57"/>
      <c r="M1046" s="57"/>
      <c r="N1046" s="4"/>
      <c r="O1046" s="4"/>
      <c r="P1046" s="4"/>
      <c r="Q1046" s="767" t="s">
        <v>2775</v>
      </c>
      <c r="R1046" s="767">
        <v>370385498</v>
      </c>
      <c r="S1046" s="4">
        <v>370385499</v>
      </c>
      <c r="T1046" s="4"/>
      <c r="U1046" s="4"/>
      <c r="V1046" s="4"/>
      <c r="W1046" s="4" t="s">
        <v>2</v>
      </c>
      <c r="X1046" s="4"/>
      <c r="Y1046" s="4" t="s">
        <v>4066</v>
      </c>
      <c r="Z1046" s="35"/>
      <c r="AA1046" s="1" t="str">
        <f>IFERROR(VLOOKUP(D:D,[1]Габариты!$A:$I,9,0),"")</f>
        <v>Вакансия</v>
      </c>
      <c r="AB1046" s="6" t="str">
        <f>IFERROR(VLOOKUP(D:D,[1]Габариты!$A:$D,4,0),"")</f>
        <v>ПУФ</v>
      </c>
      <c r="AC1046" s="39" t="str">
        <f t="shared" si="181"/>
        <v>М0519</v>
      </c>
      <c r="AD1046" s="13" t="str">
        <f t="shared" si="182"/>
        <v xml:space="preserve">СКГТ </v>
      </c>
    </row>
    <row r="1047" spans="1:30" s="6" customFormat="1" ht="20.100000000000001" customHeight="1" outlineLevel="1" x14ac:dyDescent="0.25">
      <c r="A1047" s="635" t="s">
        <v>405</v>
      </c>
      <c r="B1047" s="3"/>
      <c r="C1047" s="13" t="s">
        <v>3172</v>
      </c>
      <c r="D1047" s="39" t="s">
        <v>5</v>
      </c>
      <c r="E1047" s="4">
        <v>10</v>
      </c>
      <c r="F1047" s="101" t="s">
        <v>5</v>
      </c>
      <c r="G1047" s="57" t="s">
        <v>6160</v>
      </c>
      <c r="H1047" s="4"/>
      <c r="I1047" s="4" t="s">
        <v>1222</v>
      </c>
      <c r="J1047" s="4"/>
      <c r="K1047" s="54"/>
      <c r="L1047" s="57"/>
      <c r="M1047" s="57"/>
      <c r="N1047" s="4"/>
      <c r="O1047" s="4"/>
      <c r="P1047" s="4"/>
      <c r="Q1047" s="767" t="s">
        <v>2776</v>
      </c>
      <c r="R1047" s="767">
        <v>370382924</v>
      </c>
      <c r="S1047" s="4">
        <v>370382925</v>
      </c>
      <c r="T1047" s="4"/>
      <c r="U1047" s="4"/>
      <c r="V1047" s="4"/>
      <c r="W1047" s="4" t="s">
        <v>5</v>
      </c>
      <c r="X1047" s="4"/>
      <c r="Y1047" s="4" t="s">
        <v>4066</v>
      </c>
      <c r="Z1047" s="35"/>
      <c r="AA1047" s="1" t="str">
        <f>IFERROR(VLOOKUP(D:D,[1]Габариты!$A:$I,9,0),"")</f>
        <v>Вакансия</v>
      </c>
      <c r="AB1047" s="6" t="str">
        <f>IFERROR(VLOOKUP(D:D,[1]Габариты!$A:$D,4,0),"")</f>
        <v>ПУФ</v>
      </c>
      <c r="AC1047" s="39" t="str">
        <f t="shared" si="181"/>
        <v>М0518</v>
      </c>
      <c r="AD1047" s="13" t="str">
        <f t="shared" si="182"/>
        <v xml:space="preserve">СКГТ </v>
      </c>
    </row>
    <row r="1048" spans="1:30" s="1" customFormat="1" ht="20.100000000000001" customHeight="1" outlineLevel="1" x14ac:dyDescent="0.2">
      <c r="A1048" s="754" t="s">
        <v>434</v>
      </c>
      <c r="B1048" s="756" t="s">
        <v>3846</v>
      </c>
      <c r="C1048" s="13"/>
      <c r="D1048" s="42"/>
      <c r="E1048" s="4"/>
      <c r="F1048" s="101"/>
      <c r="G1048" s="57"/>
      <c r="H1048" s="4"/>
      <c r="I1048" s="4"/>
      <c r="J1048" s="4"/>
      <c r="K1048" s="54"/>
      <c r="L1048" s="57"/>
      <c r="M1048" s="57"/>
      <c r="N1048" s="4"/>
      <c r="O1048" s="4"/>
      <c r="P1048" s="4"/>
      <c r="Q1048" s="767"/>
      <c r="R1048" s="767"/>
      <c r="S1048" s="4"/>
      <c r="T1048" s="4"/>
      <c r="U1048" s="4"/>
      <c r="V1048" s="4"/>
      <c r="W1048" s="4"/>
      <c r="X1048" s="4"/>
      <c r="Y1048" s="4" t="s">
        <v>4066</v>
      </c>
      <c r="Z1048" s="35"/>
      <c r="AA1048" s="1" t="str">
        <f>IFERROR(VLOOKUP(D:D,[1]Габариты!$A:$I,9,0),"")</f>
        <v/>
      </c>
      <c r="AB1048" s="6" t="str">
        <f>IFERROR(VLOOKUP(D:D,[1]Габариты!$A:$D,4,0),"")</f>
        <v/>
      </c>
      <c r="AC1048" s="39"/>
      <c r="AD1048" s="3"/>
    </row>
    <row r="1049" spans="1:30" s="6" customFormat="1" ht="20.100000000000001" customHeight="1" outlineLevel="1" x14ac:dyDescent="0.25">
      <c r="A1049" s="635" t="s">
        <v>165</v>
      </c>
      <c r="B1049" s="3"/>
      <c r="C1049" s="13" t="s">
        <v>2581</v>
      </c>
      <c r="D1049" s="39">
        <v>2670</v>
      </c>
      <c r="E1049" s="4">
        <v>47</v>
      </c>
      <c r="F1049" s="101">
        <v>2670</v>
      </c>
      <c r="G1049" s="57" t="s">
        <v>4864</v>
      </c>
      <c r="H1049" s="4"/>
      <c r="I1049" s="4" t="s">
        <v>1253</v>
      </c>
      <c r="J1049" s="4"/>
      <c r="K1049" s="54"/>
      <c r="L1049" s="57"/>
      <c r="M1049" s="57"/>
      <c r="N1049" s="4" t="s">
        <v>644</v>
      </c>
      <c r="O1049" s="4">
        <v>266600053</v>
      </c>
      <c r="P1049" s="4">
        <v>266600065</v>
      </c>
      <c r="Q1049" s="767" t="s">
        <v>2803</v>
      </c>
      <c r="R1049" s="767">
        <v>348142353</v>
      </c>
      <c r="S1049" s="4">
        <v>348142386</v>
      </c>
      <c r="T1049" s="4"/>
      <c r="U1049" s="4"/>
      <c r="V1049" s="4"/>
      <c r="W1049" s="4" t="s">
        <v>2269</v>
      </c>
      <c r="X1049" s="4" t="s">
        <v>644</v>
      </c>
      <c r="Y1049" s="4" t="s">
        <v>4066</v>
      </c>
      <c r="Z1049" s="35"/>
      <c r="AA1049" s="1" t="str">
        <f>IFERROR(VLOOKUP(D:D,[1]Габариты!$A:$I,9,0),"")</f>
        <v>Вакансия</v>
      </c>
      <c r="AB1049" s="6" t="str">
        <f>IFERROR(VLOOKUP(D:D,[1]Габариты!$A:$D,4,0),"")</f>
        <v>СТЕЛЛАЖИ</v>
      </c>
      <c r="AC1049" s="39">
        <f t="shared" si="181"/>
        <v>2670</v>
      </c>
      <c r="AD1049" s="13" t="str">
        <f t="shared" si="182"/>
        <v>FBS</v>
      </c>
    </row>
    <row r="1050" spans="1:30" s="6" customFormat="1" ht="20.100000000000001" customHeight="1" outlineLevel="1" x14ac:dyDescent="0.25">
      <c r="A1050" s="665" t="s">
        <v>243</v>
      </c>
      <c r="B1050" s="2"/>
      <c r="C1050" s="13" t="s">
        <v>3172</v>
      </c>
      <c r="D1050" s="39">
        <v>3000</v>
      </c>
      <c r="E1050" s="4">
        <v>21</v>
      </c>
      <c r="F1050" s="101">
        <v>3000</v>
      </c>
      <c r="G1050" s="57" t="s">
        <v>4941</v>
      </c>
      <c r="H1050" s="4" t="s">
        <v>7139</v>
      </c>
      <c r="I1050" s="4"/>
      <c r="J1050" s="4"/>
      <c r="K1050" s="54"/>
      <c r="L1050" s="57"/>
      <c r="M1050" s="57"/>
      <c r="N1050" s="4" t="s">
        <v>722</v>
      </c>
      <c r="O1050" s="4">
        <v>286304405</v>
      </c>
      <c r="P1050" s="4">
        <v>286304409</v>
      </c>
      <c r="Q1050" s="767" t="s">
        <v>2780</v>
      </c>
      <c r="R1050" s="767">
        <v>384604205</v>
      </c>
      <c r="S1050" s="4">
        <v>384604204</v>
      </c>
      <c r="T1050" s="4"/>
      <c r="U1050" s="4"/>
      <c r="V1050" s="4"/>
      <c r="W1050" s="4" t="s">
        <v>2224</v>
      </c>
      <c r="X1050" s="4" t="s">
        <v>722</v>
      </c>
      <c r="Y1050" s="4" t="s">
        <v>4066</v>
      </c>
      <c r="Z1050" s="35"/>
      <c r="AA1050" s="1" t="str">
        <f>IFERROR(VLOOKUP(D:D,[1]Габариты!$A:$I,9,0),"")</f>
        <v>Вакансия</v>
      </c>
      <c r="AB1050" s="6" t="str">
        <f>IFERROR(VLOOKUP(D:D,[1]Габариты!$A:$D,4,0),"")</f>
        <v>СТЕЛЛАЖИ</v>
      </c>
      <c r="AC1050" s="39">
        <f t="shared" si="181"/>
        <v>3000</v>
      </c>
      <c r="AD1050" s="13" t="str">
        <f t="shared" si="182"/>
        <v xml:space="preserve">СКГТ </v>
      </c>
    </row>
    <row r="1051" spans="1:30" s="6" customFormat="1" ht="20.100000000000001" customHeight="1" outlineLevel="1" x14ac:dyDescent="0.25">
      <c r="A1051" s="665" t="s">
        <v>244</v>
      </c>
      <c r="B1051" s="8"/>
      <c r="C1051" s="13" t="s">
        <v>3172</v>
      </c>
      <c r="D1051" s="39">
        <v>3001</v>
      </c>
      <c r="E1051" s="4">
        <v>21</v>
      </c>
      <c r="F1051" s="101">
        <v>3001</v>
      </c>
      <c r="G1051" s="57" t="s">
        <v>4942</v>
      </c>
      <c r="H1051" s="4" t="s">
        <v>7140</v>
      </c>
      <c r="I1051" s="4"/>
      <c r="J1051" s="4"/>
      <c r="K1051" s="54"/>
      <c r="L1051" s="57"/>
      <c r="M1051" s="57"/>
      <c r="N1051" s="4" t="s">
        <v>723</v>
      </c>
      <c r="O1051" s="4">
        <v>278267426</v>
      </c>
      <c r="P1051" s="4">
        <v>278267449</v>
      </c>
      <c r="Q1051" s="767" t="s">
        <v>2781</v>
      </c>
      <c r="R1051" s="767">
        <v>355501075</v>
      </c>
      <c r="S1051" s="4">
        <v>355501074</v>
      </c>
      <c r="T1051" s="4"/>
      <c r="U1051" s="4"/>
      <c r="V1051" s="4"/>
      <c r="W1051" s="4" t="s">
        <v>2225</v>
      </c>
      <c r="X1051" s="4" t="s">
        <v>723</v>
      </c>
      <c r="Y1051" s="4" t="s">
        <v>4066</v>
      </c>
      <c r="Z1051" s="35"/>
      <c r="AA1051" s="1" t="str">
        <f>IFERROR(VLOOKUP(D:D,[1]Габариты!$A:$I,9,0),"")</f>
        <v>Вакансия</v>
      </c>
      <c r="AB1051" s="6" t="str">
        <f>IFERROR(VLOOKUP(D:D,[1]Габариты!$A:$D,4,0),"")</f>
        <v>СТЕЛЛАЖИ</v>
      </c>
      <c r="AC1051" s="39">
        <f t="shared" si="181"/>
        <v>3001</v>
      </c>
      <c r="AD1051" s="13" t="str">
        <f t="shared" si="182"/>
        <v xml:space="preserve">СКГТ </v>
      </c>
    </row>
    <row r="1052" spans="1:30" s="6" customFormat="1" ht="20.100000000000001" customHeight="1" outlineLevel="1" x14ac:dyDescent="0.25">
      <c r="A1052" s="635" t="s">
        <v>25</v>
      </c>
      <c r="B1052" s="3"/>
      <c r="C1052" s="13" t="s">
        <v>3172</v>
      </c>
      <c r="D1052" s="39">
        <v>2662</v>
      </c>
      <c r="E1052" s="4">
        <v>24</v>
      </c>
      <c r="F1052" s="101">
        <v>2662</v>
      </c>
      <c r="G1052" s="57"/>
      <c r="H1052" s="4"/>
      <c r="I1052" s="4"/>
      <c r="J1052" s="4"/>
      <c r="K1052" s="54" t="s">
        <v>2231</v>
      </c>
      <c r="L1052" s="57">
        <v>248012216</v>
      </c>
      <c r="M1052" s="57">
        <v>248012216</v>
      </c>
      <c r="N1052" s="4"/>
      <c r="O1052" s="4"/>
      <c r="P1052" s="4"/>
      <c r="Q1052" s="767" t="s">
        <v>2784</v>
      </c>
      <c r="R1052" s="767">
        <v>371824631</v>
      </c>
      <c r="S1052" s="4">
        <v>371824630</v>
      </c>
      <c r="T1052" s="4"/>
      <c r="U1052" s="4"/>
      <c r="V1052" s="4"/>
      <c r="W1052" s="4" t="s">
        <v>2231</v>
      </c>
      <c r="X1052" s="4"/>
      <c r="Y1052" s="4" t="s">
        <v>4066</v>
      </c>
      <c r="Z1052" s="35"/>
      <c r="AA1052" s="1" t="str">
        <f>IFERROR(VLOOKUP(D:D,[1]Габариты!$A:$I,9,0),"")</f>
        <v>Вакансия</v>
      </c>
      <c r="AB1052" s="6" t="str">
        <f>IFERROR(VLOOKUP(D:D,[1]Габариты!$A:$D,4,0),"")</f>
        <v>СТЕЛЛАЖИ</v>
      </c>
      <c r="AC1052" s="39">
        <f t="shared" si="181"/>
        <v>2662</v>
      </c>
      <c r="AD1052" s="13" t="str">
        <f t="shared" si="182"/>
        <v xml:space="preserve">СКГТ </v>
      </c>
    </row>
    <row r="1053" spans="1:30" s="6" customFormat="1" ht="20.100000000000001" customHeight="1" outlineLevel="1" x14ac:dyDescent="0.25">
      <c r="A1053" s="665" t="s">
        <v>250</v>
      </c>
      <c r="B1053" s="2"/>
      <c r="C1053" s="13" t="s">
        <v>2581</v>
      </c>
      <c r="D1053" s="39">
        <v>3007</v>
      </c>
      <c r="E1053" s="4">
        <v>19</v>
      </c>
      <c r="F1053" s="101">
        <v>3007</v>
      </c>
      <c r="G1053" s="57" t="s">
        <v>4947</v>
      </c>
      <c r="H1053" s="4"/>
      <c r="I1053" s="4"/>
      <c r="J1053" s="4"/>
      <c r="K1053" s="54"/>
      <c r="L1053" s="57"/>
      <c r="M1053" s="57"/>
      <c r="N1053" s="4" t="s">
        <v>729</v>
      </c>
      <c r="O1053" s="4">
        <v>284250813</v>
      </c>
      <c r="P1053" s="4">
        <v>284250822</v>
      </c>
      <c r="Q1053" s="767"/>
      <c r="R1053" s="767"/>
      <c r="S1053" s="4"/>
      <c r="T1053" s="4"/>
      <c r="U1053" s="4"/>
      <c r="V1053" s="4"/>
      <c r="W1053" s="4" t="s">
        <v>2237</v>
      </c>
      <c r="X1053" s="4" t="s">
        <v>729</v>
      </c>
      <c r="Y1053" s="4" t="s">
        <v>4066</v>
      </c>
      <c r="Z1053" s="35"/>
      <c r="AA1053" s="1" t="str">
        <f>IFERROR(VLOOKUP(D:D,[1]Габариты!$A:$I,9,0),"")</f>
        <v>Вакансия</v>
      </c>
      <c r="AB1053" s="6" t="str">
        <f>IFERROR(VLOOKUP(D:D,[1]Габариты!$A:$D,4,0),"")</f>
        <v>СТЕЛЛАЖИ</v>
      </c>
      <c r="AC1053" s="39">
        <f t="shared" si="181"/>
        <v>3007</v>
      </c>
      <c r="AD1053" s="13" t="str">
        <f t="shared" si="182"/>
        <v>FBS</v>
      </c>
    </row>
    <row r="1054" spans="1:30" s="6" customFormat="1" ht="20.100000000000001" customHeight="1" outlineLevel="1" x14ac:dyDescent="0.25">
      <c r="A1054" s="635" t="s">
        <v>366</v>
      </c>
      <c r="B1054" s="3"/>
      <c r="C1054" s="13" t="s">
        <v>2582</v>
      </c>
      <c r="D1054" s="39">
        <v>580325</v>
      </c>
      <c r="E1054" s="4"/>
      <c r="F1054" s="101">
        <v>580325</v>
      </c>
      <c r="G1054" s="57"/>
      <c r="H1054" s="4" t="s">
        <v>7141</v>
      </c>
      <c r="I1054" s="4" t="s">
        <v>1227</v>
      </c>
      <c r="J1054" s="4"/>
      <c r="K1054" s="54"/>
      <c r="L1054" s="57"/>
      <c r="M1054" s="57"/>
      <c r="N1054" s="4"/>
      <c r="O1054" s="4"/>
      <c r="P1054" s="4"/>
      <c r="Q1054" s="767"/>
      <c r="R1054" s="767"/>
      <c r="S1054" s="4"/>
      <c r="T1054" s="4"/>
      <c r="U1054" s="4"/>
      <c r="V1054" s="4"/>
      <c r="W1054" s="4"/>
      <c r="X1054" s="4" t="s">
        <v>792</v>
      </c>
      <c r="Y1054" s="4" t="s">
        <v>4066</v>
      </c>
      <c r="Z1054" s="35"/>
      <c r="AA1054" s="1" t="str">
        <f>IFERROR(VLOOKUP(D:D,[1]Габариты!$A:$I,9,0),"")</f>
        <v>Вакансия</v>
      </c>
      <c r="AB1054" s="6" t="str">
        <f>IFERROR(VLOOKUP(D:D,[1]Габариты!$A:$D,4,0),"")</f>
        <v>СТЕЛЛАЖИ</v>
      </c>
      <c r="AC1054" s="39">
        <f t="shared" si="181"/>
        <v>580325</v>
      </c>
      <c r="AD1054" s="13" t="str">
        <f t="shared" si="182"/>
        <v>FBO</v>
      </c>
    </row>
    <row r="1055" spans="1:30" s="6" customFormat="1" ht="20.100000000000001" customHeight="1" outlineLevel="1" x14ac:dyDescent="0.25">
      <c r="A1055" s="635" t="s">
        <v>369</v>
      </c>
      <c r="B1055" s="3"/>
      <c r="C1055" s="13" t="s">
        <v>2582</v>
      </c>
      <c r="D1055" s="39">
        <v>580333</v>
      </c>
      <c r="E1055" s="4"/>
      <c r="F1055" s="101">
        <v>580333</v>
      </c>
      <c r="G1055" s="57"/>
      <c r="H1055" s="4" t="s">
        <v>7142</v>
      </c>
      <c r="I1055" s="4" t="s">
        <v>1228</v>
      </c>
      <c r="J1055" s="4"/>
      <c r="K1055" s="54"/>
      <c r="L1055" s="57"/>
      <c r="M1055" s="57"/>
      <c r="N1055" s="4"/>
      <c r="O1055" s="4"/>
      <c r="P1055" s="4"/>
      <c r="Q1055" s="767"/>
      <c r="R1055" s="767"/>
      <c r="S1055" s="4"/>
      <c r="T1055" s="4"/>
      <c r="U1055" s="4"/>
      <c r="V1055" s="4"/>
      <c r="W1055" s="4"/>
      <c r="X1055" s="4" t="s">
        <v>794</v>
      </c>
      <c r="Y1055" s="4" t="s">
        <v>4066</v>
      </c>
      <c r="Z1055" s="35"/>
      <c r="AA1055" s="1" t="str">
        <f>IFERROR(VLOOKUP(D:D,[1]Габариты!$A:$I,9,0),"")</f>
        <v>Вакансия</v>
      </c>
      <c r="AB1055" s="6" t="str">
        <f>IFERROR(VLOOKUP(D:D,[1]Габариты!$A:$D,4,0),"")</f>
        <v>СТЕЛЛАЖИ</v>
      </c>
      <c r="AC1055" s="39">
        <f t="shared" si="181"/>
        <v>580333</v>
      </c>
      <c r="AD1055" s="13" t="str">
        <f t="shared" si="182"/>
        <v>FBO</v>
      </c>
    </row>
    <row r="1056" spans="1:30" s="6" customFormat="1" ht="20.100000000000001" customHeight="1" outlineLevel="1" x14ac:dyDescent="0.25">
      <c r="A1056" s="635" t="s">
        <v>374</v>
      </c>
      <c r="B1056" s="3"/>
      <c r="C1056" s="13" t="s">
        <v>2582</v>
      </c>
      <c r="D1056" s="39">
        <v>580349</v>
      </c>
      <c r="E1056" s="4"/>
      <c r="F1056" s="101">
        <v>580349</v>
      </c>
      <c r="G1056" s="57"/>
      <c r="H1056" s="4" t="s">
        <v>7143</v>
      </c>
      <c r="I1056" s="4" t="s">
        <v>1229</v>
      </c>
      <c r="J1056" s="4"/>
      <c r="K1056" s="54"/>
      <c r="L1056" s="57"/>
      <c r="M1056" s="57"/>
      <c r="N1056" s="4" t="s">
        <v>797</v>
      </c>
      <c r="O1056" s="4">
        <v>295694344</v>
      </c>
      <c r="P1056" s="4">
        <v>295694347</v>
      </c>
      <c r="Q1056" s="767"/>
      <c r="R1056" s="767"/>
      <c r="S1056" s="4"/>
      <c r="T1056" s="4"/>
      <c r="U1056" s="4"/>
      <c r="V1056" s="4"/>
      <c r="W1056" s="4"/>
      <c r="X1056" s="4" t="s">
        <v>797</v>
      </c>
      <c r="Y1056" s="4" t="s">
        <v>4066</v>
      </c>
      <c r="Z1056" s="35"/>
      <c r="AA1056" s="1" t="str">
        <f>IFERROR(VLOOKUP(D:D,[1]Габариты!$A:$I,9,0),"")</f>
        <v>Вакансия</v>
      </c>
      <c r="AB1056" s="6" t="str">
        <f>IFERROR(VLOOKUP(D:D,[1]Габариты!$A:$D,4,0),"")</f>
        <v>СТЕЛЛАЖИ</v>
      </c>
      <c r="AC1056" s="39">
        <f t="shared" si="181"/>
        <v>580349</v>
      </c>
      <c r="AD1056" s="13" t="str">
        <f t="shared" si="182"/>
        <v>FBO</v>
      </c>
    </row>
    <row r="1057" spans="1:30" s="6" customFormat="1" ht="20.100000000000001" customHeight="1" outlineLevel="1" x14ac:dyDescent="0.25">
      <c r="A1057" s="635" t="s">
        <v>370</v>
      </c>
      <c r="B1057" s="3"/>
      <c r="C1057" s="13" t="s">
        <v>2582</v>
      </c>
      <c r="D1057" s="39">
        <v>580334</v>
      </c>
      <c r="E1057" s="4"/>
      <c r="F1057" s="101">
        <v>580334</v>
      </c>
      <c r="G1057" s="57"/>
      <c r="H1057" s="4" t="s">
        <v>7144</v>
      </c>
      <c r="I1057" s="4" t="s">
        <v>1230</v>
      </c>
      <c r="J1057" s="4"/>
      <c r="K1057" s="54"/>
      <c r="L1057" s="57"/>
      <c r="M1057" s="57"/>
      <c r="N1057" s="4" t="s">
        <v>795</v>
      </c>
      <c r="O1057" s="4">
        <v>298804215</v>
      </c>
      <c r="P1057" s="4">
        <v>298804223</v>
      </c>
      <c r="Q1057" s="767"/>
      <c r="R1057" s="767"/>
      <c r="S1057" s="4"/>
      <c r="T1057" s="4"/>
      <c r="U1057" s="4"/>
      <c r="V1057" s="4"/>
      <c r="W1057" s="4"/>
      <c r="X1057" s="4" t="s">
        <v>795</v>
      </c>
      <c r="Y1057" s="4" t="s">
        <v>4066</v>
      </c>
      <c r="Z1057" s="35"/>
      <c r="AA1057" s="1" t="str">
        <f>IFERROR(VLOOKUP(D:D,[1]Габариты!$A:$I,9,0),"")</f>
        <v>Вакансия</v>
      </c>
      <c r="AB1057" s="6" t="str">
        <f>IFERROR(VLOOKUP(D:D,[1]Габариты!$A:$D,4,0),"")</f>
        <v>СТЕЛЛАЖИ</v>
      </c>
      <c r="AC1057" s="39">
        <f t="shared" si="181"/>
        <v>580334</v>
      </c>
      <c r="AD1057" s="13" t="str">
        <f t="shared" si="182"/>
        <v>FBO</v>
      </c>
    </row>
    <row r="1058" spans="1:30" s="6" customFormat="1" ht="20.100000000000001" customHeight="1" outlineLevel="1" x14ac:dyDescent="0.25">
      <c r="A1058" s="635" t="s">
        <v>375</v>
      </c>
      <c r="B1058" s="3"/>
      <c r="C1058" s="13" t="s">
        <v>2582</v>
      </c>
      <c r="D1058" s="39">
        <v>580350</v>
      </c>
      <c r="E1058" s="4"/>
      <c r="F1058" s="101">
        <v>580350</v>
      </c>
      <c r="G1058" s="57"/>
      <c r="H1058" s="4" t="s">
        <v>7145</v>
      </c>
      <c r="I1058" s="4" t="s">
        <v>1231</v>
      </c>
      <c r="J1058" s="4"/>
      <c r="K1058" s="54"/>
      <c r="L1058" s="57"/>
      <c r="M1058" s="57"/>
      <c r="N1058" s="4" t="s">
        <v>798</v>
      </c>
      <c r="O1058" s="4">
        <v>298800926</v>
      </c>
      <c r="P1058" s="4">
        <v>298800937</v>
      </c>
      <c r="Q1058" s="767"/>
      <c r="R1058" s="767"/>
      <c r="S1058" s="4"/>
      <c r="T1058" s="4"/>
      <c r="U1058" s="4"/>
      <c r="V1058" s="4"/>
      <c r="W1058" s="4"/>
      <c r="X1058" s="4" t="s">
        <v>798</v>
      </c>
      <c r="Y1058" s="4" t="s">
        <v>4066</v>
      </c>
      <c r="Z1058" s="35"/>
      <c r="AA1058" s="1" t="str">
        <f>IFERROR(VLOOKUP(D:D,[1]Габариты!$A:$I,9,0),"")</f>
        <v>Вакансия</v>
      </c>
      <c r="AB1058" s="6" t="str">
        <f>IFERROR(VLOOKUP(D:D,[1]Габариты!$A:$D,4,0),"")</f>
        <v>СТЕЛЛАЖИ</v>
      </c>
      <c r="AC1058" s="39">
        <f t="shared" si="181"/>
        <v>580350</v>
      </c>
      <c r="AD1058" s="13" t="str">
        <f t="shared" si="182"/>
        <v>FBO</v>
      </c>
    </row>
    <row r="1059" spans="1:30" s="6" customFormat="1" ht="20.100000000000001" customHeight="1" outlineLevel="1" x14ac:dyDescent="0.25">
      <c r="A1059" s="635" t="s">
        <v>368</v>
      </c>
      <c r="B1059" s="3"/>
      <c r="C1059" s="13" t="s">
        <v>2582</v>
      </c>
      <c r="D1059" s="39">
        <v>580327</v>
      </c>
      <c r="E1059" s="4"/>
      <c r="F1059" s="101">
        <v>580327</v>
      </c>
      <c r="G1059" s="57"/>
      <c r="H1059" s="4" t="s">
        <v>7146</v>
      </c>
      <c r="I1059" s="4" t="s">
        <v>1232</v>
      </c>
      <c r="J1059" s="4"/>
      <c r="K1059" s="54"/>
      <c r="L1059" s="57"/>
      <c r="M1059" s="57"/>
      <c r="N1059" s="4" t="s">
        <v>793</v>
      </c>
      <c r="O1059" s="4">
        <v>294013215</v>
      </c>
      <c r="P1059" s="4">
        <v>294013219</v>
      </c>
      <c r="Q1059" s="767"/>
      <c r="R1059" s="767"/>
      <c r="S1059" s="4"/>
      <c r="T1059" s="4"/>
      <c r="U1059" s="4"/>
      <c r="V1059" s="4"/>
      <c r="W1059" s="4"/>
      <c r="X1059" s="4" t="s">
        <v>793</v>
      </c>
      <c r="Y1059" s="4" t="s">
        <v>4066</v>
      </c>
      <c r="Z1059" s="35"/>
      <c r="AA1059" s="1" t="str">
        <f>IFERROR(VLOOKUP(D:D,[1]Габариты!$A:$I,9,0),"")</f>
        <v>Вакансия</v>
      </c>
      <c r="AB1059" s="6" t="str">
        <f>IFERROR(VLOOKUP(D:D,[1]Габариты!$A:$D,4,0),"")</f>
        <v>СТЕЛЛАЖИ</v>
      </c>
      <c r="AC1059" s="39">
        <f t="shared" si="181"/>
        <v>580327</v>
      </c>
      <c r="AD1059" s="13" t="str">
        <f t="shared" si="182"/>
        <v>FBO</v>
      </c>
    </row>
    <row r="1060" spans="1:30" s="6" customFormat="1" ht="20.100000000000001" customHeight="1" outlineLevel="1" x14ac:dyDescent="0.25">
      <c r="A1060" s="635" t="s">
        <v>371</v>
      </c>
      <c r="B1060" s="3"/>
      <c r="C1060" s="13" t="s">
        <v>2582</v>
      </c>
      <c r="D1060" s="39">
        <v>580335</v>
      </c>
      <c r="E1060" s="4"/>
      <c r="F1060" s="101">
        <v>580335</v>
      </c>
      <c r="G1060" s="57"/>
      <c r="H1060" s="4" t="s">
        <v>7147</v>
      </c>
      <c r="I1060" s="4" t="s">
        <v>1233</v>
      </c>
      <c r="J1060" s="4"/>
      <c r="K1060" s="54"/>
      <c r="L1060" s="57"/>
      <c r="M1060" s="57"/>
      <c r="N1060" s="4" t="s">
        <v>796</v>
      </c>
      <c r="O1060" s="4">
        <v>293279468</v>
      </c>
      <c r="P1060" s="4">
        <v>293279470</v>
      </c>
      <c r="Q1060" s="767"/>
      <c r="R1060" s="767"/>
      <c r="S1060" s="4"/>
      <c r="T1060" s="4"/>
      <c r="U1060" s="4"/>
      <c r="V1060" s="4"/>
      <c r="W1060" s="4"/>
      <c r="X1060" s="4" t="s">
        <v>796</v>
      </c>
      <c r="Y1060" s="4" t="s">
        <v>4066</v>
      </c>
      <c r="Z1060" s="35"/>
      <c r="AA1060" s="1" t="str">
        <f>IFERROR(VLOOKUP(D:D,[1]Габариты!$A:$I,9,0),"")</f>
        <v>Вакансия</v>
      </c>
      <c r="AB1060" s="6" t="str">
        <f>IFERROR(VLOOKUP(D:D,[1]Габариты!$A:$D,4,0),"")</f>
        <v>СТЕЛЛАЖИ</v>
      </c>
      <c r="AC1060" s="39">
        <f t="shared" si="181"/>
        <v>580335</v>
      </c>
      <c r="AD1060" s="13" t="str">
        <f t="shared" si="182"/>
        <v>FBO</v>
      </c>
    </row>
    <row r="1061" spans="1:30" s="6" customFormat="1" ht="20.100000000000001" customHeight="1" outlineLevel="1" x14ac:dyDescent="0.25">
      <c r="A1061" s="635" t="s">
        <v>372</v>
      </c>
      <c r="B1061" s="3"/>
      <c r="C1061" s="13" t="s">
        <v>2581</v>
      </c>
      <c r="D1061" s="39">
        <v>580336</v>
      </c>
      <c r="E1061" s="4"/>
      <c r="F1061" s="101">
        <v>580336</v>
      </c>
      <c r="G1061" s="57"/>
      <c r="H1061" s="4"/>
      <c r="I1061" s="4"/>
      <c r="J1061" s="4"/>
      <c r="K1061" s="54"/>
      <c r="L1061" s="57"/>
      <c r="M1061" s="57"/>
      <c r="N1061" s="766" t="s">
        <v>869</v>
      </c>
      <c r="O1061" s="4">
        <v>295785723</v>
      </c>
      <c r="P1061" s="4">
        <v>295785768</v>
      </c>
      <c r="Q1061" s="767"/>
      <c r="R1061" s="767"/>
      <c r="S1061" s="4"/>
      <c r="T1061" s="4"/>
      <c r="U1061" s="4"/>
      <c r="V1061" s="4"/>
      <c r="W1061" s="4"/>
      <c r="X1061" s="4" t="s">
        <v>869</v>
      </c>
      <c r="Y1061" s="4" t="s">
        <v>4066</v>
      </c>
      <c r="Z1061" s="35"/>
      <c r="AA1061" s="1" t="str">
        <f>IFERROR(VLOOKUP(D:D,[1]Габариты!$A:$I,9,0),"")</f>
        <v>Вакансия</v>
      </c>
      <c r="AB1061" s="6" t="str">
        <f>IFERROR(VLOOKUP(D:D,[1]Габариты!$A:$D,4,0),"")</f>
        <v>СТЕЛЛАЖИ</v>
      </c>
      <c r="AC1061" s="39">
        <f t="shared" si="181"/>
        <v>580336</v>
      </c>
      <c r="AD1061" s="13" t="str">
        <f t="shared" si="182"/>
        <v>FBS</v>
      </c>
    </row>
    <row r="1062" spans="1:30" s="6" customFormat="1" ht="20.100000000000001" customHeight="1" outlineLevel="1" x14ac:dyDescent="0.25">
      <c r="A1062" s="635" t="s">
        <v>377</v>
      </c>
      <c r="B1062" s="3"/>
      <c r="C1062" s="13" t="s">
        <v>2581</v>
      </c>
      <c r="D1062" s="39">
        <v>580352</v>
      </c>
      <c r="E1062" s="4"/>
      <c r="F1062" s="101">
        <v>580352</v>
      </c>
      <c r="G1062" s="57"/>
      <c r="H1062" s="4"/>
      <c r="I1062" s="4"/>
      <c r="J1062" s="4"/>
      <c r="K1062" s="54"/>
      <c r="L1062" s="57"/>
      <c r="M1062" s="57"/>
      <c r="N1062" s="806" t="s">
        <v>7670</v>
      </c>
      <c r="O1062" s="4">
        <v>296091302</v>
      </c>
      <c r="P1062" s="4">
        <v>296091303</v>
      </c>
      <c r="Q1062" s="767"/>
      <c r="R1062" s="767"/>
      <c r="S1062" s="4"/>
      <c r="T1062" s="4"/>
      <c r="U1062" s="4"/>
      <c r="V1062" s="4"/>
      <c r="W1062" s="4"/>
      <c r="X1062" s="4"/>
      <c r="Y1062" s="4" t="s">
        <v>4066</v>
      </c>
      <c r="Z1062" s="35"/>
      <c r="AA1062" s="1" t="str">
        <f>IFERROR(VLOOKUP(D:D,[1]Габариты!$A:$I,9,0),"")</f>
        <v>Вакансия</v>
      </c>
      <c r="AB1062" s="6" t="str">
        <f>IFERROR(VLOOKUP(D:D,[1]Габариты!$A:$D,4,0),"")</f>
        <v>СТЕЛЛАЖИ</v>
      </c>
      <c r="AC1062" s="39">
        <f t="shared" si="181"/>
        <v>580352</v>
      </c>
      <c r="AD1062" s="13" t="str">
        <f t="shared" si="182"/>
        <v>FBS</v>
      </c>
    </row>
    <row r="1063" spans="1:30" s="6" customFormat="1" ht="20.100000000000001" customHeight="1" outlineLevel="1" x14ac:dyDescent="0.25">
      <c r="A1063" s="635" t="s">
        <v>373</v>
      </c>
      <c r="B1063" s="3"/>
      <c r="C1063" s="13" t="s">
        <v>3172</v>
      </c>
      <c r="D1063" s="39">
        <v>580337</v>
      </c>
      <c r="E1063" s="4"/>
      <c r="F1063" s="101">
        <v>580337</v>
      </c>
      <c r="G1063" s="57"/>
      <c r="H1063" s="4"/>
      <c r="I1063" s="4"/>
      <c r="J1063" s="4"/>
      <c r="K1063" s="54"/>
      <c r="L1063" s="57"/>
      <c r="M1063" s="57"/>
      <c r="N1063" s="806" t="s">
        <v>7671</v>
      </c>
      <c r="O1063" s="4">
        <v>295786004</v>
      </c>
      <c r="P1063" s="4">
        <v>295786025</v>
      </c>
      <c r="Q1063" s="767"/>
      <c r="R1063" s="767"/>
      <c r="S1063" s="4"/>
      <c r="T1063" s="4"/>
      <c r="U1063" s="4"/>
      <c r="V1063" s="4"/>
      <c r="W1063" s="4"/>
      <c r="X1063" s="4"/>
      <c r="Y1063" s="4" t="s">
        <v>4066</v>
      </c>
      <c r="Z1063" s="35"/>
      <c r="AA1063" s="1" t="str">
        <f>IFERROR(VLOOKUP(D:D,[1]Габариты!$A:$I,9,0),"")</f>
        <v>Вакансия</v>
      </c>
      <c r="AB1063" s="6" t="str">
        <f>IFERROR(VLOOKUP(D:D,[1]Габариты!$A:$D,4,0),"")</f>
        <v>СТЕЛЛАЖИ</v>
      </c>
      <c r="AC1063" s="39">
        <f t="shared" si="181"/>
        <v>580337</v>
      </c>
      <c r="AD1063" s="13" t="str">
        <f t="shared" si="182"/>
        <v xml:space="preserve">СКГТ </v>
      </c>
    </row>
    <row r="1064" spans="1:30" s="6" customFormat="1" ht="20.100000000000001" customHeight="1" outlineLevel="1" x14ac:dyDescent="0.25">
      <c r="A1064" s="635" t="s">
        <v>378</v>
      </c>
      <c r="B1064" s="3"/>
      <c r="C1064" s="13" t="s">
        <v>3172</v>
      </c>
      <c r="D1064" s="39">
        <v>580353</v>
      </c>
      <c r="E1064" s="4"/>
      <c r="F1064" s="101">
        <v>580353</v>
      </c>
      <c r="G1064" s="57"/>
      <c r="H1064" s="4"/>
      <c r="I1064" s="4"/>
      <c r="J1064" s="4"/>
      <c r="K1064" s="54"/>
      <c r="L1064" s="57"/>
      <c r="M1064" s="57"/>
      <c r="N1064" s="806" t="s">
        <v>7672</v>
      </c>
      <c r="O1064" s="4">
        <v>295184095</v>
      </c>
      <c r="P1064" s="4">
        <v>295184137</v>
      </c>
      <c r="Q1064" s="767"/>
      <c r="R1064" s="767"/>
      <c r="S1064" s="4"/>
      <c r="T1064" s="4"/>
      <c r="U1064" s="4"/>
      <c r="V1064" s="4"/>
      <c r="W1064" s="4"/>
      <c r="X1064" s="4"/>
      <c r="Y1064" s="4" t="s">
        <v>4066</v>
      </c>
      <c r="Z1064" s="35"/>
      <c r="AA1064" s="1" t="str">
        <f>IFERROR(VLOOKUP(D:D,[1]Габариты!$A:$I,9,0),"")</f>
        <v>Вакансия</v>
      </c>
      <c r="AB1064" s="6" t="str">
        <f>IFERROR(VLOOKUP(D:D,[1]Габариты!$A:$D,4,0),"")</f>
        <v>СТЕЛЛАЖИ</v>
      </c>
      <c r="AC1064" s="39">
        <f t="shared" si="181"/>
        <v>580353</v>
      </c>
      <c r="AD1064" s="13" t="str">
        <f t="shared" si="182"/>
        <v xml:space="preserve">СКГТ </v>
      </c>
    </row>
    <row r="1065" spans="1:30" s="6" customFormat="1" ht="20.100000000000001" customHeight="1" outlineLevel="1" x14ac:dyDescent="0.25">
      <c r="A1065" s="665" t="s">
        <v>294</v>
      </c>
      <c r="B1065" s="2"/>
      <c r="C1065" s="13" t="s">
        <v>2581</v>
      </c>
      <c r="D1065" s="40">
        <v>3079</v>
      </c>
      <c r="E1065" s="4">
        <v>36</v>
      </c>
      <c r="F1065" s="101">
        <v>3079</v>
      </c>
      <c r="G1065" s="57" t="s">
        <v>4995</v>
      </c>
      <c r="H1065" s="4" t="s">
        <v>7148</v>
      </c>
      <c r="I1065" s="4" t="s">
        <v>1245</v>
      </c>
      <c r="J1065" s="4"/>
      <c r="K1065" s="54"/>
      <c r="L1065" s="57"/>
      <c r="M1065" s="57"/>
      <c r="N1065" s="4"/>
      <c r="O1065" s="4">
        <v>298176852</v>
      </c>
      <c r="P1065" s="4">
        <v>298176899</v>
      </c>
      <c r="Q1065" s="767"/>
      <c r="R1065" s="767"/>
      <c r="S1065" s="4"/>
      <c r="T1065" s="4"/>
      <c r="U1065" s="4"/>
      <c r="V1065" s="4"/>
      <c r="W1065" s="4" t="s">
        <v>2254</v>
      </c>
      <c r="X1065" s="4" t="s">
        <v>768</v>
      </c>
      <c r="Y1065" s="4" t="s">
        <v>4066</v>
      </c>
      <c r="Z1065" s="35"/>
      <c r="AA1065" s="1" t="str">
        <f>IFERROR(VLOOKUP(D:D,[1]Габариты!$A:$I,9,0),"")</f>
        <v>Вакансия</v>
      </c>
      <c r="AB1065" s="6" t="str">
        <f>IFERROR(VLOOKUP(D:D,[1]Габариты!$A:$D,4,0),"")</f>
        <v>СТЕЛЛАЖИ</v>
      </c>
      <c r="AC1065" s="39">
        <f t="shared" si="181"/>
        <v>3079</v>
      </c>
      <c r="AD1065" s="13" t="str">
        <f t="shared" si="182"/>
        <v>FBS</v>
      </c>
    </row>
    <row r="1066" spans="1:30" s="6" customFormat="1" ht="20.100000000000001" customHeight="1" outlineLevel="1" x14ac:dyDescent="0.25">
      <c r="A1066" s="635" t="s">
        <v>166</v>
      </c>
      <c r="B1066" s="3"/>
      <c r="C1066" s="13" t="s">
        <v>3172</v>
      </c>
      <c r="D1066" s="39">
        <v>2671</v>
      </c>
      <c r="E1066" s="4">
        <v>34</v>
      </c>
      <c r="F1066" s="101">
        <v>2671</v>
      </c>
      <c r="G1066" s="57"/>
      <c r="H1066" s="4" t="s">
        <v>7149</v>
      </c>
      <c r="I1066" s="4"/>
      <c r="J1066" s="4"/>
      <c r="K1066" s="54" t="s">
        <v>2265</v>
      </c>
      <c r="L1066" s="57">
        <v>256304304</v>
      </c>
      <c r="M1066" s="57">
        <v>256304304</v>
      </c>
      <c r="N1066" s="4"/>
      <c r="O1066" s="4"/>
      <c r="P1066" s="4"/>
      <c r="Q1066" s="767"/>
      <c r="R1066" s="767"/>
      <c r="S1066" s="4"/>
      <c r="T1066" s="4"/>
      <c r="U1066" s="4"/>
      <c r="V1066" s="4"/>
      <c r="W1066" s="4" t="s">
        <v>2265</v>
      </c>
      <c r="X1066" s="4" t="s">
        <v>890</v>
      </c>
      <c r="Y1066" s="4" t="s">
        <v>4066</v>
      </c>
      <c r="Z1066" s="35"/>
      <c r="AA1066" s="1" t="str">
        <f>IFERROR(VLOOKUP(D:D,[1]Габариты!$A:$I,9,0),"")</f>
        <v>Вакансия</v>
      </c>
      <c r="AB1066" s="6" t="str">
        <f>IFERROR(VLOOKUP(D:D,[1]Габариты!$A:$D,4,0),"")</f>
        <v>СТЕЛЛАЖИ</v>
      </c>
      <c r="AC1066" s="39">
        <f t="shared" si="181"/>
        <v>2671</v>
      </c>
      <c r="AD1066" s="13" t="str">
        <f t="shared" si="182"/>
        <v xml:space="preserve">СКГТ </v>
      </c>
    </row>
    <row r="1067" spans="1:30" s="6" customFormat="1" ht="20.100000000000001" customHeight="1" outlineLevel="1" x14ac:dyDescent="0.25">
      <c r="A1067" s="635" t="s">
        <v>160</v>
      </c>
      <c r="B1067" s="3"/>
      <c r="C1067" s="13" t="s">
        <v>3172</v>
      </c>
      <c r="D1067" s="39">
        <v>2660</v>
      </c>
      <c r="E1067" s="4">
        <v>34</v>
      </c>
      <c r="F1067" s="101">
        <v>2660</v>
      </c>
      <c r="G1067" s="57"/>
      <c r="H1067" s="4" t="s">
        <v>7150</v>
      </c>
      <c r="I1067" s="4"/>
      <c r="J1067" s="4"/>
      <c r="K1067" s="54" t="s">
        <v>2266</v>
      </c>
      <c r="L1067" s="57">
        <v>256316590</v>
      </c>
      <c r="M1067" s="57">
        <v>256316590</v>
      </c>
      <c r="N1067" s="4"/>
      <c r="O1067" s="4"/>
      <c r="P1067" s="4"/>
      <c r="Q1067" s="767"/>
      <c r="R1067" s="767"/>
      <c r="S1067" s="4"/>
      <c r="T1067" s="4"/>
      <c r="U1067" s="4"/>
      <c r="V1067" s="4"/>
      <c r="W1067" s="4" t="s">
        <v>2266</v>
      </c>
      <c r="X1067" s="4" t="s">
        <v>891</v>
      </c>
      <c r="Y1067" s="4" t="s">
        <v>4066</v>
      </c>
      <c r="Z1067" s="35"/>
      <c r="AA1067" s="1" t="str">
        <f>IFERROR(VLOOKUP(D:D,[1]Габариты!$A:$I,9,0),"")</f>
        <v>Вакансия</v>
      </c>
      <c r="AB1067" s="6" t="str">
        <f>IFERROR(VLOOKUP(D:D,[1]Габариты!$A:$D,4,0),"")</f>
        <v>СТЕЛЛАЖИ</v>
      </c>
      <c r="AC1067" s="39">
        <f t="shared" si="181"/>
        <v>2660</v>
      </c>
      <c r="AD1067" s="13" t="str">
        <f t="shared" si="182"/>
        <v xml:space="preserve">СКГТ </v>
      </c>
    </row>
    <row r="1068" spans="1:30" s="6" customFormat="1" ht="20.100000000000001" customHeight="1" outlineLevel="1" x14ac:dyDescent="0.25">
      <c r="A1068" s="665" t="s">
        <v>1463</v>
      </c>
      <c r="B1068" s="8"/>
      <c r="C1068" s="13" t="s">
        <v>3172</v>
      </c>
      <c r="D1068" s="820">
        <v>50217945</v>
      </c>
      <c r="E1068" s="4">
        <v>22</v>
      </c>
      <c r="F1068" s="101">
        <v>50217945</v>
      </c>
      <c r="G1068" s="57"/>
      <c r="H1068" s="4" t="s">
        <v>7151</v>
      </c>
      <c r="I1068" s="4"/>
      <c r="J1068" s="4"/>
      <c r="K1068" s="54"/>
      <c r="L1068" s="57"/>
      <c r="M1068" s="57"/>
      <c r="N1068" s="4" t="s">
        <v>7732</v>
      </c>
      <c r="O1068" s="4">
        <v>313118933</v>
      </c>
      <c r="P1068" s="4">
        <v>313118980</v>
      </c>
      <c r="Q1068" s="767"/>
      <c r="R1068" s="767"/>
      <c r="S1068" s="4"/>
      <c r="T1068" s="4"/>
      <c r="U1068" s="4"/>
      <c r="V1068" s="4"/>
      <c r="W1068" s="4" t="s">
        <v>2267</v>
      </c>
      <c r="X1068" s="4"/>
      <c r="Y1068" s="4" t="s">
        <v>4066</v>
      </c>
      <c r="Z1068" s="35"/>
      <c r="AA1068" s="1" t="str">
        <f>IFERROR(VLOOKUP(D:D,[1]Габариты!$A:$I,9,0),"")</f>
        <v>Вакансия</v>
      </c>
      <c r="AB1068" s="6" t="str">
        <f>IFERROR(VLOOKUP(D:D,[1]Габариты!$A:$D,4,0),"")</f>
        <v>СТЕЛЛАЖИ</v>
      </c>
      <c r="AC1068" s="39">
        <f t="shared" si="181"/>
        <v>50217945</v>
      </c>
      <c r="AD1068" s="13" t="str">
        <f t="shared" si="182"/>
        <v xml:space="preserve">СКГТ </v>
      </c>
    </row>
    <row r="1069" spans="1:30" s="6" customFormat="1" ht="20.100000000000001" customHeight="1" outlineLevel="1" x14ac:dyDescent="0.25">
      <c r="A1069" s="635" t="s">
        <v>457</v>
      </c>
      <c r="B1069" s="22"/>
      <c r="C1069" s="13" t="s">
        <v>3172</v>
      </c>
      <c r="D1069" s="883">
        <v>3097</v>
      </c>
      <c r="E1069" s="4">
        <v>12</v>
      </c>
      <c r="F1069" s="101">
        <v>3097</v>
      </c>
      <c r="G1069" s="57"/>
      <c r="H1069" s="4"/>
      <c r="I1069" s="4"/>
      <c r="J1069" s="4"/>
      <c r="K1069" s="54"/>
      <c r="L1069" s="57"/>
      <c r="M1069" s="57"/>
      <c r="N1069" s="4"/>
      <c r="O1069" s="4"/>
      <c r="P1069" s="4"/>
      <c r="Q1069" s="767"/>
      <c r="R1069" s="767"/>
      <c r="S1069" s="4"/>
      <c r="T1069" s="4"/>
      <c r="U1069" s="4"/>
      <c r="V1069" s="4"/>
      <c r="W1069" s="4" t="s">
        <v>2286</v>
      </c>
      <c r="X1069" s="4"/>
      <c r="Y1069" s="4" t="s">
        <v>4066</v>
      </c>
      <c r="Z1069" s="35"/>
      <c r="AA1069" s="1" t="str">
        <f>IFERROR(VLOOKUP(D:D,[1]Габариты!$A:$I,9,0),"")</f>
        <v>Вакансия</v>
      </c>
      <c r="AB1069" s="6" t="str">
        <f>IFERROR(VLOOKUP(D:D,[1]Габариты!$A:$D,4,0),"")</f>
        <v>СТЕЛЛАЖИ</v>
      </c>
      <c r="AC1069" s="39">
        <f t="shared" si="181"/>
        <v>3097</v>
      </c>
      <c r="AD1069" s="13" t="str">
        <f t="shared" si="182"/>
        <v xml:space="preserve">СКГТ </v>
      </c>
    </row>
    <row r="1070" spans="1:30" s="6" customFormat="1" ht="20.100000000000001" customHeight="1" outlineLevel="1" x14ac:dyDescent="0.25">
      <c r="A1070" s="665" t="s">
        <v>461</v>
      </c>
      <c r="B1070" s="20"/>
      <c r="C1070" s="13" t="s">
        <v>2581</v>
      </c>
      <c r="D1070" s="883">
        <v>3122</v>
      </c>
      <c r="E1070" s="4">
        <v>25</v>
      </c>
      <c r="F1070" s="101">
        <v>3122</v>
      </c>
      <c r="G1070" s="57" t="s">
        <v>5013</v>
      </c>
      <c r="H1070" s="4"/>
      <c r="I1070" s="4"/>
      <c r="J1070" s="4"/>
      <c r="K1070" s="54"/>
      <c r="L1070" s="57"/>
      <c r="M1070" s="57"/>
      <c r="N1070" s="4"/>
      <c r="O1070" s="4">
        <v>373113438</v>
      </c>
      <c r="P1070" s="4">
        <v>373113439</v>
      </c>
      <c r="Q1070" s="767" t="s">
        <v>2818</v>
      </c>
      <c r="R1070" s="767">
        <v>373333081</v>
      </c>
      <c r="S1070" s="4">
        <v>373333080</v>
      </c>
      <c r="T1070" s="4"/>
      <c r="U1070" s="4"/>
      <c r="V1070" s="4"/>
      <c r="W1070" s="4" t="s">
        <v>2287</v>
      </c>
      <c r="X1070" s="4" t="s">
        <v>896</v>
      </c>
      <c r="Y1070" s="4" t="s">
        <v>4066</v>
      </c>
      <c r="Z1070" s="35"/>
      <c r="AA1070" s="1" t="str">
        <f>IFERROR(VLOOKUP(D:D,[1]Габариты!$A:$I,9,0),"")</f>
        <v>Вакансия</v>
      </c>
      <c r="AB1070" s="6" t="str">
        <f>IFERROR(VLOOKUP(D:D,[1]Габариты!$A:$D,4,0),"")</f>
        <v>СТЕЛЛАЖИ</v>
      </c>
      <c r="AC1070" s="39">
        <f t="shared" si="181"/>
        <v>3122</v>
      </c>
      <c r="AD1070" s="13" t="str">
        <f t="shared" si="182"/>
        <v>FBS</v>
      </c>
    </row>
    <row r="1071" spans="1:30" s="6" customFormat="1" ht="20.100000000000001" customHeight="1" outlineLevel="1" x14ac:dyDescent="0.25">
      <c r="A1071" s="665" t="s">
        <v>472</v>
      </c>
      <c r="B1071" s="2"/>
      <c r="C1071" s="13" t="s">
        <v>2581</v>
      </c>
      <c r="D1071" s="883">
        <v>915200</v>
      </c>
      <c r="E1071" s="4"/>
      <c r="F1071" s="101">
        <v>915200</v>
      </c>
      <c r="G1071" s="57"/>
      <c r="H1071" s="4" t="s">
        <v>7152</v>
      </c>
      <c r="I1071" s="4"/>
      <c r="J1071" s="4"/>
      <c r="K1071" s="54"/>
      <c r="L1071" s="57"/>
      <c r="M1071" s="57"/>
      <c r="N1071" s="806" t="s">
        <v>7673</v>
      </c>
      <c r="O1071" s="4">
        <v>396357447</v>
      </c>
      <c r="P1071" s="4">
        <v>396357446</v>
      </c>
      <c r="Q1071" s="767"/>
      <c r="R1071" s="767"/>
      <c r="S1071" s="4"/>
      <c r="T1071" s="4"/>
      <c r="U1071" s="4"/>
      <c r="V1071" s="4"/>
      <c r="W1071" s="4"/>
      <c r="X1071" s="4"/>
      <c r="Y1071" s="4" t="s">
        <v>4066</v>
      </c>
      <c r="Z1071" s="35"/>
      <c r="AA1071" s="1" t="str">
        <f>IFERROR(VLOOKUP(D:D,[1]Габариты!$A:$I,9,0),"")</f>
        <v>Вакансия</v>
      </c>
      <c r="AB1071" s="6" t="str">
        <f>IFERROR(VLOOKUP(D:D,[1]Габариты!$A:$D,4,0),"")</f>
        <v>СТЕЛЛАЖИ</v>
      </c>
      <c r="AC1071" s="39">
        <f t="shared" si="181"/>
        <v>915200</v>
      </c>
      <c r="AD1071" s="13" t="str">
        <f t="shared" si="182"/>
        <v>FBS</v>
      </c>
    </row>
    <row r="1072" spans="1:30" s="6" customFormat="1" ht="20.100000000000001" customHeight="1" outlineLevel="1" x14ac:dyDescent="0.25">
      <c r="A1072" s="665" t="s">
        <v>486</v>
      </c>
      <c r="B1072" s="5"/>
      <c r="C1072" s="13" t="s">
        <v>2581</v>
      </c>
      <c r="D1072" s="881">
        <v>580354</v>
      </c>
      <c r="E1072" s="4"/>
      <c r="F1072" s="101">
        <v>580354</v>
      </c>
      <c r="G1072" s="57"/>
      <c r="H1072" s="4"/>
      <c r="I1072" s="4"/>
      <c r="J1072" s="4"/>
      <c r="K1072" s="54"/>
      <c r="L1072" s="57"/>
      <c r="M1072" s="57"/>
      <c r="N1072" s="806" t="s">
        <v>7674</v>
      </c>
      <c r="O1072" s="4">
        <v>407110060</v>
      </c>
      <c r="P1072" s="4">
        <v>407110061</v>
      </c>
      <c r="Q1072" s="767"/>
      <c r="R1072" s="767"/>
      <c r="S1072" s="4"/>
      <c r="T1072" s="4"/>
      <c r="U1072" s="4"/>
      <c r="V1072" s="4"/>
      <c r="W1072" s="4"/>
      <c r="X1072" s="4"/>
      <c r="Y1072" s="4" t="s">
        <v>4066</v>
      </c>
      <c r="Z1072" s="35"/>
      <c r="AA1072" s="1" t="str">
        <f>IFERROR(VLOOKUP(D:D,[1]Габариты!$A:$I,9,0),"")</f>
        <v>Вакансия</v>
      </c>
      <c r="AB1072" s="6" t="str">
        <f>IFERROR(VLOOKUP(D:D,[1]Габариты!$A:$D,4,0),"")</f>
        <v>СТЕЛЛАЖИ</v>
      </c>
      <c r="AC1072" s="39">
        <f t="shared" si="181"/>
        <v>580354</v>
      </c>
      <c r="AD1072" s="13" t="str">
        <f t="shared" si="182"/>
        <v>FBS</v>
      </c>
    </row>
    <row r="1073" spans="1:30" s="6" customFormat="1" ht="20.100000000000001" customHeight="1" outlineLevel="1" x14ac:dyDescent="0.25">
      <c r="A1073" s="665" t="s">
        <v>487</v>
      </c>
      <c r="B1073" s="5"/>
      <c r="C1073" s="13" t="s">
        <v>2581</v>
      </c>
      <c r="D1073" s="881">
        <v>580355</v>
      </c>
      <c r="E1073" s="4"/>
      <c r="F1073" s="101">
        <v>580355</v>
      </c>
      <c r="G1073" s="57"/>
      <c r="H1073" s="4"/>
      <c r="I1073" s="4"/>
      <c r="J1073" s="4"/>
      <c r="K1073" s="54"/>
      <c r="L1073" s="57"/>
      <c r="M1073" s="57"/>
      <c r="N1073" s="806" t="s">
        <v>7675</v>
      </c>
      <c r="O1073" s="4">
        <v>407141345</v>
      </c>
      <c r="P1073" s="4">
        <v>407141340</v>
      </c>
      <c r="Q1073" s="767"/>
      <c r="R1073" s="767"/>
      <c r="S1073" s="4"/>
      <c r="T1073" s="4"/>
      <c r="U1073" s="4"/>
      <c r="V1073" s="4"/>
      <c r="W1073" s="4"/>
      <c r="X1073" s="4"/>
      <c r="Y1073" s="4" t="s">
        <v>4066</v>
      </c>
      <c r="Z1073" s="35"/>
      <c r="AA1073" s="1" t="str">
        <f>IFERROR(VLOOKUP(D:D,[1]Габариты!$A:$I,9,0),"")</f>
        <v>Вакансия</v>
      </c>
      <c r="AB1073" s="6" t="str">
        <f>IFERROR(VLOOKUP(D:D,[1]Габариты!$A:$D,4,0),"")</f>
        <v>СТЕЛЛАЖИ</v>
      </c>
      <c r="AC1073" s="39">
        <f t="shared" si="181"/>
        <v>580355</v>
      </c>
      <c r="AD1073" s="13" t="str">
        <f t="shared" si="182"/>
        <v>FBS</v>
      </c>
    </row>
    <row r="1074" spans="1:30" s="6" customFormat="1" ht="20.100000000000001" customHeight="1" outlineLevel="1" x14ac:dyDescent="0.25">
      <c r="A1074" s="665" t="s">
        <v>489</v>
      </c>
      <c r="B1074" s="5"/>
      <c r="C1074" s="13" t="s">
        <v>3172</v>
      </c>
      <c r="D1074" s="881">
        <v>580357</v>
      </c>
      <c r="E1074" s="4"/>
      <c r="F1074" s="101">
        <v>580357</v>
      </c>
      <c r="G1074" s="57"/>
      <c r="H1074" s="4"/>
      <c r="I1074" s="4"/>
      <c r="J1074" s="4"/>
      <c r="K1074" s="54"/>
      <c r="L1074" s="57"/>
      <c r="M1074" s="57"/>
      <c r="N1074" s="806" t="s">
        <v>7676</v>
      </c>
      <c r="O1074" s="4">
        <v>408266555</v>
      </c>
      <c r="P1074" s="4">
        <v>408266554</v>
      </c>
      <c r="Q1074" s="767"/>
      <c r="R1074" s="767"/>
      <c r="S1074" s="4"/>
      <c r="T1074" s="4"/>
      <c r="U1074" s="4"/>
      <c r="V1074" s="4"/>
      <c r="W1074" s="4"/>
      <c r="X1074" s="4"/>
      <c r="Y1074" s="4" t="s">
        <v>4066</v>
      </c>
      <c r="Z1074" s="35"/>
      <c r="AA1074" s="1" t="str">
        <f>IFERROR(VLOOKUP(D:D,[1]Габариты!$A:$I,9,0),"")</f>
        <v>Вакансия</v>
      </c>
      <c r="AB1074" s="6" t="str">
        <f>IFERROR(VLOOKUP(D:D,[1]Габариты!$A:$D,4,0),"")</f>
        <v>СТЕЛЛАЖИ</v>
      </c>
      <c r="AC1074" s="39">
        <f t="shared" si="181"/>
        <v>580357</v>
      </c>
      <c r="AD1074" s="13" t="str">
        <f t="shared" si="182"/>
        <v xml:space="preserve">СКГТ </v>
      </c>
    </row>
    <row r="1075" spans="1:30" s="6" customFormat="1" ht="20.100000000000001" customHeight="1" outlineLevel="1" x14ac:dyDescent="0.25">
      <c r="A1075" s="665" t="s">
        <v>490</v>
      </c>
      <c r="B1075" s="5"/>
      <c r="C1075" s="13" t="s">
        <v>2581</v>
      </c>
      <c r="D1075" s="881">
        <v>915201</v>
      </c>
      <c r="E1075" s="4"/>
      <c r="F1075" s="101">
        <v>915201</v>
      </c>
      <c r="G1075" s="57"/>
      <c r="H1075" s="4" t="s">
        <v>7153</v>
      </c>
      <c r="I1075" s="4"/>
      <c r="J1075" s="4"/>
      <c r="K1075" s="54"/>
      <c r="L1075" s="57"/>
      <c r="M1075" s="57"/>
      <c r="N1075" s="806" t="s">
        <v>7677</v>
      </c>
      <c r="O1075" s="4">
        <v>401633634</v>
      </c>
      <c r="P1075" s="4">
        <v>401633633</v>
      </c>
      <c r="Q1075" s="767"/>
      <c r="R1075" s="767"/>
      <c r="S1075" s="4"/>
      <c r="T1075" s="4"/>
      <c r="U1075" s="4"/>
      <c r="V1075" s="4"/>
      <c r="W1075" s="4"/>
      <c r="X1075" s="4"/>
      <c r="Y1075" s="4" t="s">
        <v>4066</v>
      </c>
      <c r="Z1075" s="35"/>
      <c r="AA1075" s="1" t="str">
        <f>IFERROR(VLOOKUP(D:D,[1]Габариты!$A:$I,9,0),"")</f>
        <v>Вакансия</v>
      </c>
      <c r="AB1075" s="6" t="str">
        <f>IFERROR(VLOOKUP(D:D,[1]Габариты!$A:$D,4,0),"")</f>
        <v>СТЕЛЛАЖИ</v>
      </c>
      <c r="AC1075" s="39">
        <f t="shared" si="181"/>
        <v>915201</v>
      </c>
      <c r="AD1075" s="13" t="str">
        <f t="shared" si="182"/>
        <v>FBS</v>
      </c>
    </row>
    <row r="1076" spans="1:30" s="6" customFormat="1" ht="20.100000000000001" customHeight="1" outlineLevel="1" x14ac:dyDescent="0.25">
      <c r="A1076" s="746" t="s">
        <v>511</v>
      </c>
      <c r="B1076" s="27"/>
      <c r="C1076" s="13" t="s">
        <v>2581</v>
      </c>
      <c r="D1076" s="39">
        <v>3101</v>
      </c>
      <c r="E1076" s="4">
        <v>21</v>
      </c>
      <c r="F1076" s="101">
        <v>3101</v>
      </c>
      <c r="G1076" s="57" t="s">
        <v>5006</v>
      </c>
      <c r="H1076" s="4"/>
      <c r="I1076" s="4"/>
      <c r="J1076" s="4"/>
      <c r="K1076" s="54" t="s">
        <v>2291</v>
      </c>
      <c r="L1076" s="57">
        <v>420294916</v>
      </c>
      <c r="M1076" s="57">
        <v>420294916</v>
      </c>
      <c r="N1076" s="4"/>
      <c r="O1076" s="4"/>
      <c r="P1076" s="4"/>
      <c r="Q1076" s="767"/>
      <c r="R1076" s="767"/>
      <c r="S1076" s="4"/>
      <c r="T1076" s="4"/>
      <c r="U1076" s="4"/>
      <c r="V1076" s="4"/>
      <c r="W1076" s="4" t="s">
        <v>2291</v>
      </c>
      <c r="X1076" s="4" t="s">
        <v>901</v>
      </c>
      <c r="Y1076" s="4" t="s">
        <v>4066</v>
      </c>
      <c r="Z1076" s="35"/>
      <c r="AA1076" s="1" t="str">
        <f>IFERROR(VLOOKUP(D:D,[1]Габариты!$A:$I,9,0),"")</f>
        <v>Вакансия</v>
      </c>
      <c r="AB1076" s="6" t="str">
        <f>IFERROR(VLOOKUP(D:D,[1]Габариты!$A:$D,4,0),"")</f>
        <v>СТЕЛЛАЖИ</v>
      </c>
      <c r="AC1076" s="39">
        <f t="shared" si="181"/>
        <v>3101</v>
      </c>
      <c r="AD1076" s="13" t="str">
        <f t="shared" si="182"/>
        <v>FBS</v>
      </c>
    </row>
    <row r="1077" spans="1:30" s="6" customFormat="1" ht="20.100000000000001" customHeight="1" outlineLevel="1" x14ac:dyDescent="0.25">
      <c r="A1077" s="635" t="s">
        <v>518</v>
      </c>
      <c r="B1077" s="25"/>
      <c r="C1077" s="13" t="s">
        <v>2581</v>
      </c>
      <c r="D1077" s="39">
        <v>3168</v>
      </c>
      <c r="E1077" s="4">
        <v>12</v>
      </c>
      <c r="F1077" s="101">
        <v>3168</v>
      </c>
      <c r="G1077" s="57" t="s">
        <v>5034</v>
      </c>
      <c r="H1077" s="4"/>
      <c r="I1077" s="4"/>
      <c r="J1077" s="4"/>
      <c r="K1077" s="54"/>
      <c r="L1077" s="57"/>
      <c r="M1077" s="57"/>
      <c r="N1077" s="4"/>
      <c r="O1077" s="4"/>
      <c r="P1077" s="4"/>
      <c r="Q1077" s="767"/>
      <c r="R1077" s="767"/>
      <c r="S1077" s="4"/>
      <c r="T1077" s="4"/>
      <c r="U1077" s="4"/>
      <c r="V1077" s="4"/>
      <c r="W1077" s="4" t="s">
        <v>2292</v>
      </c>
      <c r="X1077" s="4"/>
      <c r="Y1077" s="4" t="s">
        <v>4066</v>
      </c>
      <c r="Z1077" s="35"/>
      <c r="AA1077" s="1" t="str">
        <f>IFERROR(VLOOKUP(D:D,[1]Габариты!$A:$I,9,0),"")</f>
        <v>Вакансия</v>
      </c>
      <c r="AB1077" s="6" t="str">
        <f>IFERROR(VLOOKUP(D:D,[1]Габариты!$A:$D,4,0),"")</f>
        <v>СТЕЛЛАЖИ</v>
      </c>
      <c r="AC1077" s="39">
        <f t="shared" si="181"/>
        <v>3168</v>
      </c>
      <c r="AD1077" s="13" t="str">
        <f t="shared" si="182"/>
        <v>FBS</v>
      </c>
    </row>
    <row r="1078" spans="1:30" s="6" customFormat="1" ht="20.100000000000001" customHeight="1" outlineLevel="1" x14ac:dyDescent="0.25">
      <c r="A1078" s="631" t="s">
        <v>530</v>
      </c>
      <c r="B1078" s="29"/>
      <c r="C1078" s="13" t="s">
        <v>3172</v>
      </c>
      <c r="D1078" s="40">
        <v>3180</v>
      </c>
      <c r="E1078" s="4">
        <v>14</v>
      </c>
      <c r="F1078" s="101">
        <v>3180</v>
      </c>
      <c r="G1078" s="57"/>
      <c r="H1078" s="4" t="s">
        <v>7154</v>
      </c>
      <c r="I1078" s="4"/>
      <c r="J1078" s="4"/>
      <c r="K1078" s="54"/>
      <c r="L1078" s="57"/>
      <c r="M1078" s="57"/>
      <c r="N1078" s="4"/>
      <c r="O1078" s="4">
        <v>468839737</v>
      </c>
      <c r="P1078" s="4">
        <v>468839738</v>
      </c>
      <c r="Q1078" s="767"/>
      <c r="R1078" s="767"/>
      <c r="S1078" s="4"/>
      <c r="T1078" s="4"/>
      <c r="U1078" s="4"/>
      <c r="V1078" s="4"/>
      <c r="W1078" s="4" t="s">
        <v>2293</v>
      </c>
      <c r="X1078" s="4" t="s">
        <v>902</v>
      </c>
      <c r="Y1078" s="4" t="s">
        <v>4066</v>
      </c>
      <c r="Z1078" s="35"/>
      <c r="AA1078" s="1" t="str">
        <f>IFERROR(VLOOKUP(D:D,[1]Габариты!$A:$I,9,0),"")</f>
        <v>Вакансия</v>
      </c>
      <c r="AB1078" s="6" t="str">
        <f>IFERROR(VLOOKUP(D:D,[1]Габариты!$A:$D,4,0),"")</f>
        <v>СТЕЛЛАЖИ</v>
      </c>
      <c r="AC1078" s="39">
        <f t="shared" si="181"/>
        <v>3180</v>
      </c>
      <c r="AD1078" s="13" t="str">
        <f t="shared" si="182"/>
        <v xml:space="preserve">СКГТ </v>
      </c>
    </row>
    <row r="1079" spans="1:30" s="6" customFormat="1" ht="20.100000000000001" customHeight="1" outlineLevel="1" x14ac:dyDescent="0.25">
      <c r="A1079" s="631" t="s">
        <v>541</v>
      </c>
      <c r="B1079" s="29"/>
      <c r="C1079" s="13" t="s">
        <v>4050</v>
      </c>
      <c r="D1079" s="40">
        <v>3233</v>
      </c>
      <c r="E1079" s="4">
        <v>12</v>
      </c>
      <c r="F1079" s="101">
        <v>3233</v>
      </c>
      <c r="G1079" s="57"/>
      <c r="H1079" s="4" t="s">
        <v>7155</v>
      </c>
      <c r="I1079" s="4"/>
      <c r="J1079" s="4"/>
      <c r="K1079" s="54"/>
      <c r="L1079" s="57"/>
      <c r="M1079" s="57"/>
      <c r="N1079" s="4"/>
      <c r="O1079" s="4">
        <v>468831666</v>
      </c>
      <c r="P1079" s="4">
        <v>468831669</v>
      </c>
      <c r="Q1079" s="767"/>
      <c r="R1079" s="767"/>
      <c r="S1079" s="4"/>
      <c r="T1079" s="4"/>
      <c r="U1079" s="4"/>
      <c r="V1079" s="4"/>
      <c r="W1079" s="4" t="s">
        <v>2298</v>
      </c>
      <c r="X1079" s="4"/>
      <c r="Y1079" s="4" t="s">
        <v>4066</v>
      </c>
      <c r="Z1079" s="35"/>
      <c r="AA1079" s="1" t="str">
        <f>IFERROR(VLOOKUP(D:D,[1]Габариты!$A:$I,9,0),"")</f>
        <v>Вакансия</v>
      </c>
      <c r="AB1079" s="6" t="str">
        <f>IFERROR(VLOOKUP(D:D,[1]Габариты!$A:$D,4,0),"")</f>
        <v>СТЕЛЛАЖИ</v>
      </c>
      <c r="AC1079" s="39">
        <f t="shared" si="181"/>
        <v>3233</v>
      </c>
      <c r="AD1079" s="13" t="str">
        <f t="shared" si="182"/>
        <v>СКГТ (ОЗОН)</v>
      </c>
    </row>
    <row r="1080" spans="1:30" s="6" customFormat="1" ht="20.100000000000001" customHeight="1" outlineLevel="1" x14ac:dyDescent="0.25">
      <c r="A1080" s="635" t="s">
        <v>1469</v>
      </c>
      <c r="B1080" s="25"/>
      <c r="C1080" s="13" t="s">
        <v>2581</v>
      </c>
      <c r="D1080" s="39">
        <v>80044777</v>
      </c>
      <c r="E1080" s="4">
        <v>14</v>
      </c>
      <c r="F1080" s="101">
        <v>80044777</v>
      </c>
      <c r="G1080" s="57"/>
      <c r="H1080" s="4" t="s">
        <v>7156</v>
      </c>
      <c r="I1080" s="4"/>
      <c r="J1080" s="4"/>
      <c r="K1080" s="54"/>
      <c r="L1080" s="57"/>
      <c r="M1080" s="57"/>
      <c r="N1080" s="4"/>
      <c r="O1080" s="4">
        <v>677404762</v>
      </c>
      <c r="P1080" s="4">
        <v>677404764</v>
      </c>
      <c r="Q1080" s="767"/>
      <c r="R1080" s="767"/>
      <c r="S1080" s="4"/>
      <c r="T1080" s="4"/>
      <c r="U1080" s="4"/>
      <c r="V1080" s="4"/>
      <c r="W1080" s="4"/>
      <c r="X1080" s="4" t="s">
        <v>1152</v>
      </c>
      <c r="Y1080" s="4" t="s">
        <v>4066</v>
      </c>
      <c r="Z1080" s="35"/>
      <c r="AA1080" s="1" t="str">
        <f>IFERROR(VLOOKUP(D:D,[1]Габариты!$A:$I,9,0),"")</f>
        <v>Вакансия</v>
      </c>
      <c r="AB1080" s="6" t="str">
        <f>IFERROR(VLOOKUP(D:D,[1]Габариты!$A:$D,4,0),"")</f>
        <v>СТЕЛЛАЖИ</v>
      </c>
      <c r="AC1080" s="39">
        <f t="shared" si="181"/>
        <v>80044777</v>
      </c>
      <c r="AD1080" s="13" t="str">
        <f t="shared" si="182"/>
        <v>FBS</v>
      </c>
    </row>
    <row r="1081" spans="1:30" s="6" customFormat="1" ht="20.100000000000001" customHeight="1" outlineLevel="1" x14ac:dyDescent="0.25">
      <c r="A1081" s="635" t="s">
        <v>1471</v>
      </c>
      <c r="B1081" s="25"/>
      <c r="C1081" s="13" t="s">
        <v>2581</v>
      </c>
      <c r="D1081" s="39">
        <v>80044778</v>
      </c>
      <c r="E1081" s="4">
        <v>14</v>
      </c>
      <c r="F1081" s="101">
        <v>80044778</v>
      </c>
      <c r="G1081" s="57"/>
      <c r="H1081" s="4" t="s">
        <v>7157</v>
      </c>
      <c r="I1081" s="4"/>
      <c r="J1081" s="4"/>
      <c r="K1081" s="54"/>
      <c r="L1081" s="57"/>
      <c r="M1081" s="57"/>
      <c r="N1081" s="4"/>
      <c r="O1081" s="4">
        <v>677390733</v>
      </c>
      <c r="P1081" s="4">
        <v>677390734</v>
      </c>
      <c r="Q1081" s="767"/>
      <c r="R1081" s="767"/>
      <c r="S1081" s="4"/>
      <c r="T1081" s="4"/>
      <c r="U1081" s="4"/>
      <c r="V1081" s="4"/>
      <c r="W1081" s="4"/>
      <c r="X1081" s="4" t="s">
        <v>1154</v>
      </c>
      <c r="Y1081" s="4" t="s">
        <v>4066</v>
      </c>
      <c r="Z1081" s="35"/>
      <c r="AA1081" s="1" t="str">
        <f>IFERROR(VLOOKUP(D:D,[1]Габариты!$A:$I,9,0),"")</f>
        <v>Вакансия</v>
      </c>
      <c r="AB1081" s="6" t="str">
        <f>IFERROR(VLOOKUP(D:D,[1]Габариты!$A:$D,4,0),"")</f>
        <v>СТЕЛЛАЖИ</v>
      </c>
      <c r="AC1081" s="39">
        <f t="shared" si="181"/>
        <v>80044778</v>
      </c>
      <c r="AD1081" s="13" t="str">
        <f t="shared" si="182"/>
        <v>FBS</v>
      </c>
    </row>
    <row r="1082" spans="1:30" s="6" customFormat="1" ht="20.100000000000001" customHeight="1" outlineLevel="1" x14ac:dyDescent="0.25">
      <c r="A1082" s="635" t="s">
        <v>1473</v>
      </c>
      <c r="B1082" s="25"/>
      <c r="C1082" s="13" t="s">
        <v>2581</v>
      </c>
      <c r="D1082" s="39">
        <v>80217949</v>
      </c>
      <c r="E1082" s="4">
        <v>14</v>
      </c>
      <c r="F1082" s="101">
        <v>80217949</v>
      </c>
      <c r="G1082" s="57"/>
      <c r="H1082" s="4" t="s">
        <v>7158</v>
      </c>
      <c r="I1082" s="4"/>
      <c r="J1082" s="4"/>
      <c r="K1082" s="54"/>
      <c r="L1082" s="57"/>
      <c r="M1082" s="57"/>
      <c r="N1082" s="4" t="s">
        <v>1156</v>
      </c>
      <c r="O1082" s="4">
        <v>677390324</v>
      </c>
      <c r="P1082" s="4">
        <v>677390325</v>
      </c>
      <c r="Q1082" s="767"/>
      <c r="R1082" s="767"/>
      <c r="S1082" s="4"/>
      <c r="T1082" s="4"/>
      <c r="U1082" s="4"/>
      <c r="V1082" s="4"/>
      <c r="W1082" s="4"/>
      <c r="X1082" s="4" t="s">
        <v>1156</v>
      </c>
      <c r="Y1082" s="4">
        <v>80217949</v>
      </c>
      <c r="Z1082" s="35"/>
      <c r="AA1082" s="1" t="str">
        <f>IFERROR(VLOOKUP(D:D,[1]Габариты!$A:$I,9,0),"")</f>
        <v>Вакансия</v>
      </c>
      <c r="AB1082" s="6" t="str">
        <f>IFERROR(VLOOKUP(D:D,[1]Габариты!$A:$D,4,0),"")</f>
        <v>СТЕЛЛАЖИ</v>
      </c>
      <c r="AC1082" s="39">
        <f t="shared" si="181"/>
        <v>80217949</v>
      </c>
      <c r="AD1082" s="13" t="str">
        <f t="shared" si="182"/>
        <v>FBS</v>
      </c>
    </row>
    <row r="1083" spans="1:30" s="6" customFormat="1" ht="20.100000000000001" customHeight="1" outlineLevel="1" x14ac:dyDescent="0.25">
      <c r="A1083" s="635" t="s">
        <v>1817</v>
      </c>
      <c r="B1083" s="25"/>
      <c r="C1083" s="13" t="s">
        <v>2582</v>
      </c>
      <c r="D1083" s="39">
        <v>9802</v>
      </c>
      <c r="E1083" s="4">
        <v>40</v>
      </c>
      <c r="F1083" s="101">
        <v>9802</v>
      </c>
      <c r="G1083" s="57"/>
      <c r="H1083" s="4" t="s">
        <v>7159</v>
      </c>
      <c r="I1083" s="4"/>
      <c r="J1083" s="4"/>
      <c r="K1083" s="54"/>
      <c r="L1083" s="57"/>
      <c r="M1083" s="57"/>
      <c r="N1083" s="4" t="s">
        <v>2621</v>
      </c>
      <c r="O1083" s="4">
        <v>923957049</v>
      </c>
      <c r="P1083" s="4">
        <v>923957050</v>
      </c>
      <c r="Q1083" s="767"/>
      <c r="R1083" s="767"/>
      <c r="S1083" s="4"/>
      <c r="T1083" s="4"/>
      <c r="U1083" s="4"/>
      <c r="V1083" s="4"/>
      <c r="W1083" s="4"/>
      <c r="X1083" s="4"/>
      <c r="Y1083" s="4" t="s">
        <v>4066</v>
      </c>
      <c r="Z1083" s="35"/>
      <c r="AA1083" s="1" t="str">
        <f>IFERROR(VLOOKUP(D:D,[1]Габариты!$A:$I,9,0),"")</f>
        <v>Вакансия</v>
      </c>
      <c r="AB1083" s="6" t="str">
        <f>IFERROR(VLOOKUP(D:D,[1]Габариты!$A:$D,4,0),"")</f>
        <v>СТЕЛЛАЖИ</v>
      </c>
      <c r="AC1083" s="39">
        <f t="shared" si="181"/>
        <v>9802</v>
      </c>
      <c r="AD1083" s="13" t="str">
        <f t="shared" si="182"/>
        <v>FBO</v>
      </c>
    </row>
    <row r="1084" spans="1:30" s="6" customFormat="1" ht="20.100000000000001" customHeight="1" outlineLevel="1" x14ac:dyDescent="0.25">
      <c r="A1084" s="635" t="s">
        <v>1818</v>
      </c>
      <c r="B1084" s="25"/>
      <c r="C1084" s="13" t="s">
        <v>2582</v>
      </c>
      <c r="D1084" s="39">
        <v>9803</v>
      </c>
      <c r="E1084" s="4">
        <v>40</v>
      </c>
      <c r="F1084" s="101">
        <v>9803</v>
      </c>
      <c r="G1084" s="57"/>
      <c r="H1084" s="4" t="s">
        <v>7160</v>
      </c>
      <c r="I1084" s="4"/>
      <c r="J1084" s="4"/>
      <c r="K1084" s="54"/>
      <c r="L1084" s="57"/>
      <c r="M1084" s="57"/>
      <c r="N1084" s="4" t="s">
        <v>2622</v>
      </c>
      <c r="O1084" s="4">
        <v>923967389</v>
      </c>
      <c r="P1084" s="4">
        <v>923967390</v>
      </c>
      <c r="Q1084" s="767"/>
      <c r="R1084" s="767"/>
      <c r="S1084" s="4"/>
      <c r="T1084" s="4"/>
      <c r="U1084" s="4"/>
      <c r="V1084" s="4"/>
      <c r="W1084" s="4"/>
      <c r="X1084" s="4"/>
      <c r="Y1084" s="4" t="s">
        <v>4066</v>
      </c>
      <c r="Z1084" s="35"/>
      <c r="AA1084" s="1" t="str">
        <f>IFERROR(VLOOKUP(D:D,[1]Габариты!$A:$I,9,0),"")</f>
        <v>Вакансия</v>
      </c>
      <c r="AB1084" s="6" t="str">
        <f>IFERROR(VLOOKUP(D:D,[1]Габариты!$A:$D,4,0),"")</f>
        <v>СТЕЛЛАЖИ</v>
      </c>
      <c r="AC1084" s="39">
        <f t="shared" si="181"/>
        <v>9803</v>
      </c>
      <c r="AD1084" s="13" t="str">
        <f t="shared" si="182"/>
        <v>FBO</v>
      </c>
    </row>
    <row r="1085" spans="1:30" s="6" customFormat="1" ht="20.100000000000001" customHeight="1" outlineLevel="1" x14ac:dyDescent="0.25">
      <c r="A1085" s="635" t="s">
        <v>1474</v>
      </c>
      <c r="B1085" s="25"/>
      <c r="C1085" s="13" t="s">
        <v>2581</v>
      </c>
      <c r="D1085" s="39">
        <v>50217947</v>
      </c>
      <c r="E1085" s="4">
        <v>14</v>
      </c>
      <c r="F1085" s="101">
        <v>50217947</v>
      </c>
      <c r="G1085" s="57"/>
      <c r="H1085" s="4" t="s">
        <v>7161</v>
      </c>
      <c r="I1085" s="4"/>
      <c r="J1085" s="4"/>
      <c r="K1085" s="54"/>
      <c r="L1085" s="57"/>
      <c r="M1085" s="57"/>
      <c r="N1085" s="4" t="s">
        <v>1385</v>
      </c>
      <c r="O1085" s="4">
        <v>686637117</v>
      </c>
      <c r="P1085" s="4">
        <v>686637118</v>
      </c>
      <c r="Q1085" s="767"/>
      <c r="R1085" s="767"/>
      <c r="S1085" s="4"/>
      <c r="T1085" s="4"/>
      <c r="U1085" s="4"/>
      <c r="V1085" s="4"/>
      <c r="W1085" s="4"/>
      <c r="X1085" s="4" t="s">
        <v>1385</v>
      </c>
      <c r="Y1085" s="4" t="s">
        <v>4066</v>
      </c>
      <c r="Z1085" s="35"/>
      <c r="AA1085" s="1" t="str">
        <f>IFERROR(VLOOKUP(D:D,[1]Габариты!$A:$I,9,0),"")</f>
        <v>Вакансия</v>
      </c>
      <c r="AB1085" s="6" t="str">
        <f>IFERROR(VLOOKUP(D:D,[1]Габариты!$A:$D,4,0),"")</f>
        <v>СТЕЛЛАЖИ</v>
      </c>
      <c r="AC1085" s="39">
        <f t="shared" si="181"/>
        <v>50217947</v>
      </c>
      <c r="AD1085" s="13" t="str">
        <f t="shared" si="182"/>
        <v>FBS</v>
      </c>
    </row>
    <row r="1086" spans="1:30" s="6" customFormat="1" ht="20.100000000000001" customHeight="1" outlineLevel="1" x14ac:dyDescent="0.25">
      <c r="A1086" s="635" t="s">
        <v>1475</v>
      </c>
      <c r="B1086" s="25"/>
      <c r="C1086" s="13" t="s">
        <v>2581</v>
      </c>
      <c r="D1086" s="39">
        <v>80044776</v>
      </c>
      <c r="E1086" s="4">
        <v>14</v>
      </c>
      <c r="F1086" s="101">
        <v>80044776</v>
      </c>
      <c r="G1086" s="57"/>
      <c r="H1086" s="4" t="s">
        <v>7162</v>
      </c>
      <c r="I1086" s="4"/>
      <c r="J1086" s="4"/>
      <c r="K1086" s="54"/>
      <c r="L1086" s="57"/>
      <c r="M1086" s="57"/>
      <c r="N1086" s="4" t="s">
        <v>1386</v>
      </c>
      <c r="O1086" s="4">
        <v>686710074</v>
      </c>
      <c r="P1086" s="4">
        <v>686710075</v>
      </c>
      <c r="Q1086" s="767"/>
      <c r="R1086" s="767"/>
      <c r="S1086" s="4"/>
      <c r="T1086" s="4"/>
      <c r="U1086" s="4"/>
      <c r="V1086" s="4"/>
      <c r="W1086" s="4"/>
      <c r="X1086" s="4" t="s">
        <v>1386</v>
      </c>
      <c r="Y1086" s="4" t="s">
        <v>4066</v>
      </c>
      <c r="Z1086" s="35"/>
      <c r="AA1086" s="1" t="str">
        <f>IFERROR(VLOOKUP(D:D,[1]Габариты!$A:$I,9,0),"")</f>
        <v>Вакансия</v>
      </c>
      <c r="AB1086" s="6" t="str">
        <f>IFERROR(VLOOKUP(D:D,[1]Габариты!$A:$D,4,0),"")</f>
        <v>СТЕЛЛАЖИ</v>
      </c>
      <c r="AC1086" s="39">
        <f t="shared" si="181"/>
        <v>80044776</v>
      </c>
      <c r="AD1086" s="13" t="str">
        <f t="shared" si="182"/>
        <v>FBS</v>
      </c>
    </row>
    <row r="1087" spans="1:30" s="6" customFormat="1" ht="20.100000000000001" customHeight="1" outlineLevel="1" x14ac:dyDescent="0.25">
      <c r="A1087" s="635" t="s">
        <v>1142</v>
      </c>
      <c r="B1087" s="25"/>
      <c r="C1087" s="13" t="s">
        <v>2581</v>
      </c>
      <c r="D1087" s="39">
        <v>10001</v>
      </c>
      <c r="E1087" s="4">
        <v>49</v>
      </c>
      <c r="F1087" s="101">
        <v>10001</v>
      </c>
      <c r="G1087" s="57"/>
      <c r="H1087" s="4" t="s">
        <v>7163</v>
      </c>
      <c r="I1087" s="4"/>
      <c r="J1087" s="4"/>
      <c r="K1087" s="54"/>
      <c r="L1087" s="57"/>
      <c r="M1087" s="57"/>
      <c r="N1087" s="4" t="s">
        <v>1157</v>
      </c>
      <c r="O1087" s="4">
        <v>677439740</v>
      </c>
      <c r="P1087" s="4">
        <v>677439741</v>
      </c>
      <c r="Q1087" s="767"/>
      <c r="R1087" s="767"/>
      <c r="S1087" s="4"/>
      <c r="T1087" s="4"/>
      <c r="U1087" s="4"/>
      <c r="V1087" s="4"/>
      <c r="W1087" s="4"/>
      <c r="X1087" s="4" t="s">
        <v>1157</v>
      </c>
      <c r="Y1087" s="4" t="s">
        <v>4066</v>
      </c>
      <c r="Z1087" s="35"/>
      <c r="AA1087" s="1" t="str">
        <f>IFERROR(VLOOKUP(D:D,[1]Габариты!$A:$I,9,0),"")</f>
        <v>Вакансия</v>
      </c>
      <c r="AB1087" s="6" t="str">
        <f>IFERROR(VLOOKUP(D:D,[1]Габариты!$A:$D,4,0),"")</f>
        <v>СТЕЛЛАЖИ</v>
      </c>
      <c r="AC1087" s="39">
        <f t="shared" si="181"/>
        <v>10001</v>
      </c>
      <c r="AD1087" s="13" t="str">
        <f t="shared" si="182"/>
        <v>FBS</v>
      </c>
    </row>
    <row r="1088" spans="1:30" s="6" customFormat="1" ht="20.100000000000001" customHeight="1" outlineLevel="1" x14ac:dyDescent="0.25">
      <c r="A1088" s="635" t="s">
        <v>1472</v>
      </c>
      <c r="B1088" s="25"/>
      <c r="C1088" s="13" t="s">
        <v>2581</v>
      </c>
      <c r="D1088" s="39">
        <v>80217946</v>
      </c>
      <c r="E1088" s="4">
        <v>14</v>
      </c>
      <c r="F1088" s="101">
        <v>80217946</v>
      </c>
      <c r="G1088" s="57"/>
      <c r="H1088" s="4" t="s">
        <v>7164</v>
      </c>
      <c r="I1088" s="4"/>
      <c r="J1088" s="4" t="s">
        <v>3161</v>
      </c>
      <c r="K1088" s="54"/>
      <c r="L1088" s="57"/>
      <c r="M1088" s="57"/>
      <c r="N1088" s="4" t="s">
        <v>1155</v>
      </c>
      <c r="O1088" s="4">
        <v>677359278</v>
      </c>
      <c r="P1088" s="4">
        <v>677359277</v>
      </c>
      <c r="Q1088" s="767"/>
      <c r="R1088" s="767"/>
      <c r="S1088" s="4"/>
      <c r="T1088" s="4"/>
      <c r="U1088" s="4"/>
      <c r="V1088" s="4"/>
      <c r="W1088" s="4"/>
      <c r="X1088" s="4" t="s">
        <v>1155</v>
      </c>
      <c r="Y1088" s="4">
        <v>80217946</v>
      </c>
      <c r="Z1088" s="35"/>
      <c r="AA1088" s="1" t="str">
        <f>IFERROR(VLOOKUP(D:D,[1]Габариты!$A:$I,9,0),"")</f>
        <v>Вакансия</v>
      </c>
      <c r="AB1088" s="6" t="str">
        <f>IFERROR(VLOOKUP(D:D,[1]Габариты!$A:$D,4,0),"")</f>
        <v>СТЕЛЛАЖИ</v>
      </c>
      <c r="AC1088" s="39">
        <f t="shared" si="181"/>
        <v>80217946</v>
      </c>
      <c r="AD1088" s="13" t="str">
        <f t="shared" si="182"/>
        <v>FBS</v>
      </c>
    </row>
    <row r="1089" spans="1:30" s="6" customFormat="1" ht="20.100000000000001" customHeight="1" outlineLevel="1" x14ac:dyDescent="0.25">
      <c r="A1089" s="635" t="s">
        <v>544</v>
      </c>
      <c r="B1089" s="3"/>
      <c r="C1089" s="13" t="s">
        <v>2582</v>
      </c>
      <c r="D1089" s="40">
        <v>3234</v>
      </c>
      <c r="E1089" s="4">
        <v>20</v>
      </c>
      <c r="F1089" s="101">
        <v>3234</v>
      </c>
      <c r="G1089" s="57"/>
      <c r="H1089" s="4" t="s">
        <v>7165</v>
      </c>
      <c r="I1089" s="4"/>
      <c r="J1089" s="4"/>
      <c r="K1089" s="54"/>
      <c r="L1089" s="57"/>
      <c r="M1089" s="57"/>
      <c r="N1089" s="4" t="s">
        <v>780</v>
      </c>
      <c r="O1089" s="4">
        <v>489305731</v>
      </c>
      <c r="P1089" s="4">
        <v>489305730</v>
      </c>
      <c r="Q1089" s="767"/>
      <c r="R1089" s="767"/>
      <c r="S1089" s="4"/>
      <c r="T1089" s="4"/>
      <c r="U1089" s="4"/>
      <c r="V1089" s="4"/>
      <c r="W1089" s="4" t="s">
        <v>2299</v>
      </c>
      <c r="X1089" s="4" t="s">
        <v>780</v>
      </c>
      <c r="Y1089" s="4" t="s">
        <v>4066</v>
      </c>
      <c r="Z1089" s="35"/>
      <c r="AA1089" s="1" t="str">
        <f>IFERROR(VLOOKUP(D:D,[1]Габариты!$A:$I,9,0),"")</f>
        <v>Вакансия</v>
      </c>
      <c r="AB1089" s="6" t="str">
        <f>IFERROR(VLOOKUP(D:D,[1]Габариты!$A:$D,4,0),"")</f>
        <v>СТЕЛЛАЖИ</v>
      </c>
      <c r="AC1089" s="39">
        <f t="shared" si="181"/>
        <v>3234</v>
      </c>
      <c r="AD1089" s="13" t="str">
        <f t="shared" si="182"/>
        <v>FBO</v>
      </c>
    </row>
    <row r="1090" spans="1:30" s="6" customFormat="1" ht="20.100000000000001" customHeight="1" outlineLevel="1" x14ac:dyDescent="0.25">
      <c r="A1090" s="635" t="s">
        <v>545</v>
      </c>
      <c r="B1090" s="3"/>
      <c r="C1090" s="13" t="s">
        <v>2582</v>
      </c>
      <c r="D1090" s="40">
        <v>3235</v>
      </c>
      <c r="E1090" s="4">
        <v>20</v>
      </c>
      <c r="F1090" s="101">
        <v>3235</v>
      </c>
      <c r="G1090" s="57"/>
      <c r="H1090" s="4" t="s">
        <v>7166</v>
      </c>
      <c r="I1090" s="4"/>
      <c r="J1090" s="4"/>
      <c r="K1090" s="54"/>
      <c r="L1090" s="57"/>
      <c r="M1090" s="57"/>
      <c r="N1090" s="4" t="s">
        <v>781</v>
      </c>
      <c r="O1090" s="4">
        <v>489809113</v>
      </c>
      <c r="P1090" s="4">
        <v>489809114</v>
      </c>
      <c r="Q1090" s="767"/>
      <c r="R1090" s="767"/>
      <c r="S1090" s="4"/>
      <c r="T1090" s="4"/>
      <c r="U1090" s="4"/>
      <c r="V1090" s="4"/>
      <c r="W1090" s="4" t="s">
        <v>2300</v>
      </c>
      <c r="X1090" s="4" t="s">
        <v>781</v>
      </c>
      <c r="Y1090" s="4" t="s">
        <v>4066</v>
      </c>
      <c r="Z1090" s="35"/>
      <c r="AA1090" s="1" t="str">
        <f>IFERROR(VLOOKUP(D:D,[1]Габариты!$A:$I,9,0),"")</f>
        <v>Вакансия</v>
      </c>
      <c r="AB1090" s="6" t="str">
        <f>IFERROR(VLOOKUP(D:D,[1]Габариты!$A:$D,4,0),"")</f>
        <v>СТЕЛЛАЖИ</v>
      </c>
      <c r="AC1090" s="39">
        <f t="shared" si="181"/>
        <v>3235</v>
      </c>
      <c r="AD1090" s="13" t="str">
        <f t="shared" si="182"/>
        <v>FBO</v>
      </c>
    </row>
    <row r="1091" spans="1:30" s="6" customFormat="1" ht="20.100000000000001" customHeight="1" outlineLevel="1" x14ac:dyDescent="0.25">
      <c r="A1091" s="635" t="s">
        <v>1466</v>
      </c>
      <c r="B1091" s="25"/>
      <c r="C1091" s="13" t="s">
        <v>2581</v>
      </c>
      <c r="D1091" s="39">
        <v>50217946</v>
      </c>
      <c r="E1091" s="4">
        <v>14</v>
      </c>
      <c r="F1091" s="101">
        <v>50217946</v>
      </c>
      <c r="G1091" s="57"/>
      <c r="H1091" s="4" t="s">
        <v>7167</v>
      </c>
      <c r="I1091" s="4"/>
      <c r="J1091" s="4"/>
      <c r="K1091" s="54"/>
      <c r="L1091" s="57"/>
      <c r="M1091" s="57"/>
      <c r="N1091" s="4" t="s">
        <v>1119</v>
      </c>
      <c r="O1091" s="4">
        <v>660137942</v>
      </c>
      <c r="P1091" s="4">
        <v>660137943</v>
      </c>
      <c r="Q1091" s="767"/>
      <c r="R1091" s="767"/>
      <c r="S1091" s="4"/>
      <c r="T1091" s="4"/>
      <c r="U1091" s="4"/>
      <c r="V1091" s="4"/>
      <c r="W1091" s="4"/>
      <c r="X1091" s="4" t="s">
        <v>1119</v>
      </c>
      <c r="Y1091" s="4" t="s">
        <v>4066</v>
      </c>
      <c r="Z1091" s="35"/>
      <c r="AA1091" s="1" t="str">
        <f>IFERROR(VLOOKUP(D:D,[1]Габариты!$A:$I,9,0),"")</f>
        <v>Вакансия</v>
      </c>
      <c r="AB1091" s="6" t="str">
        <f>IFERROR(VLOOKUP(D:D,[1]Габариты!$A:$D,4,0),"")</f>
        <v>СТЕЛЛАЖИ</v>
      </c>
      <c r="AC1091" s="39">
        <f t="shared" si="181"/>
        <v>50217946</v>
      </c>
      <c r="AD1091" s="13" t="str">
        <f t="shared" si="182"/>
        <v>FBS</v>
      </c>
    </row>
    <row r="1092" spans="1:30" s="6" customFormat="1" ht="20.100000000000001" customHeight="1" outlineLevel="1" x14ac:dyDescent="0.25">
      <c r="A1092" s="635" t="s">
        <v>1467</v>
      </c>
      <c r="B1092" s="25"/>
      <c r="C1092" s="13" t="s">
        <v>2581</v>
      </c>
      <c r="D1092" s="39">
        <v>80217945</v>
      </c>
      <c r="E1092" s="4">
        <v>14</v>
      </c>
      <c r="F1092" s="101">
        <v>80217945</v>
      </c>
      <c r="G1092" s="57"/>
      <c r="H1092" s="4" t="s">
        <v>7168</v>
      </c>
      <c r="I1092" s="4" t="s">
        <v>3275</v>
      </c>
      <c r="J1092" s="4"/>
      <c r="K1092" s="54"/>
      <c r="L1092" s="57"/>
      <c r="M1092" s="57"/>
      <c r="N1092" s="4" t="s">
        <v>1120</v>
      </c>
      <c r="O1092" s="4">
        <v>660163260</v>
      </c>
      <c r="P1092" s="4">
        <v>660163261</v>
      </c>
      <c r="Q1092" s="767"/>
      <c r="R1092" s="767"/>
      <c r="S1092" s="4"/>
      <c r="T1092" s="4"/>
      <c r="U1092" s="4"/>
      <c r="V1092" s="4"/>
      <c r="W1092" s="4"/>
      <c r="X1092" s="4" t="s">
        <v>1120</v>
      </c>
      <c r="Y1092" s="4">
        <v>80217945</v>
      </c>
      <c r="Z1092" s="35"/>
      <c r="AA1092" s="1" t="str">
        <f>IFERROR(VLOOKUP(D:D,[1]Габариты!$A:$I,9,0),"")</f>
        <v>Вакансия</v>
      </c>
      <c r="AB1092" s="6" t="str">
        <f>IFERROR(VLOOKUP(D:D,[1]Габариты!$A:$D,4,0),"")</f>
        <v>СТЕЛЛАЖИ</v>
      </c>
      <c r="AC1092" s="39">
        <f t="shared" si="181"/>
        <v>80217945</v>
      </c>
      <c r="AD1092" s="13" t="str">
        <f t="shared" si="182"/>
        <v>FBS</v>
      </c>
    </row>
    <row r="1093" spans="1:30" s="6" customFormat="1" ht="20.100000000000001" customHeight="1" outlineLevel="1" x14ac:dyDescent="0.25">
      <c r="A1093" s="635" t="s">
        <v>1468</v>
      </c>
      <c r="B1093" s="25"/>
      <c r="C1093" s="13" t="s">
        <v>2581</v>
      </c>
      <c r="D1093" s="39">
        <v>80044775</v>
      </c>
      <c r="E1093" s="4">
        <v>14</v>
      </c>
      <c r="F1093" s="101">
        <v>80044775</v>
      </c>
      <c r="G1093" s="57"/>
      <c r="H1093" s="4" t="s">
        <v>7169</v>
      </c>
      <c r="I1093" s="4"/>
      <c r="J1093" s="4"/>
      <c r="K1093" s="54"/>
      <c r="L1093" s="57"/>
      <c r="M1093" s="57"/>
      <c r="N1093" s="4" t="s">
        <v>1151</v>
      </c>
      <c r="O1093" s="4">
        <v>664413163</v>
      </c>
      <c r="P1093" s="4">
        <v>664413162</v>
      </c>
      <c r="Q1093" s="767"/>
      <c r="R1093" s="767"/>
      <c r="S1093" s="4"/>
      <c r="T1093" s="4"/>
      <c r="U1093" s="4"/>
      <c r="V1093" s="4"/>
      <c r="W1093" s="4"/>
      <c r="X1093" s="4" t="s">
        <v>1151</v>
      </c>
      <c r="Y1093" s="4" t="s">
        <v>4066</v>
      </c>
      <c r="Z1093" s="35"/>
      <c r="AA1093" s="1" t="str">
        <f>IFERROR(VLOOKUP(D:D,[1]Габариты!$A:$I,9,0),"")</f>
        <v>Вакансия</v>
      </c>
      <c r="AB1093" s="6" t="str">
        <f>IFERROR(VLOOKUP(D:D,[1]Габариты!$A:$D,4,0),"")</f>
        <v>СТЕЛЛАЖИ</v>
      </c>
      <c r="AC1093" s="39">
        <f t="shared" si="181"/>
        <v>80044775</v>
      </c>
      <c r="AD1093" s="13" t="str">
        <f t="shared" si="182"/>
        <v>FBS</v>
      </c>
    </row>
    <row r="1094" spans="1:30" s="6" customFormat="1" ht="20.100000000000001" customHeight="1" outlineLevel="1" x14ac:dyDescent="0.25">
      <c r="A1094" s="635" t="s">
        <v>1470</v>
      </c>
      <c r="B1094" s="25"/>
      <c r="C1094" s="13" t="s">
        <v>2581</v>
      </c>
      <c r="D1094" s="39">
        <v>80217948</v>
      </c>
      <c r="E1094" s="4">
        <v>14</v>
      </c>
      <c r="F1094" s="101">
        <v>80217948</v>
      </c>
      <c r="G1094" s="57"/>
      <c r="H1094" s="4" t="s">
        <v>7170</v>
      </c>
      <c r="I1094" s="4"/>
      <c r="J1094" s="4"/>
      <c r="K1094" s="54"/>
      <c r="L1094" s="57"/>
      <c r="M1094" s="57"/>
      <c r="N1094" s="4" t="s">
        <v>1153</v>
      </c>
      <c r="O1094" s="4">
        <v>677412485</v>
      </c>
      <c r="P1094" s="4">
        <v>677412484</v>
      </c>
      <c r="Q1094" s="767"/>
      <c r="R1094" s="767"/>
      <c r="S1094" s="4"/>
      <c r="T1094" s="4"/>
      <c r="U1094" s="4"/>
      <c r="V1094" s="4"/>
      <c r="W1094" s="4"/>
      <c r="X1094" s="4" t="s">
        <v>1153</v>
      </c>
      <c r="Y1094" s="4">
        <v>80217948</v>
      </c>
      <c r="Z1094" s="35"/>
      <c r="AA1094" s="1" t="str">
        <f>IFERROR(VLOOKUP(D:D,[1]Габариты!$A:$I,9,0),"")</f>
        <v>Вакансия</v>
      </c>
      <c r="AB1094" s="6" t="str">
        <f>IFERROR(VLOOKUP(D:D,[1]Габариты!$A:$D,4,0),"")</f>
        <v>СТЕЛЛАЖИ</v>
      </c>
      <c r="AC1094" s="39">
        <f t="shared" si="181"/>
        <v>80217948</v>
      </c>
      <c r="AD1094" s="13" t="str">
        <f t="shared" si="182"/>
        <v>FBS</v>
      </c>
    </row>
    <row r="1095" spans="1:30" s="6" customFormat="1" ht="20.100000000000001" customHeight="1" outlineLevel="1" x14ac:dyDescent="0.25">
      <c r="A1095" s="631" t="s">
        <v>531</v>
      </c>
      <c r="B1095" s="29"/>
      <c r="C1095" s="13" t="s">
        <v>2581</v>
      </c>
      <c r="D1095" s="40">
        <v>3181</v>
      </c>
      <c r="E1095" s="4">
        <v>20</v>
      </c>
      <c r="F1095" s="101">
        <v>3181</v>
      </c>
      <c r="G1095" s="57" t="s">
        <v>5040</v>
      </c>
      <c r="H1095" s="4" t="s">
        <v>7171</v>
      </c>
      <c r="I1095" s="4"/>
      <c r="J1095" s="4"/>
      <c r="K1095" s="54" t="s">
        <v>2294</v>
      </c>
      <c r="L1095" s="57">
        <v>1325055508</v>
      </c>
      <c r="M1095" s="57">
        <v>1325055508</v>
      </c>
      <c r="N1095" s="4" t="s">
        <v>903</v>
      </c>
      <c r="O1095" s="4">
        <v>466344773</v>
      </c>
      <c r="P1095" s="4">
        <v>466344772</v>
      </c>
      <c r="Q1095" s="767"/>
      <c r="R1095" s="767"/>
      <c r="S1095" s="4"/>
      <c r="T1095" s="4"/>
      <c r="U1095" s="4"/>
      <c r="V1095" s="4"/>
      <c r="W1095" s="4" t="s">
        <v>2294</v>
      </c>
      <c r="X1095" s="4" t="s">
        <v>903</v>
      </c>
      <c r="Y1095" s="4" t="s">
        <v>4066</v>
      </c>
      <c r="Z1095" s="35"/>
      <c r="AA1095" s="1" t="str">
        <f>IFERROR(VLOOKUP(D:D,[1]Габариты!$A:$I,9,0),"")</f>
        <v>Вакансия</v>
      </c>
      <c r="AB1095" s="6" t="str">
        <f>IFERROR(VLOOKUP(D:D,[1]Габариты!$A:$D,4,0),"")</f>
        <v>СТЕЛЛАЖИ</v>
      </c>
      <c r="AC1095" s="39">
        <f t="shared" si="181"/>
        <v>3181</v>
      </c>
      <c r="AD1095" s="13" t="str">
        <f t="shared" si="182"/>
        <v>FBS</v>
      </c>
    </row>
    <row r="1096" spans="1:30" s="6" customFormat="1" ht="20.100000000000001" customHeight="1" outlineLevel="1" x14ac:dyDescent="0.25">
      <c r="A1096" s="631" t="s">
        <v>532</v>
      </c>
      <c r="B1096" s="29"/>
      <c r="C1096" s="13" t="s">
        <v>3172</v>
      </c>
      <c r="D1096" s="40">
        <v>3183</v>
      </c>
      <c r="E1096" s="4">
        <v>14</v>
      </c>
      <c r="F1096" s="101">
        <v>3183</v>
      </c>
      <c r="G1096" s="57" t="s">
        <v>5041</v>
      </c>
      <c r="H1096" s="4" t="s">
        <v>7172</v>
      </c>
      <c r="I1096" s="4"/>
      <c r="J1096" s="4"/>
      <c r="K1096" s="54" t="s">
        <v>2295</v>
      </c>
      <c r="L1096" s="57">
        <v>1326903995</v>
      </c>
      <c r="M1096" s="57">
        <v>1326903995</v>
      </c>
      <c r="N1096" s="4" t="s">
        <v>2614</v>
      </c>
      <c r="O1096" s="4">
        <v>468931695</v>
      </c>
      <c r="P1096" s="4">
        <v>468931694</v>
      </c>
      <c r="Q1096" s="767"/>
      <c r="R1096" s="767"/>
      <c r="S1096" s="4"/>
      <c r="T1096" s="4"/>
      <c r="U1096" s="4"/>
      <c r="V1096" s="4"/>
      <c r="W1096" s="4" t="s">
        <v>2295</v>
      </c>
      <c r="X1096" s="4"/>
      <c r="Y1096" s="4" t="s">
        <v>4066</v>
      </c>
      <c r="Z1096" s="35"/>
      <c r="AA1096" s="1" t="str">
        <f>IFERROR(VLOOKUP(D:D,[1]Габариты!$A:$I,9,0),"")</f>
        <v>Вакансия</v>
      </c>
      <c r="AB1096" s="6" t="str">
        <f>IFERROR(VLOOKUP(D:D,[1]Габариты!$A:$D,4,0),"")</f>
        <v>СТЕЛЛАЖИ</v>
      </c>
      <c r="AC1096" s="39">
        <f t="shared" si="181"/>
        <v>3183</v>
      </c>
      <c r="AD1096" s="13" t="str">
        <f t="shared" si="182"/>
        <v xml:space="preserve">СКГТ </v>
      </c>
    </row>
    <row r="1097" spans="1:30" s="6" customFormat="1" ht="20.100000000000001" customHeight="1" outlineLevel="1" x14ac:dyDescent="0.25">
      <c r="A1097" s="631" t="s">
        <v>533</v>
      </c>
      <c r="B1097" s="29"/>
      <c r="C1097" s="13" t="s">
        <v>2581</v>
      </c>
      <c r="D1097" s="40">
        <v>3184</v>
      </c>
      <c r="E1097" s="4">
        <v>24</v>
      </c>
      <c r="F1097" s="101">
        <v>3184</v>
      </c>
      <c r="G1097" s="57" t="s">
        <v>5042</v>
      </c>
      <c r="H1097" s="4" t="s">
        <v>7173</v>
      </c>
      <c r="I1097" s="4"/>
      <c r="J1097" s="4"/>
      <c r="K1097" s="54" t="s">
        <v>2296</v>
      </c>
      <c r="L1097" s="57">
        <v>888352993</v>
      </c>
      <c r="M1097" s="57">
        <v>888352993</v>
      </c>
      <c r="N1097" s="4" t="s">
        <v>904</v>
      </c>
      <c r="O1097" s="4">
        <v>469663581</v>
      </c>
      <c r="P1097" s="4">
        <v>469663580</v>
      </c>
      <c r="Q1097" s="767"/>
      <c r="R1097" s="767"/>
      <c r="S1097" s="4"/>
      <c r="T1097" s="4"/>
      <c r="U1097" s="4"/>
      <c r="V1097" s="4"/>
      <c r="W1097" s="4" t="s">
        <v>2296</v>
      </c>
      <c r="X1097" s="4" t="s">
        <v>904</v>
      </c>
      <c r="Y1097" s="4">
        <v>3184</v>
      </c>
      <c r="Z1097" s="35"/>
      <c r="AA1097" s="1" t="str">
        <f>IFERROR(VLOOKUP(D:D,[1]Габариты!$A:$I,9,0),"")</f>
        <v>Вакансия</v>
      </c>
      <c r="AB1097" s="6" t="str">
        <f>IFERROR(VLOOKUP(D:D,[1]Габариты!$A:$D,4,0),"")</f>
        <v>СТЕЛЛАЖИ</v>
      </c>
      <c r="AC1097" s="39">
        <f t="shared" si="181"/>
        <v>3184</v>
      </c>
      <c r="AD1097" s="13" t="str">
        <f t="shared" si="182"/>
        <v>FBS</v>
      </c>
    </row>
    <row r="1098" spans="1:30" s="6" customFormat="1" ht="20.100000000000001" customHeight="1" outlineLevel="1" x14ac:dyDescent="0.25">
      <c r="A1098" s="631" t="s">
        <v>540</v>
      </c>
      <c r="B1098" s="29"/>
      <c r="C1098" s="13" t="s">
        <v>2582</v>
      </c>
      <c r="D1098" s="40">
        <v>3232</v>
      </c>
      <c r="E1098" s="4">
        <v>16</v>
      </c>
      <c r="F1098" s="101">
        <v>3232</v>
      </c>
      <c r="G1098" s="57" t="s">
        <v>5050</v>
      </c>
      <c r="H1098" s="4" t="s">
        <v>7174</v>
      </c>
      <c r="I1098" s="4"/>
      <c r="J1098" s="4"/>
      <c r="K1098" s="54" t="s">
        <v>2297</v>
      </c>
      <c r="L1098" s="57">
        <v>1339326813</v>
      </c>
      <c r="M1098" s="57">
        <v>1339326813</v>
      </c>
      <c r="N1098" s="4" t="s">
        <v>905</v>
      </c>
      <c r="O1098" s="4">
        <v>468879157</v>
      </c>
      <c r="P1098" s="4">
        <v>468879156</v>
      </c>
      <c r="Q1098" s="767"/>
      <c r="R1098" s="767"/>
      <c r="S1098" s="4"/>
      <c r="T1098" s="4"/>
      <c r="U1098" s="4"/>
      <c r="V1098" s="4"/>
      <c r="W1098" s="4" t="s">
        <v>2297</v>
      </c>
      <c r="X1098" s="4" t="s">
        <v>905</v>
      </c>
      <c r="Y1098" s="4" t="s">
        <v>4066</v>
      </c>
      <c r="Z1098" s="35"/>
      <c r="AA1098" s="1" t="str">
        <f>IFERROR(VLOOKUP(D:D,[1]Габариты!$A:$I,9,0),"")</f>
        <v>Вакансия</v>
      </c>
      <c r="AB1098" s="6" t="str">
        <f>IFERROR(VLOOKUP(D:D,[1]Габариты!$A:$D,4,0),"")</f>
        <v>СТЕЛЛАЖИ</v>
      </c>
      <c r="AC1098" s="39">
        <f t="shared" si="181"/>
        <v>3232</v>
      </c>
      <c r="AD1098" s="13" t="str">
        <f t="shared" si="182"/>
        <v>FBO</v>
      </c>
    </row>
    <row r="1099" spans="1:30" s="6" customFormat="1" ht="20.100000000000001" customHeight="1" outlineLevel="1" x14ac:dyDescent="0.25">
      <c r="A1099" s="665" t="s">
        <v>491</v>
      </c>
      <c r="B1099" s="5"/>
      <c r="C1099" s="13" t="s">
        <v>2581</v>
      </c>
      <c r="D1099" s="881">
        <v>915202</v>
      </c>
      <c r="E1099" s="4"/>
      <c r="F1099" s="101">
        <v>915202</v>
      </c>
      <c r="G1099" s="57"/>
      <c r="H1099" s="4" t="s">
        <v>7175</v>
      </c>
      <c r="I1099" s="4"/>
      <c r="J1099" s="4"/>
      <c r="K1099" s="54"/>
      <c r="L1099" s="57"/>
      <c r="M1099" s="57"/>
      <c r="N1099" s="4" t="s">
        <v>2613</v>
      </c>
      <c r="O1099" s="4">
        <v>401654805</v>
      </c>
      <c r="P1099" s="4">
        <v>401654806</v>
      </c>
      <c r="Q1099" s="767"/>
      <c r="R1099" s="767"/>
      <c r="S1099" s="4"/>
      <c r="T1099" s="4"/>
      <c r="U1099" s="4"/>
      <c r="V1099" s="4"/>
      <c r="W1099" s="4"/>
      <c r="X1099" s="4"/>
      <c r="Y1099" s="4" t="s">
        <v>4066</v>
      </c>
      <c r="Z1099" s="35"/>
      <c r="AA1099" s="1" t="str">
        <f>IFERROR(VLOOKUP(D:D,[1]Габариты!$A:$I,9,0),"")</f>
        <v>Вакансия</v>
      </c>
      <c r="AB1099" s="6" t="str">
        <f>IFERROR(VLOOKUP(D:D,[1]Габариты!$A:$D,4,0),"")</f>
        <v>СТЕЛЛАЖИ</v>
      </c>
      <c r="AC1099" s="39">
        <f t="shared" si="181"/>
        <v>915202</v>
      </c>
      <c r="AD1099" s="13" t="str">
        <f t="shared" si="182"/>
        <v>FBS</v>
      </c>
    </row>
    <row r="1100" spans="1:30" s="6" customFormat="1" ht="20.100000000000001" customHeight="1" outlineLevel="1" x14ac:dyDescent="0.25">
      <c r="A1100" s="635" t="s">
        <v>504</v>
      </c>
      <c r="B1100" s="25"/>
      <c r="C1100" s="13" t="s">
        <v>2581</v>
      </c>
      <c r="D1100" s="40">
        <v>3167</v>
      </c>
      <c r="E1100" s="4">
        <v>17</v>
      </c>
      <c r="F1100" s="101">
        <v>3167</v>
      </c>
      <c r="G1100" s="57" t="s">
        <v>5033</v>
      </c>
      <c r="H1100" s="4"/>
      <c r="I1100" s="4"/>
      <c r="J1100" s="4"/>
      <c r="K1100" s="54" t="s">
        <v>2289</v>
      </c>
      <c r="L1100" s="57">
        <v>415968420</v>
      </c>
      <c r="M1100" s="57">
        <v>415968420</v>
      </c>
      <c r="N1100" s="766"/>
      <c r="O1100" s="4"/>
      <c r="P1100" s="4"/>
      <c r="Q1100" s="767"/>
      <c r="R1100" s="767"/>
      <c r="S1100" s="4"/>
      <c r="T1100" s="4"/>
      <c r="U1100" s="4"/>
      <c r="V1100" s="4"/>
      <c r="W1100" s="4" t="s">
        <v>2289</v>
      </c>
      <c r="X1100" s="4" t="s">
        <v>899</v>
      </c>
      <c r="Y1100" s="4" t="s">
        <v>4066</v>
      </c>
      <c r="Z1100" s="35"/>
      <c r="AA1100" s="1" t="str">
        <f>IFERROR(VLOOKUP(D:D,[1]Габариты!$A:$I,9,0),"")</f>
        <v>Вакансия</v>
      </c>
      <c r="AB1100" s="6" t="str">
        <f>IFERROR(VLOOKUP(D:D,[1]Габариты!$A:$D,4,0),"")</f>
        <v>СТЕЛЛАЖИ</v>
      </c>
      <c r="AC1100" s="39">
        <f t="shared" si="181"/>
        <v>3167</v>
      </c>
      <c r="AD1100" s="13" t="str">
        <f t="shared" si="182"/>
        <v>FBS</v>
      </c>
    </row>
    <row r="1101" spans="1:30" s="6" customFormat="1" ht="20.100000000000001" customHeight="1" outlineLevel="1" x14ac:dyDescent="0.25">
      <c r="A1101" s="635" t="s">
        <v>505</v>
      </c>
      <c r="B1101" s="25"/>
      <c r="C1101" s="13" t="s">
        <v>2581</v>
      </c>
      <c r="D1101" s="39">
        <v>9417</v>
      </c>
      <c r="E1101" s="4"/>
      <c r="F1101" s="101">
        <v>9417</v>
      </c>
      <c r="G1101" s="57"/>
      <c r="H1101" s="4" t="s">
        <v>7176</v>
      </c>
      <c r="I1101" s="4"/>
      <c r="J1101" s="4"/>
      <c r="K1101" s="54"/>
      <c r="L1101" s="57"/>
      <c r="M1101" s="57"/>
      <c r="N1101" s="4" t="s">
        <v>900</v>
      </c>
      <c r="O1101" s="4">
        <v>416171543</v>
      </c>
      <c r="P1101" s="4">
        <v>416171544</v>
      </c>
      <c r="Q1101" s="767"/>
      <c r="R1101" s="767"/>
      <c r="S1101" s="4"/>
      <c r="T1101" s="4"/>
      <c r="U1101" s="4"/>
      <c r="V1101" s="4"/>
      <c r="W1101" s="4" t="s">
        <v>2290</v>
      </c>
      <c r="X1101" s="4" t="s">
        <v>900</v>
      </c>
      <c r="Y1101" s="4" t="s">
        <v>4066</v>
      </c>
      <c r="Z1101" s="35"/>
      <c r="AA1101" s="1" t="str">
        <f>IFERROR(VLOOKUP(D:D,[1]Габариты!$A:$I,9,0),"")</f>
        <v>Вакансия</v>
      </c>
      <c r="AB1101" s="6" t="str">
        <f>IFERROR(VLOOKUP(D:D,[1]Габариты!$A:$D,4,0),"")</f>
        <v>СТЕЛЛАЖИ</v>
      </c>
      <c r="AC1101" s="39">
        <f t="shared" si="181"/>
        <v>9417</v>
      </c>
      <c r="AD1101" s="13" t="str">
        <f t="shared" si="182"/>
        <v>FBS</v>
      </c>
    </row>
    <row r="1102" spans="1:30" s="6" customFormat="1" ht="20.100000000000001" customHeight="1" outlineLevel="1" x14ac:dyDescent="0.25">
      <c r="A1102" s="665" t="s">
        <v>488</v>
      </c>
      <c r="B1102" s="5"/>
      <c r="C1102" s="13" t="s">
        <v>4050</v>
      </c>
      <c r="D1102" s="881">
        <v>580356</v>
      </c>
      <c r="E1102" s="4"/>
      <c r="F1102" s="101">
        <v>580356</v>
      </c>
      <c r="G1102" s="57"/>
      <c r="H1102" s="4" t="s">
        <v>7177</v>
      </c>
      <c r="I1102" s="4"/>
      <c r="J1102" s="4"/>
      <c r="K1102" s="54"/>
      <c r="L1102" s="57"/>
      <c r="M1102" s="57"/>
      <c r="N1102" s="4" t="s">
        <v>3436</v>
      </c>
      <c r="O1102" s="4">
        <v>407161111</v>
      </c>
      <c r="P1102" s="4">
        <v>407161112</v>
      </c>
      <c r="Q1102" s="767"/>
      <c r="R1102" s="767"/>
      <c r="S1102" s="4"/>
      <c r="T1102" s="4"/>
      <c r="U1102" s="4"/>
      <c r="V1102" s="4"/>
      <c r="W1102" s="4"/>
      <c r="X1102" s="4"/>
      <c r="Y1102" s="4" t="s">
        <v>4066</v>
      </c>
      <c r="Z1102" s="35"/>
      <c r="AA1102" s="1" t="str">
        <f>IFERROR(VLOOKUP(D:D,[1]Габариты!$A:$I,9,0),"")</f>
        <v>Вакансия</v>
      </c>
      <c r="AB1102" s="6" t="str">
        <f>IFERROR(VLOOKUP(D:D,[1]Габариты!$A:$D,4,0),"")</f>
        <v>СТЕЛЛАЖИ</v>
      </c>
      <c r="AC1102" s="39">
        <f t="shared" si="181"/>
        <v>580356</v>
      </c>
      <c r="AD1102" s="13" t="str">
        <f t="shared" si="182"/>
        <v>СКГТ (ОЗОН)</v>
      </c>
    </row>
    <row r="1103" spans="1:30" s="6" customFormat="1" ht="20.100000000000001" customHeight="1" outlineLevel="1" x14ac:dyDescent="0.25">
      <c r="A1103" s="665" t="s">
        <v>1464</v>
      </c>
      <c r="B1103" s="2"/>
      <c r="C1103" s="13" t="s">
        <v>3172</v>
      </c>
      <c r="D1103" s="883">
        <v>80044774</v>
      </c>
      <c r="E1103" s="4">
        <v>22</v>
      </c>
      <c r="F1103" s="101">
        <v>80044774</v>
      </c>
      <c r="G1103" s="57"/>
      <c r="H1103" s="4" t="s">
        <v>7178</v>
      </c>
      <c r="I1103" s="4"/>
      <c r="J1103" s="4"/>
      <c r="K1103" s="54"/>
      <c r="L1103" s="57"/>
      <c r="M1103" s="57"/>
      <c r="N1103" s="4" t="s">
        <v>2611</v>
      </c>
      <c r="O1103" s="4">
        <v>387358842</v>
      </c>
      <c r="P1103" s="4">
        <v>387358843</v>
      </c>
      <c r="Q1103" s="767"/>
      <c r="R1103" s="767"/>
      <c r="S1103" s="4"/>
      <c r="T1103" s="4"/>
      <c r="U1103" s="4"/>
      <c r="V1103" s="4"/>
      <c r="W1103" s="4"/>
      <c r="X1103" s="4"/>
      <c r="Y1103" s="4" t="s">
        <v>4066</v>
      </c>
      <c r="Z1103" s="35"/>
      <c r="AA1103" s="1" t="str">
        <f>IFERROR(VLOOKUP(D:D,[1]Габариты!$A:$I,9,0),"")</f>
        <v>Вакансия</v>
      </c>
      <c r="AB1103" s="6" t="str">
        <f>IFERROR(VLOOKUP(D:D,[1]Габариты!$A:$D,4,0),"")</f>
        <v>СТЕЛЛАЖИ</v>
      </c>
      <c r="AC1103" s="39">
        <f t="shared" si="181"/>
        <v>80044774</v>
      </c>
      <c r="AD1103" s="13" t="str">
        <f t="shared" si="182"/>
        <v xml:space="preserve">СКГТ </v>
      </c>
    </row>
    <row r="1104" spans="1:30" s="6" customFormat="1" ht="20.100000000000001" customHeight="1" outlineLevel="1" x14ac:dyDescent="0.25">
      <c r="A1104" s="635" t="s">
        <v>1465</v>
      </c>
      <c r="B1104" s="15"/>
      <c r="C1104" s="13" t="s">
        <v>3172</v>
      </c>
      <c r="D1104" s="39">
        <v>80217944</v>
      </c>
      <c r="E1104" s="4">
        <v>22</v>
      </c>
      <c r="F1104" s="101">
        <v>80217944</v>
      </c>
      <c r="G1104" s="57"/>
      <c r="H1104" s="4" t="s">
        <v>7179</v>
      </c>
      <c r="I1104" s="4"/>
      <c r="J1104" s="4"/>
      <c r="K1104" s="54"/>
      <c r="L1104" s="57"/>
      <c r="M1104" s="57"/>
      <c r="N1104" s="4" t="s">
        <v>2612</v>
      </c>
      <c r="O1104" s="4">
        <v>387330208</v>
      </c>
      <c r="P1104" s="4">
        <v>387330209</v>
      </c>
      <c r="Q1104" s="4" t="s">
        <v>2819</v>
      </c>
      <c r="R1104" s="767">
        <v>389095442</v>
      </c>
      <c r="S1104" s="4">
        <v>389095441</v>
      </c>
      <c r="T1104" s="4"/>
      <c r="U1104" s="4"/>
      <c r="V1104" s="4"/>
      <c r="W1104" s="4"/>
      <c r="X1104" s="4"/>
      <c r="Y1104" s="4" t="s">
        <v>4066</v>
      </c>
      <c r="Z1104" s="35"/>
      <c r="AA1104" s="1" t="str">
        <f>IFERROR(VLOOKUP(D:D,[1]Габариты!$A:$I,9,0),"")</f>
        <v>Вакансия</v>
      </c>
      <c r="AB1104" s="6" t="str">
        <f>IFERROR(VLOOKUP(D:D,[1]Габариты!$A:$D,4,0),"")</f>
        <v>СТЕЛЛАЖИ</v>
      </c>
      <c r="AC1104" s="39">
        <f t="shared" si="181"/>
        <v>80217944</v>
      </c>
      <c r="AD1104" s="13" t="str">
        <f t="shared" si="182"/>
        <v xml:space="preserve">СКГТ </v>
      </c>
    </row>
    <row r="1105" spans="1:30" s="6" customFormat="1" ht="20.100000000000001" customHeight="1" outlineLevel="1" x14ac:dyDescent="0.25">
      <c r="A1105" s="665" t="s">
        <v>485</v>
      </c>
      <c r="B1105" s="5"/>
      <c r="C1105" s="13" t="s">
        <v>2581</v>
      </c>
      <c r="D1105" s="881">
        <v>9409</v>
      </c>
      <c r="E1105" s="4"/>
      <c r="F1105" s="101">
        <v>9409</v>
      </c>
      <c r="G1105" s="57"/>
      <c r="H1105" s="4" t="s">
        <v>7180</v>
      </c>
      <c r="I1105" s="4"/>
      <c r="J1105" s="4"/>
      <c r="K1105" s="54"/>
      <c r="L1105" s="57"/>
      <c r="M1105" s="57"/>
      <c r="N1105" s="4" t="s">
        <v>897</v>
      </c>
      <c r="O1105" s="4">
        <v>407067181</v>
      </c>
      <c r="P1105" s="4">
        <v>407067180</v>
      </c>
      <c r="Q1105" s="767"/>
      <c r="R1105" s="767"/>
      <c r="S1105" s="4"/>
      <c r="T1105" s="4"/>
      <c r="U1105" s="4"/>
      <c r="V1105" s="4"/>
      <c r="W1105" s="4"/>
      <c r="X1105" s="4" t="s">
        <v>897</v>
      </c>
      <c r="Y1105" s="4" t="s">
        <v>4066</v>
      </c>
      <c r="Z1105" s="35"/>
      <c r="AA1105" s="1" t="str">
        <f>IFERROR(VLOOKUP(D:D,[1]Габариты!$A:$I,9,0),"")</f>
        <v>Вакансия</v>
      </c>
      <c r="AB1105" s="6" t="str">
        <f>IFERROR(VLOOKUP(D:D,[1]Габариты!$A:$D,4,0),"")</f>
        <v>СТЕЛЛАЖИ</v>
      </c>
      <c r="AC1105" s="39">
        <f t="shared" ref="AC1105:AC1168" si="183">D1105</f>
        <v>9409</v>
      </c>
      <c r="AD1105" s="13" t="str">
        <f t="shared" si="182"/>
        <v>FBS</v>
      </c>
    </row>
    <row r="1106" spans="1:30" s="6" customFormat="1" ht="20.100000000000001" customHeight="1" outlineLevel="1" x14ac:dyDescent="0.25">
      <c r="A1106" s="635" t="s">
        <v>130</v>
      </c>
      <c r="B1106" s="3"/>
      <c r="C1106" s="13" t="s">
        <v>2581</v>
      </c>
      <c r="D1106" s="39">
        <v>2667</v>
      </c>
      <c r="E1106" s="4">
        <v>47</v>
      </c>
      <c r="F1106" s="101">
        <v>2667</v>
      </c>
      <c r="G1106" s="57" t="s">
        <v>4862</v>
      </c>
      <c r="H1106" s="4"/>
      <c r="I1106" s="4"/>
      <c r="J1106" s="4"/>
      <c r="K1106" s="54"/>
      <c r="L1106" s="57"/>
      <c r="M1106" s="57"/>
      <c r="N1106" s="766" t="s">
        <v>642</v>
      </c>
      <c r="O1106" s="4">
        <v>266748903</v>
      </c>
      <c r="P1106" s="4">
        <v>266748931</v>
      </c>
      <c r="Q1106" s="767" t="s">
        <v>2804</v>
      </c>
      <c r="R1106" s="767">
        <v>348150246</v>
      </c>
      <c r="S1106" s="4">
        <v>348150297</v>
      </c>
      <c r="T1106" s="4"/>
      <c r="U1106" s="4"/>
      <c r="V1106" s="4"/>
      <c r="W1106" s="4" t="s">
        <v>2271</v>
      </c>
      <c r="X1106" s="4" t="s">
        <v>642</v>
      </c>
      <c r="Y1106" s="4" t="s">
        <v>4066</v>
      </c>
      <c r="Z1106" s="35"/>
      <c r="AA1106" s="1" t="str">
        <f>IFERROR(VLOOKUP(D:D,[1]Габариты!$A:$I,9,0),"")</f>
        <v>Вакансия</v>
      </c>
      <c r="AB1106" s="6" t="str">
        <f>IFERROR(VLOOKUP(D:D,[1]Габариты!$A:$D,4,0),"")</f>
        <v>СТЕЛЛАЖИ</v>
      </c>
      <c r="AC1106" s="39">
        <f t="shared" si="183"/>
        <v>2667</v>
      </c>
      <c r="AD1106" s="13" t="str">
        <f t="shared" si="182"/>
        <v>FBS</v>
      </c>
    </row>
    <row r="1107" spans="1:30" s="6" customFormat="1" ht="20.100000000000001" customHeight="1" outlineLevel="1" x14ac:dyDescent="0.25">
      <c r="A1107" s="635" t="s">
        <v>146</v>
      </c>
      <c r="B1107" s="3"/>
      <c r="C1107" s="13" t="s">
        <v>4328</v>
      </c>
      <c r="D1107" s="39">
        <v>2636</v>
      </c>
      <c r="E1107" s="4">
        <v>18</v>
      </c>
      <c r="F1107" s="101">
        <v>2636</v>
      </c>
      <c r="G1107" s="57"/>
      <c r="H1107" s="4" t="s">
        <v>7181</v>
      </c>
      <c r="I1107" s="4" t="s">
        <v>1255</v>
      </c>
      <c r="J1107" s="4"/>
      <c r="K1107" s="54"/>
      <c r="L1107" s="57"/>
      <c r="M1107" s="57"/>
      <c r="N1107" s="4" t="s">
        <v>892</v>
      </c>
      <c r="O1107" s="4">
        <v>268981805</v>
      </c>
      <c r="P1107" s="4">
        <v>268981848</v>
      </c>
      <c r="Q1107" s="767" t="s">
        <v>2805</v>
      </c>
      <c r="R1107" s="767">
        <v>356597836</v>
      </c>
      <c r="S1107" s="4">
        <v>356597837</v>
      </c>
      <c r="T1107" s="4"/>
      <c r="U1107" s="4"/>
      <c r="V1107" s="4"/>
      <c r="W1107" s="4" t="s">
        <v>2272</v>
      </c>
      <c r="X1107" s="4" t="s">
        <v>892</v>
      </c>
      <c r="Y1107" s="4" t="s">
        <v>4066</v>
      </c>
      <c r="Z1107" s="35"/>
      <c r="AA1107" s="1" t="str">
        <f>IFERROR(VLOOKUP(D:D,[1]Габариты!$A:$I,9,0),"")</f>
        <v>Вакансия</v>
      </c>
      <c r="AB1107" s="6" t="str">
        <f>IFERROR(VLOOKUP(D:D,[1]Габариты!$A:$D,4,0),"")</f>
        <v>СТЕЛЛАЖИ</v>
      </c>
      <c r="AC1107" s="39">
        <f t="shared" si="183"/>
        <v>2636</v>
      </c>
      <c r="AD1107" s="13" t="str">
        <f t="shared" si="182"/>
        <v>СКГТ</v>
      </c>
    </row>
    <row r="1108" spans="1:30" s="6" customFormat="1" ht="20.100000000000001" customHeight="1" outlineLevel="1" x14ac:dyDescent="0.25">
      <c r="A1108" s="635" t="s">
        <v>147</v>
      </c>
      <c r="B1108" s="3"/>
      <c r="C1108" s="13" t="s">
        <v>3172</v>
      </c>
      <c r="D1108" s="39">
        <v>2637</v>
      </c>
      <c r="E1108" s="4">
        <v>18</v>
      </c>
      <c r="F1108" s="101">
        <v>2637</v>
      </c>
      <c r="G1108" s="57"/>
      <c r="H1108" s="4" t="s">
        <v>7182</v>
      </c>
      <c r="I1108" s="4"/>
      <c r="J1108" s="4"/>
      <c r="K1108" s="54"/>
      <c r="L1108" s="57"/>
      <c r="M1108" s="57"/>
      <c r="N1108" s="4" t="s">
        <v>893</v>
      </c>
      <c r="O1108" s="4">
        <v>268983317</v>
      </c>
      <c r="P1108" s="4">
        <v>268983340</v>
      </c>
      <c r="Q1108" s="767" t="s">
        <v>2806</v>
      </c>
      <c r="R1108" s="767">
        <v>356450702</v>
      </c>
      <c r="S1108" s="4">
        <v>356450701</v>
      </c>
      <c r="T1108" s="4"/>
      <c r="U1108" s="4"/>
      <c r="V1108" s="4"/>
      <c r="W1108" s="4" t="s">
        <v>2273</v>
      </c>
      <c r="X1108" s="4" t="s">
        <v>893</v>
      </c>
      <c r="Y1108" s="4" t="s">
        <v>4066</v>
      </c>
      <c r="Z1108" s="35"/>
      <c r="AA1108" s="1" t="str">
        <f>IFERROR(VLOOKUP(D:D,[1]Габариты!$A:$I,9,0),"")</f>
        <v>Вакансия</v>
      </c>
      <c r="AB1108" s="6" t="str">
        <f>IFERROR(VLOOKUP(D:D,[1]Габариты!$A:$D,4,0),"")</f>
        <v>СТЕЛЛАЖИ</v>
      </c>
      <c r="AC1108" s="39">
        <f t="shared" si="183"/>
        <v>2637</v>
      </c>
      <c r="AD1108" s="13" t="str">
        <f t="shared" ref="AD1108:AD1263" si="184">C1108</f>
        <v xml:space="preserve">СКГТ </v>
      </c>
    </row>
    <row r="1109" spans="1:30" s="6" customFormat="1" ht="20.100000000000001" customHeight="1" outlineLevel="1" x14ac:dyDescent="0.25">
      <c r="A1109" s="665" t="s">
        <v>450</v>
      </c>
      <c r="B1109" s="20"/>
      <c r="C1109" s="13" t="s">
        <v>2581</v>
      </c>
      <c r="D1109" s="879">
        <v>3080</v>
      </c>
      <c r="E1109" s="4">
        <v>36</v>
      </c>
      <c r="F1109" s="101">
        <v>3080</v>
      </c>
      <c r="G1109" s="57" t="s">
        <v>4996</v>
      </c>
      <c r="H1109" s="4" t="s">
        <v>7183</v>
      </c>
      <c r="I1109" s="4" t="s">
        <v>1256</v>
      </c>
      <c r="J1109" s="4"/>
      <c r="K1109" s="54"/>
      <c r="L1109" s="57"/>
      <c r="M1109" s="57"/>
      <c r="N1109" s="4" t="s">
        <v>769</v>
      </c>
      <c r="O1109" s="4">
        <v>370946493</v>
      </c>
      <c r="P1109" s="4">
        <v>370946492</v>
      </c>
      <c r="Q1109" s="767" t="s">
        <v>2814</v>
      </c>
      <c r="R1109" s="767">
        <v>371282388</v>
      </c>
      <c r="S1109" s="4">
        <v>371282389</v>
      </c>
      <c r="T1109" s="4"/>
      <c r="U1109" s="4"/>
      <c r="V1109" s="4"/>
      <c r="W1109" s="4" t="s">
        <v>2282</v>
      </c>
      <c r="X1109" s="4" t="s">
        <v>769</v>
      </c>
      <c r="Y1109" s="4" t="s">
        <v>4066</v>
      </c>
      <c r="Z1109" s="35"/>
      <c r="AA1109" s="1" t="str">
        <f>IFERROR(VLOOKUP(D:D,[1]Габариты!$A:$I,9,0),"")</f>
        <v>Вакансия</v>
      </c>
      <c r="AB1109" s="6" t="str">
        <f>IFERROR(VLOOKUP(D:D,[1]Габариты!$A:$D,4,0),"")</f>
        <v>СТЕЛЛАЖИ</v>
      </c>
      <c r="AC1109" s="39">
        <f t="shared" si="183"/>
        <v>3080</v>
      </c>
      <c r="AD1109" s="13" t="str">
        <f t="shared" si="184"/>
        <v>FBS</v>
      </c>
    </row>
    <row r="1110" spans="1:30" s="6" customFormat="1" ht="20.100000000000001" customHeight="1" outlineLevel="1" x14ac:dyDescent="0.25">
      <c r="A1110" s="665" t="s">
        <v>451</v>
      </c>
      <c r="B1110" s="20"/>
      <c r="C1110" s="13" t="s">
        <v>2581</v>
      </c>
      <c r="D1110" s="879">
        <v>3081</v>
      </c>
      <c r="E1110" s="4">
        <v>36</v>
      </c>
      <c r="F1110" s="101">
        <v>3081</v>
      </c>
      <c r="G1110" s="57" t="s">
        <v>4997</v>
      </c>
      <c r="H1110" s="4" t="s">
        <v>7184</v>
      </c>
      <c r="I1110" s="4" t="s">
        <v>1257</v>
      </c>
      <c r="J1110" s="4"/>
      <c r="K1110" s="54"/>
      <c r="L1110" s="57"/>
      <c r="M1110" s="57"/>
      <c r="N1110" s="4" t="s">
        <v>770</v>
      </c>
      <c r="O1110" s="4">
        <v>373147178</v>
      </c>
      <c r="P1110" s="4">
        <v>373147177</v>
      </c>
      <c r="Q1110" s="767" t="s">
        <v>2815</v>
      </c>
      <c r="R1110" s="767">
        <v>373350446</v>
      </c>
      <c r="S1110" s="4">
        <v>373350444</v>
      </c>
      <c r="T1110" s="4"/>
      <c r="U1110" s="4"/>
      <c r="V1110" s="4"/>
      <c r="W1110" s="4" t="s">
        <v>2283</v>
      </c>
      <c r="X1110" s="4" t="s">
        <v>770</v>
      </c>
      <c r="Y1110" s="4" t="s">
        <v>4066</v>
      </c>
      <c r="Z1110" s="35"/>
      <c r="AA1110" s="1" t="str">
        <f>IFERROR(VLOOKUP(D:D,[1]Габариты!$A:$I,9,0),"")</f>
        <v>Вакансия</v>
      </c>
      <c r="AB1110" s="6" t="str">
        <f>IFERROR(VLOOKUP(D:D,[1]Габариты!$A:$D,4,0),"")</f>
        <v>СТЕЛЛАЖИ</v>
      </c>
      <c r="AC1110" s="39">
        <f t="shared" si="183"/>
        <v>3081</v>
      </c>
      <c r="AD1110" s="13" t="str">
        <f t="shared" si="184"/>
        <v>FBS</v>
      </c>
    </row>
    <row r="1111" spans="1:30" s="6" customFormat="1" ht="20.100000000000001" customHeight="1" outlineLevel="1" x14ac:dyDescent="0.25">
      <c r="A1111" s="665" t="s">
        <v>295</v>
      </c>
      <c r="B1111" s="2"/>
      <c r="C1111" s="13" t="s">
        <v>3172</v>
      </c>
      <c r="D1111" s="40">
        <v>3082</v>
      </c>
      <c r="E1111" s="4">
        <v>15</v>
      </c>
      <c r="F1111" s="101">
        <v>3082</v>
      </c>
      <c r="G1111" s="57" t="s">
        <v>4998</v>
      </c>
      <c r="H1111" s="4" t="s">
        <v>7185</v>
      </c>
      <c r="I1111" s="4"/>
      <c r="J1111" s="4"/>
      <c r="K1111" s="54"/>
      <c r="L1111" s="57"/>
      <c r="M1111" s="57"/>
      <c r="N1111" s="4" t="s">
        <v>888</v>
      </c>
      <c r="O1111" s="4">
        <v>296636549</v>
      </c>
      <c r="P1111" s="4">
        <v>296636552</v>
      </c>
      <c r="Q1111" s="767"/>
      <c r="R1111" s="767"/>
      <c r="S1111" s="4"/>
      <c r="T1111" s="4"/>
      <c r="U1111" s="4"/>
      <c r="V1111" s="4"/>
      <c r="W1111" s="4" t="s">
        <v>2256</v>
      </c>
      <c r="X1111" s="4" t="s">
        <v>888</v>
      </c>
      <c r="Y1111" s="4" t="s">
        <v>4066</v>
      </c>
      <c r="Z1111" s="35"/>
      <c r="AA1111" s="1" t="str">
        <f>IFERROR(VLOOKUP(D:D,[1]Габариты!$A:$I,9,0),"")</f>
        <v>Вакансия</v>
      </c>
      <c r="AB1111" s="6" t="str">
        <f>IFERROR(VLOOKUP(D:D,[1]Габариты!$A:$D,4,0),"")</f>
        <v>СТЕЛЛАЖИ</v>
      </c>
      <c r="AC1111" s="39">
        <f t="shared" si="183"/>
        <v>3082</v>
      </c>
      <c r="AD1111" s="13" t="str">
        <f t="shared" si="184"/>
        <v xml:space="preserve">СКГТ </v>
      </c>
    </row>
    <row r="1112" spans="1:30" s="6" customFormat="1" ht="20.100000000000001" customHeight="1" outlineLevel="1" x14ac:dyDescent="0.25">
      <c r="A1112" s="665" t="s">
        <v>314</v>
      </c>
      <c r="B1112" s="5"/>
      <c r="C1112" s="13" t="s">
        <v>2582</v>
      </c>
      <c r="D1112" s="820">
        <v>9393</v>
      </c>
      <c r="E1112" s="4">
        <v>20</v>
      </c>
      <c r="F1112" s="101">
        <v>9393</v>
      </c>
      <c r="G1112" s="57"/>
      <c r="H1112" s="4" t="s">
        <v>7186</v>
      </c>
      <c r="I1112" s="4" t="s">
        <v>1249</v>
      </c>
      <c r="J1112" s="4"/>
      <c r="K1112" s="54"/>
      <c r="L1112" s="57"/>
      <c r="M1112" s="57"/>
      <c r="N1112" s="4" t="s">
        <v>889</v>
      </c>
      <c r="O1112" s="4">
        <v>323250932</v>
      </c>
      <c r="P1112" s="4">
        <v>323250949</v>
      </c>
      <c r="Q1112" s="767"/>
      <c r="R1112" s="767"/>
      <c r="S1112" s="4"/>
      <c r="T1112" s="4"/>
      <c r="U1112" s="4"/>
      <c r="V1112" s="4"/>
      <c r="W1112" s="4" t="s">
        <v>2262</v>
      </c>
      <c r="X1112" s="4" t="s">
        <v>889</v>
      </c>
      <c r="Y1112" s="4" t="s">
        <v>4066</v>
      </c>
      <c r="Z1112" s="35"/>
      <c r="AA1112" s="1" t="str">
        <f>IFERROR(VLOOKUP(D:D,[1]Габариты!$A:$I,9,0),"")</f>
        <v>Вакансия</v>
      </c>
      <c r="AB1112" s="6" t="str">
        <f>IFERROR(VLOOKUP(D:D,[1]Габариты!$A:$D,4,0),"")</f>
        <v>СТЕЛЛАЖИ</v>
      </c>
      <c r="AC1112" s="39">
        <f t="shared" si="183"/>
        <v>9393</v>
      </c>
      <c r="AD1112" s="13" t="str">
        <f t="shared" si="184"/>
        <v>FBO</v>
      </c>
    </row>
    <row r="1113" spans="1:30" s="6" customFormat="1" ht="20.100000000000001" customHeight="1" outlineLevel="1" x14ac:dyDescent="0.25">
      <c r="A1113" s="665" t="s">
        <v>376</v>
      </c>
      <c r="B1113" s="5"/>
      <c r="C1113" s="13" t="s">
        <v>2582</v>
      </c>
      <c r="D1113" s="40">
        <v>580351</v>
      </c>
      <c r="E1113" s="4"/>
      <c r="F1113" s="101">
        <v>580351</v>
      </c>
      <c r="G1113" s="57"/>
      <c r="H1113" s="4" t="s">
        <v>7187</v>
      </c>
      <c r="I1113" s="4" t="s">
        <v>1234</v>
      </c>
      <c r="J1113" s="4"/>
      <c r="K1113" s="54"/>
      <c r="L1113" s="57"/>
      <c r="M1113" s="57"/>
      <c r="N1113" s="766" t="s">
        <v>799</v>
      </c>
      <c r="O1113" s="4">
        <v>294068730</v>
      </c>
      <c r="P1113" s="4">
        <v>294068732</v>
      </c>
      <c r="Q1113" s="767"/>
      <c r="R1113" s="767"/>
      <c r="S1113" s="4"/>
      <c r="T1113" s="4"/>
      <c r="U1113" s="4"/>
      <c r="V1113" s="4"/>
      <c r="W1113" s="4"/>
      <c r="X1113" s="4" t="s">
        <v>799</v>
      </c>
      <c r="Y1113" s="4" t="s">
        <v>4066</v>
      </c>
      <c r="Z1113" s="35"/>
      <c r="AA1113" s="1" t="str">
        <f>IFERROR(VLOOKUP(D:D,[1]Габариты!$A:$I,9,0),"")</f>
        <v>Вакансия</v>
      </c>
      <c r="AB1113" s="6" t="str">
        <f>IFERROR(VLOOKUP(D:D,[1]Габариты!$A:$D,4,0),"")</f>
        <v>СТЕЛЛАЖИ</v>
      </c>
      <c r="AC1113" s="39">
        <f t="shared" si="183"/>
        <v>580351</v>
      </c>
      <c r="AD1113" s="13" t="str">
        <f t="shared" si="184"/>
        <v>FBO</v>
      </c>
    </row>
    <row r="1114" spans="1:30" s="6" customFormat="1" ht="20.100000000000001" customHeight="1" outlineLevel="1" x14ac:dyDescent="0.25">
      <c r="A1114" s="665" t="s">
        <v>367</v>
      </c>
      <c r="B1114" s="5"/>
      <c r="C1114" s="13" t="s">
        <v>2582</v>
      </c>
      <c r="D1114" s="39">
        <v>580326</v>
      </c>
      <c r="E1114" s="4"/>
      <c r="F1114" s="101">
        <v>580326</v>
      </c>
      <c r="G1114" s="57"/>
      <c r="H1114" s="4" t="s">
        <v>7188</v>
      </c>
      <c r="I1114" s="4"/>
      <c r="J1114" s="4"/>
      <c r="K1114" s="54"/>
      <c r="L1114" s="57"/>
      <c r="M1114" s="57"/>
      <c r="N1114" s="4" t="s">
        <v>2610</v>
      </c>
      <c r="O1114" s="4">
        <v>323510632</v>
      </c>
      <c r="P1114" s="4">
        <v>323510670</v>
      </c>
      <c r="Q1114" s="767" t="s">
        <v>2786</v>
      </c>
      <c r="R1114" s="767">
        <v>342839787</v>
      </c>
      <c r="S1114" s="4">
        <v>342839826</v>
      </c>
      <c r="T1114" s="4"/>
      <c r="U1114" s="4"/>
      <c r="V1114" s="4"/>
      <c r="W1114" s="4"/>
      <c r="X1114" s="4"/>
      <c r="Y1114" s="4" t="s">
        <v>4066</v>
      </c>
      <c r="Z1114" s="35"/>
      <c r="AA1114" s="1" t="str">
        <f>IFERROR(VLOOKUP(D:D,[1]Габариты!$A:$I,9,0),"")</f>
        <v>Вакансия</v>
      </c>
      <c r="AB1114" s="6" t="str">
        <f>IFERROR(VLOOKUP(D:D,[1]Габариты!$A:$D,4,0),"")</f>
        <v>СТЕЛЛАЖИ</v>
      </c>
      <c r="AC1114" s="39">
        <f t="shared" si="183"/>
        <v>580326</v>
      </c>
      <c r="AD1114" s="13" t="str">
        <f t="shared" si="184"/>
        <v>FBO</v>
      </c>
    </row>
    <row r="1115" spans="1:30" s="6" customFormat="1" ht="20.100000000000001" customHeight="1" outlineLevel="1" x14ac:dyDescent="0.25">
      <c r="A1115" s="665" t="s">
        <v>251</v>
      </c>
      <c r="B1115" s="8"/>
      <c r="C1115" s="13" t="s">
        <v>2581</v>
      </c>
      <c r="D1115" s="39">
        <v>3008</v>
      </c>
      <c r="E1115" s="4">
        <v>19</v>
      </c>
      <c r="F1115" s="101">
        <v>3008</v>
      </c>
      <c r="G1115" s="57" t="s">
        <v>4948</v>
      </c>
      <c r="H1115" s="4" t="s">
        <v>7189</v>
      </c>
      <c r="I1115" s="4"/>
      <c r="J1115" s="4"/>
      <c r="K1115" s="54" t="s">
        <v>2238</v>
      </c>
      <c r="L1115" s="57">
        <v>279546392</v>
      </c>
      <c r="M1115" s="57">
        <v>279546392</v>
      </c>
      <c r="N1115" s="4" t="s">
        <v>730</v>
      </c>
      <c r="O1115" s="4">
        <v>279407688</v>
      </c>
      <c r="P1115" s="4">
        <v>279407696</v>
      </c>
      <c r="Q1115" s="767"/>
      <c r="R1115" s="767"/>
      <c r="S1115" s="4"/>
      <c r="T1115" s="4"/>
      <c r="U1115" s="4"/>
      <c r="V1115" s="4"/>
      <c r="W1115" s="4" t="s">
        <v>2238</v>
      </c>
      <c r="X1115" s="4" t="s">
        <v>730</v>
      </c>
      <c r="Y1115" s="4" t="s">
        <v>4066</v>
      </c>
      <c r="Z1115" s="35"/>
      <c r="AA1115" s="1" t="str">
        <f>IFERROR(VLOOKUP(D:D,[1]Габариты!$A:$I,9,0),"")</f>
        <v>Вакансия</v>
      </c>
      <c r="AB1115" s="6" t="str">
        <f>IFERROR(VLOOKUP(D:D,[1]Габариты!$A:$D,4,0),"")</f>
        <v>СТЕЛЛАЖИ</v>
      </c>
      <c r="AC1115" s="39">
        <f t="shared" si="183"/>
        <v>3008</v>
      </c>
      <c r="AD1115" s="13" t="str">
        <f t="shared" si="184"/>
        <v>FBS</v>
      </c>
    </row>
    <row r="1116" spans="1:30" s="6" customFormat="1" ht="20.100000000000001" customHeight="1" outlineLevel="1" x14ac:dyDescent="0.25">
      <c r="A1116" s="635" t="s">
        <v>162</v>
      </c>
      <c r="B1116" s="3"/>
      <c r="C1116" s="13" t="s">
        <v>3172</v>
      </c>
      <c r="D1116" s="39">
        <v>2663</v>
      </c>
      <c r="E1116" s="4">
        <v>24</v>
      </c>
      <c r="F1116" s="101">
        <v>2663</v>
      </c>
      <c r="G1116" s="57"/>
      <c r="H1116" s="4" t="s">
        <v>7190</v>
      </c>
      <c r="I1116" s="4"/>
      <c r="J1116" s="4"/>
      <c r="K1116" s="54"/>
      <c r="L1116" s="57"/>
      <c r="M1116" s="57"/>
      <c r="N1116" s="4" t="s">
        <v>2609</v>
      </c>
      <c r="O1116" s="4">
        <v>267562949</v>
      </c>
      <c r="P1116" s="4">
        <v>267562963</v>
      </c>
      <c r="Q1116" s="767"/>
      <c r="R1116" s="767"/>
      <c r="S1116" s="4"/>
      <c r="T1116" s="4"/>
      <c r="U1116" s="4"/>
      <c r="V1116" s="4"/>
      <c r="W1116" s="4" t="s">
        <v>2232</v>
      </c>
      <c r="X1116" s="4"/>
      <c r="Y1116" s="4" t="s">
        <v>4066</v>
      </c>
      <c r="Z1116" s="35"/>
      <c r="AA1116" s="1" t="str">
        <f>IFERROR(VLOOKUP(D:D,[1]Габариты!$A:$I,9,0),"")</f>
        <v>Вакансия</v>
      </c>
      <c r="AB1116" s="6" t="str">
        <f>IFERROR(VLOOKUP(D:D,[1]Габариты!$A:$D,4,0),"")</f>
        <v>СТЕЛЛАЖИ</v>
      </c>
      <c r="AC1116" s="39">
        <f t="shared" si="183"/>
        <v>2663</v>
      </c>
      <c r="AD1116" s="13" t="str">
        <f t="shared" si="184"/>
        <v xml:space="preserve">СКГТ </v>
      </c>
    </row>
    <row r="1117" spans="1:30" s="6" customFormat="1" ht="20.100000000000001" customHeight="1" outlineLevel="1" x14ac:dyDescent="0.25">
      <c r="A1117" s="665" t="s">
        <v>236</v>
      </c>
      <c r="B1117" s="2"/>
      <c r="C1117" s="13" t="s">
        <v>2581</v>
      </c>
      <c r="D1117" s="39">
        <v>2985</v>
      </c>
      <c r="E1117" s="4">
        <v>24</v>
      </c>
      <c r="F1117" s="101">
        <v>2985</v>
      </c>
      <c r="G1117" s="57" t="s">
        <v>4932</v>
      </c>
      <c r="H1117" s="4" t="s">
        <v>7191</v>
      </c>
      <c r="I1117" s="4" t="s">
        <v>1226</v>
      </c>
      <c r="J1117" s="4"/>
      <c r="K1117" s="54" t="s">
        <v>2233</v>
      </c>
      <c r="L1117" s="57">
        <v>276419633</v>
      </c>
      <c r="M1117" s="57">
        <v>276419633</v>
      </c>
      <c r="N1117" s="4" t="s">
        <v>715</v>
      </c>
      <c r="O1117" s="4">
        <v>277803269</v>
      </c>
      <c r="P1117" s="4">
        <v>277803279</v>
      </c>
      <c r="Q1117" s="767"/>
      <c r="R1117" s="767"/>
      <c r="S1117" s="4"/>
      <c r="T1117" s="4"/>
      <c r="U1117" s="4"/>
      <c r="V1117" s="4"/>
      <c r="W1117" s="4" t="s">
        <v>2233</v>
      </c>
      <c r="X1117" s="4" t="s">
        <v>715</v>
      </c>
      <c r="Y1117" s="4">
        <v>2985</v>
      </c>
      <c r="Z1117" s="35"/>
      <c r="AA1117" s="1" t="str">
        <f>IFERROR(VLOOKUP(D:D,[1]Габариты!$A:$I,9,0),"")</f>
        <v>Вакансия</v>
      </c>
      <c r="AB1117" s="6" t="str">
        <f>IFERROR(VLOOKUP(D:D,[1]Габариты!$A:$D,4,0),"")</f>
        <v>СТЕЛЛАЖИ</v>
      </c>
      <c r="AC1117" s="39">
        <f t="shared" si="183"/>
        <v>2985</v>
      </c>
      <c r="AD1117" s="13" t="str">
        <f t="shared" si="184"/>
        <v>FBS</v>
      </c>
    </row>
    <row r="1118" spans="1:30" s="6" customFormat="1" ht="20.100000000000001" customHeight="1" outlineLevel="1" x14ac:dyDescent="0.25">
      <c r="A1118" s="665" t="s">
        <v>237</v>
      </c>
      <c r="B1118" s="2"/>
      <c r="C1118" s="13" t="s">
        <v>2581</v>
      </c>
      <c r="D1118" s="39">
        <v>2986</v>
      </c>
      <c r="E1118" s="4">
        <v>24</v>
      </c>
      <c r="F1118" s="101">
        <v>2986</v>
      </c>
      <c r="G1118" s="57" t="s">
        <v>4933</v>
      </c>
      <c r="H1118" s="4" t="s">
        <v>7192</v>
      </c>
      <c r="I1118" s="4"/>
      <c r="J1118" s="4"/>
      <c r="K1118" s="54"/>
      <c r="L1118" s="57"/>
      <c r="M1118" s="57"/>
      <c r="N1118" s="4" t="s">
        <v>716</v>
      </c>
      <c r="O1118" s="4">
        <v>279381964</v>
      </c>
      <c r="P1118" s="4">
        <v>279381972</v>
      </c>
      <c r="Q1118" s="767"/>
      <c r="R1118" s="767"/>
      <c r="S1118" s="4"/>
      <c r="T1118" s="4"/>
      <c r="U1118" s="4"/>
      <c r="V1118" s="4"/>
      <c r="W1118" s="4" t="s">
        <v>2234</v>
      </c>
      <c r="X1118" s="4" t="s">
        <v>716</v>
      </c>
      <c r="Y1118" s="4">
        <v>2986</v>
      </c>
      <c r="Z1118" s="35"/>
      <c r="AA1118" s="1" t="str">
        <f>IFERROR(VLOOKUP(D:D,[1]Габариты!$A:$I,9,0),"")</f>
        <v>Вакансия</v>
      </c>
      <c r="AB1118" s="6" t="str">
        <f>IFERROR(VLOOKUP(D:D,[1]Габариты!$A:$D,4,0),"")</f>
        <v>СТЕЛЛАЖИ</v>
      </c>
      <c r="AC1118" s="39">
        <f t="shared" si="183"/>
        <v>2986</v>
      </c>
      <c r="AD1118" s="13" t="str">
        <f t="shared" si="184"/>
        <v>FBS</v>
      </c>
    </row>
    <row r="1119" spans="1:30" s="6" customFormat="1" ht="20.100000000000001" customHeight="1" outlineLevel="1" x14ac:dyDescent="0.25">
      <c r="A1119" s="665" t="s">
        <v>238</v>
      </c>
      <c r="B1119" s="2"/>
      <c r="C1119" s="13" t="s">
        <v>2581</v>
      </c>
      <c r="D1119" s="39">
        <v>2987</v>
      </c>
      <c r="E1119" s="4">
        <v>24</v>
      </c>
      <c r="F1119" s="101">
        <v>2987</v>
      </c>
      <c r="G1119" s="57" t="s">
        <v>4934</v>
      </c>
      <c r="H1119" s="4" t="s">
        <v>7193</v>
      </c>
      <c r="I1119" s="4"/>
      <c r="J1119" s="4"/>
      <c r="K1119" s="54" t="s">
        <v>2235</v>
      </c>
      <c r="L1119" s="57">
        <v>282817531</v>
      </c>
      <c r="M1119" s="57">
        <v>282817531</v>
      </c>
      <c r="N1119" s="766" t="s">
        <v>868</v>
      </c>
      <c r="O1119" s="4">
        <v>284237179</v>
      </c>
      <c r="P1119" s="4">
        <v>284237212</v>
      </c>
      <c r="Q1119" s="767"/>
      <c r="R1119" s="767"/>
      <c r="S1119" s="4"/>
      <c r="T1119" s="4"/>
      <c r="U1119" s="4"/>
      <c r="V1119" s="4"/>
      <c r="W1119" s="4" t="s">
        <v>2235</v>
      </c>
      <c r="X1119" s="4" t="s">
        <v>868</v>
      </c>
      <c r="Y1119" s="4">
        <v>2987</v>
      </c>
      <c r="Z1119" s="35"/>
      <c r="AA1119" s="1" t="str">
        <f>IFERROR(VLOOKUP(D:D,[1]Габариты!$A:$I,9,0),"")</f>
        <v>Вакансия</v>
      </c>
      <c r="AB1119" s="6" t="str">
        <f>IFERROR(VLOOKUP(D:D,[1]Габариты!$A:$D,4,0),"")</f>
        <v>СТЕЛЛАЖИ</v>
      </c>
      <c r="AC1119" s="39">
        <f t="shared" si="183"/>
        <v>2987</v>
      </c>
      <c r="AD1119" s="13" t="str">
        <f t="shared" si="184"/>
        <v>FBS</v>
      </c>
    </row>
    <row r="1120" spans="1:30" s="6" customFormat="1" ht="20.100000000000001" customHeight="1" outlineLevel="1" x14ac:dyDescent="0.25">
      <c r="A1120" s="665" t="s">
        <v>249</v>
      </c>
      <c r="B1120" s="8"/>
      <c r="C1120" s="13" t="s">
        <v>2581</v>
      </c>
      <c r="D1120" s="39">
        <v>3006</v>
      </c>
      <c r="E1120" s="4">
        <v>19</v>
      </c>
      <c r="F1120" s="101">
        <v>3006</v>
      </c>
      <c r="G1120" s="57" t="s">
        <v>4946</v>
      </c>
      <c r="H1120" s="4" t="s">
        <v>7194</v>
      </c>
      <c r="I1120" s="4"/>
      <c r="J1120" s="4"/>
      <c r="K1120" s="54" t="s">
        <v>2236</v>
      </c>
      <c r="L1120" s="57">
        <v>279531497</v>
      </c>
      <c r="M1120" s="57">
        <v>279531497</v>
      </c>
      <c r="N1120" s="4" t="s">
        <v>728</v>
      </c>
      <c r="O1120" s="4">
        <v>279552682</v>
      </c>
      <c r="P1120" s="4">
        <v>279552694</v>
      </c>
      <c r="Q1120" s="767"/>
      <c r="R1120" s="767"/>
      <c r="S1120" s="4"/>
      <c r="T1120" s="4"/>
      <c r="U1120" s="4"/>
      <c r="V1120" s="4"/>
      <c r="W1120" s="4" t="s">
        <v>2236</v>
      </c>
      <c r="X1120" s="4" t="s">
        <v>728</v>
      </c>
      <c r="Y1120" s="4" t="s">
        <v>4066</v>
      </c>
      <c r="Z1120" s="35"/>
      <c r="AA1120" s="1" t="str">
        <f>IFERROR(VLOOKUP(D:D,[1]Габариты!$A:$I,9,0),"")</f>
        <v>Вакансия</v>
      </c>
      <c r="AB1120" s="6" t="str">
        <f>IFERROR(VLOOKUP(D:D,[1]Габариты!$A:$D,4,0),"")</f>
        <v>СТЕЛЛАЖИ</v>
      </c>
      <c r="AC1120" s="39">
        <f t="shared" si="183"/>
        <v>3006</v>
      </c>
      <c r="AD1120" s="13" t="str">
        <f t="shared" si="184"/>
        <v>FBS</v>
      </c>
    </row>
    <row r="1121" spans="1:30" s="6" customFormat="1" ht="20.100000000000001" customHeight="1" outlineLevel="1" x14ac:dyDescent="0.25">
      <c r="A1121" s="665" t="s">
        <v>245</v>
      </c>
      <c r="B1121" s="8"/>
      <c r="C1121" s="13" t="s">
        <v>3172</v>
      </c>
      <c r="D1121" s="39">
        <v>3002</v>
      </c>
      <c r="E1121" s="4">
        <v>21</v>
      </c>
      <c r="F1121" s="101">
        <v>3002</v>
      </c>
      <c r="G1121" s="57" t="s">
        <v>6166</v>
      </c>
      <c r="H1121" s="4" t="s">
        <v>7195</v>
      </c>
      <c r="I1121" s="4"/>
      <c r="J1121" s="4"/>
      <c r="K1121" s="54"/>
      <c r="L1121" s="57"/>
      <c r="M1121" s="57"/>
      <c r="N1121" s="4" t="s">
        <v>724</v>
      </c>
      <c r="O1121" s="4">
        <v>279384677</v>
      </c>
      <c r="P1121" s="4">
        <v>279384682</v>
      </c>
      <c r="Q1121" s="767" t="s">
        <v>2782</v>
      </c>
      <c r="R1121" s="767">
        <v>359727932</v>
      </c>
      <c r="S1121" s="4">
        <v>359727931</v>
      </c>
      <c r="T1121" s="4"/>
      <c r="U1121" s="4"/>
      <c r="V1121" s="4"/>
      <c r="W1121" s="4" t="s">
        <v>2226</v>
      </c>
      <c r="X1121" s="4" t="s">
        <v>724</v>
      </c>
      <c r="Y1121" s="4" t="s">
        <v>4066</v>
      </c>
      <c r="Z1121" s="35"/>
      <c r="AA1121" s="1" t="str">
        <f>IFERROR(VLOOKUP(D:D,[1]Габариты!$A:$I,9,0),"")</f>
        <v>Вакансия</v>
      </c>
      <c r="AB1121" s="6" t="str">
        <f>IFERROR(VLOOKUP(D:D,[1]Габариты!$A:$D,4,0),"")</f>
        <v>СТЕЛЛАЖИ</v>
      </c>
      <c r="AC1121" s="39">
        <f t="shared" si="183"/>
        <v>3002</v>
      </c>
      <c r="AD1121" s="13" t="str">
        <f t="shared" si="184"/>
        <v xml:space="preserve">СКГТ </v>
      </c>
    </row>
    <row r="1122" spans="1:30" s="6" customFormat="1" ht="20.100000000000001" customHeight="1" outlineLevel="1" x14ac:dyDescent="0.25">
      <c r="A1122" s="665" t="s">
        <v>252</v>
      </c>
      <c r="B1122" s="2"/>
      <c r="C1122" s="13" t="s">
        <v>3172</v>
      </c>
      <c r="D1122" s="39">
        <v>3009</v>
      </c>
      <c r="E1122" s="4">
        <v>11</v>
      </c>
      <c r="F1122" s="101">
        <v>3009</v>
      </c>
      <c r="G1122" s="57"/>
      <c r="H1122" s="4" t="s">
        <v>7196</v>
      </c>
      <c r="I1122" s="4"/>
      <c r="J1122" s="4"/>
      <c r="K1122" s="54"/>
      <c r="L1122" s="57"/>
      <c r="M1122" s="57"/>
      <c r="N1122" s="4" t="s">
        <v>2606</v>
      </c>
      <c r="O1122" s="4">
        <v>279673687</v>
      </c>
      <c r="P1122" s="4">
        <v>279673707</v>
      </c>
      <c r="Q1122" s="767"/>
      <c r="R1122" s="767"/>
      <c r="S1122" s="4"/>
      <c r="T1122" s="4"/>
      <c r="U1122" s="4"/>
      <c r="V1122" s="4"/>
      <c r="W1122" s="4" t="s">
        <v>2227</v>
      </c>
      <c r="X1122" s="4"/>
      <c r="Y1122" s="4" t="s">
        <v>4066</v>
      </c>
      <c r="Z1122" s="35"/>
      <c r="AA1122" s="1" t="str">
        <f>IFERROR(VLOOKUP(D:D,[1]Габариты!$A:$I,9,0),"")</f>
        <v>Вакансия</v>
      </c>
      <c r="AB1122" s="6" t="str">
        <f>IFERROR(VLOOKUP(D:D,[1]Габариты!$A:$D,4,0),"")</f>
        <v>СТЕЛЛАЖИ</v>
      </c>
      <c r="AC1122" s="39">
        <f t="shared" si="183"/>
        <v>3009</v>
      </c>
      <c r="AD1122" s="13" t="str">
        <f t="shared" si="184"/>
        <v xml:space="preserve">СКГТ </v>
      </c>
    </row>
    <row r="1123" spans="1:30" s="6" customFormat="1" ht="20.100000000000001" customHeight="1" outlineLevel="1" x14ac:dyDescent="0.25">
      <c r="A1123" s="665" t="s">
        <v>253</v>
      </c>
      <c r="B1123" s="2"/>
      <c r="C1123" s="13" t="s">
        <v>4050</v>
      </c>
      <c r="D1123" s="39">
        <v>3010</v>
      </c>
      <c r="E1123" s="4">
        <v>11</v>
      </c>
      <c r="F1123" s="101">
        <v>3010</v>
      </c>
      <c r="G1123" s="57"/>
      <c r="H1123" s="4" t="s">
        <v>7197</v>
      </c>
      <c r="I1123" s="4"/>
      <c r="J1123" s="4"/>
      <c r="K1123" s="54"/>
      <c r="L1123" s="57"/>
      <c r="M1123" s="57"/>
      <c r="N1123" s="4" t="s">
        <v>2607</v>
      </c>
      <c r="O1123" s="4">
        <v>279385542</v>
      </c>
      <c r="P1123" s="4">
        <v>279385545</v>
      </c>
      <c r="Q1123" s="767"/>
      <c r="R1123" s="767"/>
      <c r="S1123" s="4"/>
      <c r="T1123" s="4"/>
      <c r="U1123" s="4"/>
      <c r="V1123" s="4"/>
      <c r="W1123" s="4" t="s">
        <v>2228</v>
      </c>
      <c r="X1123" s="4"/>
      <c r="Y1123" s="4" t="s">
        <v>4066</v>
      </c>
      <c r="Z1123" s="35"/>
      <c r="AA1123" s="1" t="str">
        <f>IFERROR(VLOOKUP(D:D,[1]Габариты!$A:$I,9,0),"")</f>
        <v>Вакансия</v>
      </c>
      <c r="AB1123" s="6" t="str">
        <f>IFERROR(VLOOKUP(D:D,[1]Габариты!$A:$D,4,0),"")</f>
        <v>СТЕЛЛАЖИ</v>
      </c>
      <c r="AC1123" s="39">
        <f t="shared" si="183"/>
        <v>3010</v>
      </c>
      <c r="AD1123" s="13" t="str">
        <f t="shared" si="184"/>
        <v>СКГТ (ОЗОН)</v>
      </c>
    </row>
    <row r="1124" spans="1:30" s="6" customFormat="1" ht="20.100000000000001" customHeight="1" outlineLevel="1" x14ac:dyDescent="0.25">
      <c r="A1124" s="665" t="s">
        <v>254</v>
      </c>
      <c r="B1124" s="2"/>
      <c r="C1124" s="13" t="s">
        <v>4050</v>
      </c>
      <c r="D1124" s="39">
        <v>3011</v>
      </c>
      <c r="E1124" s="4">
        <v>11</v>
      </c>
      <c r="F1124" s="101">
        <v>3011</v>
      </c>
      <c r="G1124" s="57"/>
      <c r="H1124" s="4" t="s">
        <v>7198</v>
      </c>
      <c r="I1124" s="4"/>
      <c r="J1124" s="4"/>
      <c r="K1124" s="54"/>
      <c r="L1124" s="57"/>
      <c r="M1124" s="57"/>
      <c r="N1124" s="4" t="s">
        <v>2608</v>
      </c>
      <c r="O1124" s="4">
        <v>279663062</v>
      </c>
      <c r="P1124" s="4">
        <v>279663085</v>
      </c>
      <c r="Q1124" s="767"/>
      <c r="R1124" s="767"/>
      <c r="S1124" s="4"/>
      <c r="T1124" s="4"/>
      <c r="U1124" s="4"/>
      <c r="V1124" s="4"/>
      <c r="W1124" s="4" t="s">
        <v>2229</v>
      </c>
      <c r="X1124" s="4"/>
      <c r="Y1124" s="4" t="s">
        <v>4066</v>
      </c>
      <c r="Z1124" s="35"/>
      <c r="AA1124" s="1" t="str">
        <f>IFERROR(VLOOKUP(D:D,[1]Габариты!$A:$I,9,0),"")</f>
        <v>Вакансия</v>
      </c>
      <c r="AB1124" s="6" t="str">
        <f>IFERROR(VLOOKUP(D:D,[1]Габариты!$A:$D,4,0),"")</f>
        <v>СТЕЛЛАЖИ</v>
      </c>
      <c r="AC1124" s="39">
        <f t="shared" si="183"/>
        <v>3011</v>
      </c>
      <c r="AD1124" s="13" t="str">
        <f t="shared" si="184"/>
        <v>СКГТ (ОЗОН)</v>
      </c>
    </row>
    <row r="1125" spans="1:30" s="6" customFormat="1" ht="20.100000000000001" customHeight="1" outlineLevel="1" x14ac:dyDescent="0.25">
      <c r="A1125" s="635" t="s">
        <v>161</v>
      </c>
      <c r="B1125" s="3"/>
      <c r="C1125" s="13" t="s">
        <v>3172</v>
      </c>
      <c r="D1125" s="39">
        <v>2661</v>
      </c>
      <c r="E1125" s="4">
        <v>24</v>
      </c>
      <c r="F1125" s="101">
        <v>2661</v>
      </c>
      <c r="G1125" s="57"/>
      <c r="H1125" s="4" t="s">
        <v>7199</v>
      </c>
      <c r="I1125" s="4"/>
      <c r="J1125" s="4"/>
      <c r="K1125" s="54"/>
      <c r="L1125" s="57"/>
      <c r="M1125" s="57"/>
      <c r="N1125" s="766"/>
      <c r="O1125" s="4"/>
      <c r="P1125" s="4"/>
      <c r="Q1125" s="767" t="s">
        <v>2783</v>
      </c>
      <c r="R1125" s="767">
        <v>371802991</v>
      </c>
      <c r="S1125" s="4">
        <v>371803001</v>
      </c>
      <c r="T1125" s="4"/>
      <c r="U1125" s="4"/>
      <c r="V1125" s="4"/>
      <c r="W1125" s="4" t="s">
        <v>2230</v>
      </c>
      <c r="X1125" s="4"/>
      <c r="Y1125" s="4" t="s">
        <v>4066</v>
      </c>
      <c r="Z1125" s="35"/>
      <c r="AA1125" s="1" t="str">
        <f>IFERROR(VLOOKUP(D:D,[1]Габариты!$A:$I,9,0),"")</f>
        <v>Вакансия</v>
      </c>
      <c r="AB1125" s="6" t="str">
        <f>IFERROR(VLOOKUP(D:D,[1]Габариты!$A:$D,4,0),"")</f>
        <v>СТЕЛЛАЖИ</v>
      </c>
      <c r="AC1125" s="39">
        <f t="shared" si="183"/>
        <v>2661</v>
      </c>
      <c r="AD1125" s="13" t="str">
        <f t="shared" si="184"/>
        <v xml:space="preserve">СКГТ </v>
      </c>
    </row>
    <row r="1126" spans="1:30" s="6" customFormat="1" ht="20.100000000000001" customHeight="1" outlineLevel="1" x14ac:dyDescent="0.25">
      <c r="A1126" s="635" t="s">
        <v>78</v>
      </c>
      <c r="B1126" s="3"/>
      <c r="C1126" s="13" t="s">
        <v>2581</v>
      </c>
      <c r="D1126" s="39">
        <v>2490</v>
      </c>
      <c r="E1126" s="4">
        <v>22</v>
      </c>
      <c r="F1126" s="101">
        <v>2490</v>
      </c>
      <c r="G1126" s="57" t="s">
        <v>4797</v>
      </c>
      <c r="H1126" s="4"/>
      <c r="I1126" s="4" t="s">
        <v>1224</v>
      </c>
      <c r="J1126" s="4"/>
      <c r="K1126" s="54" t="s">
        <v>2222</v>
      </c>
      <c r="L1126" s="57">
        <v>193139868</v>
      </c>
      <c r="M1126" s="57">
        <v>193139868</v>
      </c>
      <c r="N1126" s="4" t="s">
        <v>586</v>
      </c>
      <c r="O1126" s="4">
        <v>265097422</v>
      </c>
      <c r="P1126" s="4">
        <v>265097438</v>
      </c>
      <c r="Q1126" s="767" t="s">
        <v>2778</v>
      </c>
      <c r="R1126" s="767">
        <v>322670365</v>
      </c>
      <c r="S1126" s="4">
        <v>322670421</v>
      </c>
      <c r="T1126" s="4"/>
      <c r="U1126" s="4"/>
      <c r="V1126" s="4"/>
      <c r="W1126" s="4" t="s">
        <v>2222</v>
      </c>
      <c r="X1126" s="4" t="s">
        <v>586</v>
      </c>
      <c r="Y1126" s="4" t="s">
        <v>4066</v>
      </c>
      <c r="Z1126" s="35"/>
      <c r="AA1126" s="1" t="str">
        <f>IFERROR(VLOOKUP(D:D,[1]Габариты!$A:$I,9,0),"")</f>
        <v>Вакансия</v>
      </c>
      <c r="AB1126" s="6" t="str">
        <f>IFERROR(VLOOKUP(D:D,[1]Габариты!$A:$D,4,0),"")</f>
        <v>СТЕЛЛАЖИ</v>
      </c>
      <c r="AC1126" s="39">
        <f t="shared" si="183"/>
        <v>2490</v>
      </c>
      <c r="AD1126" s="13" t="str">
        <f t="shared" si="184"/>
        <v>FBS</v>
      </c>
    </row>
    <row r="1127" spans="1:30" s="6" customFormat="1" ht="20.100000000000001" customHeight="1" outlineLevel="1" x14ac:dyDescent="0.25">
      <c r="A1127" s="635" t="s">
        <v>77</v>
      </c>
      <c r="B1127" s="3"/>
      <c r="C1127" s="13" t="s">
        <v>2581</v>
      </c>
      <c r="D1127" s="39">
        <v>2489</v>
      </c>
      <c r="E1127" s="4">
        <v>22</v>
      </c>
      <c r="F1127" s="101">
        <v>2489</v>
      </c>
      <c r="G1127" s="57" t="s">
        <v>4796</v>
      </c>
      <c r="H1127" s="4" t="s">
        <v>7200</v>
      </c>
      <c r="I1127" s="4" t="s">
        <v>1225</v>
      </c>
      <c r="J1127" s="4"/>
      <c r="K1127" s="54" t="s">
        <v>2223</v>
      </c>
      <c r="L1127" s="57">
        <v>195663972</v>
      </c>
      <c r="M1127" s="57">
        <v>195663972</v>
      </c>
      <c r="N1127" s="4" t="s">
        <v>585</v>
      </c>
      <c r="O1127" s="4">
        <v>267571864</v>
      </c>
      <c r="P1127" s="4">
        <v>267571878</v>
      </c>
      <c r="Q1127" s="767" t="s">
        <v>2779</v>
      </c>
      <c r="R1127" s="767">
        <v>322672483</v>
      </c>
      <c r="S1127" s="4">
        <v>322672499</v>
      </c>
      <c r="T1127" s="4"/>
      <c r="U1127" s="4"/>
      <c r="V1127" s="4"/>
      <c r="W1127" s="4" t="s">
        <v>2223</v>
      </c>
      <c r="X1127" s="4" t="s">
        <v>585</v>
      </c>
      <c r="Y1127" s="4">
        <v>2489</v>
      </c>
      <c r="Z1127" s="35"/>
      <c r="AA1127" s="1" t="str">
        <f>IFERROR(VLOOKUP(D:D,[1]Габариты!$A:$I,9,0),"")</f>
        <v>Вакансия</v>
      </c>
      <c r="AB1127" s="6" t="str">
        <f>IFERROR(VLOOKUP(D:D,[1]Габариты!$A:$D,4,0),"")</f>
        <v>СТЕЛЛАЖИ</v>
      </c>
      <c r="AC1127" s="39">
        <f t="shared" si="183"/>
        <v>2489</v>
      </c>
      <c r="AD1127" s="13" t="str">
        <f t="shared" si="184"/>
        <v>FBS</v>
      </c>
    </row>
    <row r="1128" spans="1:30" s="6" customFormat="1" ht="20.100000000000001" customHeight="1" outlineLevel="1" x14ac:dyDescent="0.25">
      <c r="A1128" s="635" t="s">
        <v>79</v>
      </c>
      <c r="B1128" s="3"/>
      <c r="C1128" s="13" t="s">
        <v>2581</v>
      </c>
      <c r="D1128" s="39">
        <v>2491</v>
      </c>
      <c r="E1128" s="4">
        <v>22</v>
      </c>
      <c r="F1128" s="101">
        <v>2491</v>
      </c>
      <c r="G1128" s="57" t="s">
        <v>4798</v>
      </c>
      <c r="H1128" s="4" t="s">
        <v>7201</v>
      </c>
      <c r="I1128" s="4" t="s">
        <v>1223</v>
      </c>
      <c r="J1128" s="4"/>
      <c r="K1128" s="54" t="s">
        <v>2221</v>
      </c>
      <c r="L1128" s="57">
        <v>194697040</v>
      </c>
      <c r="M1128" s="57">
        <v>194697040</v>
      </c>
      <c r="N1128" s="4" t="s">
        <v>587</v>
      </c>
      <c r="O1128" s="4">
        <v>262620555</v>
      </c>
      <c r="P1128" s="4">
        <v>262620573</v>
      </c>
      <c r="Q1128" s="767" t="s">
        <v>2777</v>
      </c>
      <c r="R1128" s="767">
        <v>322662289</v>
      </c>
      <c r="S1128" s="4">
        <v>322662306</v>
      </c>
      <c r="T1128" s="4"/>
      <c r="U1128" s="4"/>
      <c r="V1128" s="4"/>
      <c r="W1128" s="4" t="s">
        <v>2221</v>
      </c>
      <c r="X1128" s="4" t="s">
        <v>587</v>
      </c>
      <c r="Y1128" s="4">
        <v>2491</v>
      </c>
      <c r="Z1128" s="35"/>
      <c r="AA1128" s="1" t="str">
        <f>IFERROR(VLOOKUP(D:D,[1]Габариты!$A:$I,9,0),"")</f>
        <v>Вакансия</v>
      </c>
      <c r="AB1128" s="6" t="str">
        <f>IFERROR(VLOOKUP(D:D,[1]Габариты!$A:$D,4,0),"")</f>
        <v>СТЕЛЛАЖИ</v>
      </c>
      <c r="AC1128" s="39">
        <f t="shared" si="183"/>
        <v>2491</v>
      </c>
      <c r="AD1128" s="13" t="str">
        <f t="shared" si="184"/>
        <v>FBS</v>
      </c>
    </row>
    <row r="1129" spans="1:30" s="6" customFormat="1" ht="20.100000000000001" customHeight="1" outlineLevel="1" x14ac:dyDescent="0.25">
      <c r="A1129" s="635" t="s">
        <v>418</v>
      </c>
      <c r="B1129" s="3"/>
      <c r="C1129" s="13" t="s">
        <v>2581</v>
      </c>
      <c r="D1129" s="39">
        <v>9405</v>
      </c>
      <c r="E1129" s="4">
        <v>18</v>
      </c>
      <c r="F1129" s="101">
        <v>9405</v>
      </c>
      <c r="G1129" s="57"/>
      <c r="H1129" s="4" t="s">
        <v>7202</v>
      </c>
      <c r="I1129" s="4"/>
      <c r="J1129" s="4"/>
      <c r="K1129" s="54"/>
      <c r="L1129" s="57"/>
      <c r="M1129" s="57"/>
      <c r="N1129" s="4" t="s">
        <v>784</v>
      </c>
      <c r="O1129" s="4">
        <v>327771072</v>
      </c>
      <c r="P1129" s="4">
        <v>327771104</v>
      </c>
      <c r="Q1129" s="767"/>
      <c r="R1129" s="767"/>
      <c r="S1129" s="4"/>
      <c r="T1129" s="4"/>
      <c r="U1129" s="4"/>
      <c r="V1129" s="4"/>
      <c r="W1129" s="4" t="s">
        <v>2242</v>
      </c>
      <c r="X1129" s="4" t="s">
        <v>784</v>
      </c>
      <c r="Y1129" s="4" t="s">
        <v>4066</v>
      </c>
      <c r="Z1129" s="35"/>
      <c r="AA1129" s="1" t="str">
        <f>IFERROR(VLOOKUP(D:D,[1]Габариты!$A:$I,9,0),"")</f>
        <v>Вакансия</v>
      </c>
      <c r="AB1129" s="6" t="str">
        <f>IFERROR(VLOOKUP(D:D,[1]Габариты!$A:$D,4,0),"")</f>
        <v>СТЕЛЛАЖИ</v>
      </c>
      <c r="AC1129" s="39">
        <f t="shared" si="183"/>
        <v>9405</v>
      </c>
      <c r="AD1129" s="13" t="str">
        <f t="shared" si="184"/>
        <v>FBS</v>
      </c>
    </row>
    <row r="1130" spans="1:30" s="6" customFormat="1" ht="20.100000000000001" customHeight="1" outlineLevel="1" x14ac:dyDescent="0.25">
      <c r="A1130" s="635" t="s">
        <v>411</v>
      </c>
      <c r="B1130" s="3"/>
      <c r="C1130" s="13" t="s">
        <v>2581</v>
      </c>
      <c r="D1130" s="39">
        <v>9398</v>
      </c>
      <c r="E1130" s="4">
        <v>18</v>
      </c>
      <c r="F1130" s="101">
        <v>9398</v>
      </c>
      <c r="G1130" s="57"/>
      <c r="H1130" s="4" t="s">
        <v>7203</v>
      </c>
      <c r="I1130" s="4" t="s">
        <v>1235</v>
      </c>
      <c r="J1130" s="4"/>
      <c r="K1130" s="54"/>
      <c r="L1130" s="57"/>
      <c r="M1130" s="57"/>
      <c r="N1130" s="4" t="s">
        <v>782</v>
      </c>
      <c r="O1130" s="4">
        <v>328123206</v>
      </c>
      <c r="P1130" s="4">
        <v>328123231</v>
      </c>
      <c r="Q1130" s="767" t="s">
        <v>2787</v>
      </c>
      <c r="R1130" s="767">
        <v>342158672</v>
      </c>
      <c r="S1130" s="4">
        <v>342158717</v>
      </c>
      <c r="T1130" s="4"/>
      <c r="U1130" s="4"/>
      <c r="V1130" s="4"/>
      <c r="W1130" s="4" t="s">
        <v>2243</v>
      </c>
      <c r="X1130" s="4" t="s">
        <v>782</v>
      </c>
      <c r="Y1130" s="4" t="s">
        <v>4066</v>
      </c>
      <c r="Z1130" s="35"/>
      <c r="AA1130" s="1" t="str">
        <f>IFERROR(VLOOKUP(D:D,[1]Габариты!$A:$I,9,0),"")</f>
        <v>Вакансия</v>
      </c>
      <c r="AB1130" s="6" t="str">
        <f>IFERROR(VLOOKUP(D:D,[1]Габариты!$A:$D,4,0),"")</f>
        <v>СТЕЛЛАЖИ</v>
      </c>
      <c r="AC1130" s="39">
        <f t="shared" si="183"/>
        <v>9398</v>
      </c>
      <c r="AD1130" s="13" t="str">
        <f t="shared" si="184"/>
        <v>FBS</v>
      </c>
    </row>
    <row r="1131" spans="1:30" s="6" customFormat="1" ht="20.100000000000001" customHeight="1" outlineLevel="1" x14ac:dyDescent="0.25">
      <c r="A1131" s="635" t="s">
        <v>417</v>
      </c>
      <c r="B1131" s="3"/>
      <c r="C1131" s="13" t="s">
        <v>2581</v>
      </c>
      <c r="D1131" s="39">
        <v>9404</v>
      </c>
      <c r="E1131" s="4">
        <v>18</v>
      </c>
      <c r="F1131" s="101">
        <v>9404</v>
      </c>
      <c r="G1131" s="57"/>
      <c r="H1131" s="4" t="s">
        <v>7204</v>
      </c>
      <c r="I1131" s="4" t="s">
        <v>1236</v>
      </c>
      <c r="J1131" s="4"/>
      <c r="K1131" s="54"/>
      <c r="L1131" s="57"/>
      <c r="M1131" s="57"/>
      <c r="N1131" s="4" t="s">
        <v>783</v>
      </c>
      <c r="O1131" s="4">
        <v>334284287</v>
      </c>
      <c r="P1131" s="4">
        <v>334284316</v>
      </c>
      <c r="Q1131" s="767" t="s">
        <v>2788</v>
      </c>
      <c r="R1131" s="767">
        <v>342060180</v>
      </c>
      <c r="S1131" s="4">
        <v>342060212</v>
      </c>
      <c r="T1131" s="4"/>
      <c r="U1131" s="4"/>
      <c r="V1131" s="4"/>
      <c r="W1131" s="4" t="s">
        <v>2244</v>
      </c>
      <c r="X1131" s="4" t="s">
        <v>783</v>
      </c>
      <c r="Y1131" s="4" t="s">
        <v>4066</v>
      </c>
      <c r="Z1131" s="35"/>
      <c r="AA1131" s="1" t="str">
        <f>IFERROR(VLOOKUP(D:D,[1]Габариты!$A:$I,9,0),"")</f>
        <v>Вакансия</v>
      </c>
      <c r="AB1131" s="6" t="str">
        <f>IFERROR(VLOOKUP(D:D,[1]Габариты!$A:$D,4,0),"")</f>
        <v>СТЕЛЛАЖИ</v>
      </c>
      <c r="AC1131" s="39">
        <f t="shared" si="183"/>
        <v>9404</v>
      </c>
      <c r="AD1131" s="13" t="str">
        <f t="shared" si="184"/>
        <v>FBS</v>
      </c>
    </row>
    <row r="1132" spans="1:30" s="6" customFormat="1" ht="20.100000000000001" customHeight="1" outlineLevel="1" x14ac:dyDescent="0.25">
      <c r="A1132" s="635" t="s">
        <v>419</v>
      </c>
      <c r="B1132" s="3"/>
      <c r="C1132" s="13" t="s">
        <v>2581</v>
      </c>
      <c r="D1132" s="39">
        <v>9406</v>
      </c>
      <c r="E1132" s="4">
        <v>18</v>
      </c>
      <c r="F1132" s="101">
        <v>9406</v>
      </c>
      <c r="G1132" s="57"/>
      <c r="H1132" s="4" t="s">
        <v>7205</v>
      </c>
      <c r="I1132" s="4" t="s">
        <v>1237</v>
      </c>
      <c r="J1132" s="4"/>
      <c r="K1132" s="54"/>
      <c r="L1132" s="57"/>
      <c r="M1132" s="57"/>
      <c r="N1132" s="4" t="s">
        <v>785</v>
      </c>
      <c r="O1132" s="4">
        <v>334419481</v>
      </c>
      <c r="P1132" s="4">
        <v>334419488</v>
      </c>
      <c r="Q1132" s="767" t="s">
        <v>2789</v>
      </c>
      <c r="R1132" s="767">
        <v>346650702</v>
      </c>
      <c r="S1132" s="4">
        <v>346650737</v>
      </c>
      <c r="T1132" s="4"/>
      <c r="U1132" s="4"/>
      <c r="V1132" s="4"/>
      <c r="W1132" s="4" t="s">
        <v>2245</v>
      </c>
      <c r="X1132" s="4" t="s">
        <v>785</v>
      </c>
      <c r="Y1132" s="4" t="s">
        <v>4066</v>
      </c>
      <c r="Z1132" s="35"/>
      <c r="AA1132" s="1" t="str">
        <f>IFERROR(VLOOKUP(D:D,[1]Габариты!$A:$I,9,0),"")</f>
        <v>Вакансия</v>
      </c>
      <c r="AB1132" s="6" t="str">
        <f>IFERROR(VLOOKUP(D:D,[1]Габариты!$A:$D,4,0),"")</f>
        <v>СТЕЛЛАЖИ</v>
      </c>
      <c r="AC1132" s="39">
        <f t="shared" si="183"/>
        <v>9406</v>
      </c>
      <c r="AD1132" s="13" t="str">
        <f t="shared" si="184"/>
        <v>FBS</v>
      </c>
    </row>
    <row r="1133" spans="1:30" s="6" customFormat="1" ht="20.100000000000001" customHeight="1" outlineLevel="1" x14ac:dyDescent="0.25">
      <c r="A1133" s="635" t="s">
        <v>495</v>
      </c>
      <c r="B1133" s="24"/>
      <c r="C1133" s="13" t="s">
        <v>3172</v>
      </c>
      <c r="D1133" s="40">
        <v>3146</v>
      </c>
      <c r="E1133" s="4">
        <v>26</v>
      </c>
      <c r="F1133" s="101">
        <v>3146</v>
      </c>
      <c r="G1133" s="57"/>
      <c r="H1133" s="4" t="s">
        <v>7206</v>
      </c>
      <c r="I1133" s="4"/>
      <c r="J1133" s="4"/>
      <c r="K1133" s="54" t="s">
        <v>2288</v>
      </c>
      <c r="L1133" s="57">
        <v>419677334</v>
      </c>
      <c r="M1133" s="57">
        <v>419677334</v>
      </c>
      <c r="N1133" s="766"/>
      <c r="O1133" s="4"/>
      <c r="P1133" s="4"/>
      <c r="Q1133" s="767"/>
      <c r="R1133" s="767"/>
      <c r="S1133" s="4"/>
      <c r="T1133" s="4"/>
      <c r="U1133" s="4"/>
      <c r="V1133" s="4"/>
      <c r="W1133" s="4" t="s">
        <v>2288</v>
      </c>
      <c r="X1133" s="4" t="s">
        <v>898</v>
      </c>
      <c r="Y1133" s="4" t="s">
        <v>4066</v>
      </c>
      <c r="Z1133" s="35"/>
      <c r="AA1133" s="1" t="str">
        <f>IFERROR(VLOOKUP(D:D,[1]Габариты!$A:$I,9,0),"")</f>
        <v>Вакансия</v>
      </c>
      <c r="AB1133" s="6" t="str">
        <f>IFERROR(VLOOKUP(D:D,[1]Габариты!$A:$D,4,0),"")</f>
        <v>СТЕЛЛАЖИ</v>
      </c>
      <c r="AC1133" s="39">
        <f t="shared" si="183"/>
        <v>3146</v>
      </c>
      <c r="AD1133" s="13" t="str">
        <f t="shared" si="184"/>
        <v xml:space="preserve">СКГТ </v>
      </c>
    </row>
    <row r="1134" spans="1:30" s="6" customFormat="1" ht="20.100000000000001" customHeight="1" outlineLevel="1" x14ac:dyDescent="0.25">
      <c r="A1134" s="635" t="s">
        <v>1561</v>
      </c>
      <c r="B1134" s="25"/>
      <c r="C1134" s="13" t="s">
        <v>2582</v>
      </c>
      <c r="D1134" s="39">
        <v>9801</v>
      </c>
      <c r="E1134" s="4">
        <v>40</v>
      </c>
      <c r="F1134" s="101">
        <v>9801</v>
      </c>
      <c r="G1134" s="57"/>
      <c r="H1134" s="4" t="s">
        <v>7207</v>
      </c>
      <c r="I1134" s="4"/>
      <c r="J1134" s="4"/>
      <c r="K1134" s="54"/>
      <c r="L1134" s="57"/>
      <c r="M1134" s="57"/>
      <c r="N1134" s="4" t="s">
        <v>1617</v>
      </c>
      <c r="O1134" s="4">
        <v>783199590</v>
      </c>
      <c r="P1134" s="4">
        <v>783199589</v>
      </c>
      <c r="Q1134" s="767"/>
      <c r="R1134" s="767"/>
      <c r="S1134" s="4"/>
      <c r="T1134" s="4"/>
      <c r="U1134" s="4"/>
      <c r="V1134" s="4"/>
      <c r="W1134" s="4"/>
      <c r="X1134" s="4" t="s">
        <v>1617</v>
      </c>
      <c r="Y1134" s="4" t="s">
        <v>4066</v>
      </c>
      <c r="Z1134" s="35"/>
      <c r="AA1134" s="1" t="str">
        <f>IFERROR(VLOOKUP(D:D,[1]Габариты!$A:$I,9,0),"")</f>
        <v>Вакансия</v>
      </c>
      <c r="AB1134" s="6" t="str">
        <f>IFERROR(VLOOKUP(D:D,[1]Габариты!$A:$D,4,0),"")</f>
        <v>СТЕЛЛАЖИ</v>
      </c>
      <c r="AC1134" s="39">
        <f t="shared" si="183"/>
        <v>9801</v>
      </c>
      <c r="AD1134" s="13" t="str">
        <f t="shared" si="184"/>
        <v>FBO</v>
      </c>
    </row>
    <row r="1135" spans="1:30" s="6" customFormat="1" ht="20.100000000000001" customHeight="1" outlineLevel="1" x14ac:dyDescent="0.25">
      <c r="A1135" s="635" t="s">
        <v>1057</v>
      </c>
      <c r="B1135" s="25"/>
      <c r="C1135" s="13" t="s">
        <v>2581</v>
      </c>
      <c r="D1135" s="39">
        <v>140001</v>
      </c>
      <c r="E1135" s="4">
        <v>34</v>
      </c>
      <c r="F1135" s="101"/>
      <c r="G1135" s="57"/>
      <c r="H1135" s="4" t="s">
        <v>6588</v>
      </c>
      <c r="I1135" s="4"/>
      <c r="J1135" s="4"/>
      <c r="K1135" s="54"/>
      <c r="L1135" s="57"/>
      <c r="M1135" s="57"/>
      <c r="N1135" s="4" t="s">
        <v>1071</v>
      </c>
      <c r="O1135" s="4">
        <v>630863174</v>
      </c>
      <c r="P1135" s="4">
        <v>630863175</v>
      </c>
      <c r="Q1135" s="767"/>
      <c r="R1135" s="767"/>
      <c r="S1135" s="4"/>
      <c r="T1135" s="4"/>
      <c r="U1135" s="4"/>
      <c r="V1135" s="4"/>
      <c r="W1135" s="4"/>
      <c r="X1135" s="4" t="s">
        <v>1071</v>
      </c>
      <c r="Y1135" s="4" t="s">
        <v>4066</v>
      </c>
      <c r="Z1135" s="35"/>
      <c r="AA1135" s="1" t="str">
        <f>IFERROR(VLOOKUP(D:D,[1]Габариты!$A:$I,9,0),"")</f>
        <v>Вакансия</v>
      </c>
      <c r="AB1135" s="6" t="str">
        <f>IFERROR(VLOOKUP(D:D,[1]Габариты!$A:$D,4,0),"")</f>
        <v>СТЕЛЛАЖИ</v>
      </c>
      <c r="AC1135" s="39">
        <f t="shared" si="183"/>
        <v>140001</v>
      </c>
      <c r="AD1135" s="13" t="str">
        <f t="shared" si="184"/>
        <v>FBS</v>
      </c>
    </row>
    <row r="1136" spans="1:30" s="6" customFormat="1" ht="20.100000000000001" customHeight="1" outlineLevel="1" x14ac:dyDescent="0.25">
      <c r="A1136" s="635" t="s">
        <v>1059</v>
      </c>
      <c r="B1136" s="25"/>
      <c r="C1136" s="13" t="s">
        <v>2581</v>
      </c>
      <c r="D1136" s="39">
        <v>140003</v>
      </c>
      <c r="E1136" s="4">
        <v>34</v>
      </c>
      <c r="F1136" s="101"/>
      <c r="G1136" s="57"/>
      <c r="H1136" s="4" t="s">
        <v>6590</v>
      </c>
      <c r="I1136" s="4"/>
      <c r="J1136" s="4"/>
      <c r="K1136" s="54"/>
      <c r="L1136" s="57"/>
      <c r="M1136" s="57"/>
      <c r="N1136" s="4" t="s">
        <v>1073</v>
      </c>
      <c r="O1136" s="4">
        <v>630869963</v>
      </c>
      <c r="P1136" s="4">
        <v>630869964</v>
      </c>
      <c r="Q1136" s="767"/>
      <c r="R1136" s="767"/>
      <c r="S1136" s="4"/>
      <c r="T1136" s="4"/>
      <c r="U1136" s="4"/>
      <c r="V1136" s="4"/>
      <c r="W1136" s="4"/>
      <c r="X1136" s="4" t="s">
        <v>1073</v>
      </c>
      <c r="Y1136" s="4" t="s">
        <v>4066</v>
      </c>
      <c r="Z1136" s="35"/>
      <c r="AA1136" s="1" t="str">
        <f>IFERROR(VLOOKUP(D:D,[1]Габариты!$A:$I,9,0),"")</f>
        <v>Вакансия</v>
      </c>
      <c r="AB1136" s="6" t="str">
        <f>IFERROR(VLOOKUP(D:D,[1]Габариты!$A:$D,4,0),"")</f>
        <v>СТЕЛЛАЖИ</v>
      </c>
      <c r="AC1136" s="39">
        <f t="shared" si="183"/>
        <v>140003</v>
      </c>
      <c r="AD1136" s="13" t="str">
        <f t="shared" si="184"/>
        <v>FBS</v>
      </c>
    </row>
    <row r="1137" spans="1:30" s="6" customFormat="1" ht="20.100000000000001" customHeight="1" outlineLevel="1" x14ac:dyDescent="0.25">
      <c r="A1137" s="665" t="s">
        <v>290</v>
      </c>
      <c r="B1137" s="2"/>
      <c r="C1137" s="13" t="s">
        <v>2582</v>
      </c>
      <c r="D1137" s="40">
        <v>3061</v>
      </c>
      <c r="E1137" s="4">
        <v>30</v>
      </c>
      <c r="F1137" s="101">
        <v>3061</v>
      </c>
      <c r="G1137" s="57" t="s">
        <v>4983</v>
      </c>
      <c r="H1137" s="4" t="s">
        <v>6566</v>
      </c>
      <c r="I1137" s="4" t="s">
        <v>1241</v>
      </c>
      <c r="J1137" s="4" t="s">
        <v>1944</v>
      </c>
      <c r="K1137" s="54" t="s">
        <v>2250</v>
      </c>
      <c r="L1137" s="57">
        <v>416303200</v>
      </c>
      <c r="M1137" s="57">
        <v>416303200</v>
      </c>
      <c r="N1137" s="4" t="s">
        <v>887</v>
      </c>
      <c r="O1137" s="4">
        <v>298122659</v>
      </c>
      <c r="P1137" s="4">
        <v>298122687</v>
      </c>
      <c r="Q1137" s="767"/>
      <c r="R1137" s="767"/>
      <c r="S1137" s="4"/>
      <c r="T1137" s="4" t="s">
        <v>3122</v>
      </c>
      <c r="U1137" s="4">
        <v>956929580</v>
      </c>
      <c r="V1137" s="4">
        <v>956929580</v>
      </c>
      <c r="W1137" s="4" t="s">
        <v>2250</v>
      </c>
      <c r="X1137" s="4" t="s">
        <v>887</v>
      </c>
      <c r="Y1137" s="4">
        <v>3061</v>
      </c>
      <c r="Z1137" s="35"/>
      <c r="AA1137" s="1" t="str">
        <f>IFERROR(VLOOKUP(D:D,[1]Габариты!$A:$I,9,0),"")</f>
        <v>Вакансия</v>
      </c>
      <c r="AB1137" s="6" t="str">
        <f>IFERROR(VLOOKUP(D:D,[1]Габариты!$A:$D,4,0),"")</f>
        <v>СТЕЛЛАЖИ</v>
      </c>
      <c r="AC1137" s="39">
        <f t="shared" si="183"/>
        <v>3061</v>
      </c>
      <c r="AD1137" s="13" t="str">
        <f t="shared" ref="AD1137:AD1168" si="185">C1137</f>
        <v>FBO</v>
      </c>
    </row>
    <row r="1138" spans="1:30" s="6" customFormat="1" ht="20.100000000000001" customHeight="1" outlineLevel="1" x14ac:dyDescent="0.25">
      <c r="A1138" s="665" t="s">
        <v>446</v>
      </c>
      <c r="B1138" s="20"/>
      <c r="C1138" s="13" t="s">
        <v>2582</v>
      </c>
      <c r="D1138" s="879">
        <v>3062</v>
      </c>
      <c r="E1138" s="4">
        <v>30</v>
      </c>
      <c r="F1138" s="101">
        <v>3062</v>
      </c>
      <c r="G1138" s="57" t="s">
        <v>4984</v>
      </c>
      <c r="H1138" s="4" t="s">
        <v>6567</v>
      </c>
      <c r="I1138" s="4"/>
      <c r="J1138" s="4" t="s">
        <v>1951</v>
      </c>
      <c r="K1138" s="54" t="s">
        <v>2280</v>
      </c>
      <c r="L1138" s="57">
        <v>416330248</v>
      </c>
      <c r="M1138" s="57">
        <v>416330248</v>
      </c>
      <c r="N1138" s="4" t="s">
        <v>894</v>
      </c>
      <c r="O1138" s="4">
        <v>956473226</v>
      </c>
      <c r="P1138" s="4">
        <v>956473225</v>
      </c>
      <c r="Q1138" s="767"/>
      <c r="R1138" s="767"/>
      <c r="S1138" s="4"/>
      <c r="T1138" s="4"/>
      <c r="U1138" s="4"/>
      <c r="V1138" s="4"/>
      <c r="W1138" s="4" t="s">
        <v>2280</v>
      </c>
      <c r="X1138" s="4" t="s">
        <v>894</v>
      </c>
      <c r="Y1138" s="4" t="s">
        <v>4066</v>
      </c>
      <c r="Z1138" s="35"/>
      <c r="AA1138" s="1" t="str">
        <f>IFERROR(VLOOKUP(D:D,[1]Габариты!$A:$I,9,0),"")</f>
        <v>Вакансия</v>
      </c>
      <c r="AB1138" s="6" t="str">
        <f>IFERROR(VLOOKUP(D:D,[1]Габариты!$A:$D,4,0),"")</f>
        <v>СТЕЛЛАЖИ</v>
      </c>
      <c r="AC1138" s="39">
        <f t="shared" si="183"/>
        <v>3062</v>
      </c>
      <c r="AD1138" s="13" t="str">
        <f t="shared" si="185"/>
        <v>FBO</v>
      </c>
    </row>
    <row r="1139" spans="1:30" s="6" customFormat="1" ht="20.100000000000001" customHeight="1" outlineLevel="1" x14ac:dyDescent="0.25">
      <c r="A1139" s="665" t="s">
        <v>447</v>
      </c>
      <c r="B1139" s="20"/>
      <c r="C1139" s="13" t="s">
        <v>2582</v>
      </c>
      <c r="D1139" s="879">
        <v>3063</v>
      </c>
      <c r="E1139" s="4">
        <v>30</v>
      </c>
      <c r="F1139" s="101">
        <v>3063</v>
      </c>
      <c r="G1139" s="57" t="s">
        <v>4985</v>
      </c>
      <c r="H1139" s="4" t="s">
        <v>6568</v>
      </c>
      <c r="I1139" s="4"/>
      <c r="J1139" s="4"/>
      <c r="K1139" s="54" t="s">
        <v>2281</v>
      </c>
      <c r="L1139" s="57"/>
      <c r="M1139" s="57"/>
      <c r="N1139" s="4" t="s">
        <v>895</v>
      </c>
      <c r="O1139" s="4">
        <v>375510509</v>
      </c>
      <c r="P1139" s="4">
        <v>375510510</v>
      </c>
      <c r="Q1139" s="767" t="s">
        <v>2813</v>
      </c>
      <c r="R1139" s="767">
        <v>375608500</v>
      </c>
      <c r="S1139" s="4">
        <v>375608499</v>
      </c>
      <c r="T1139" s="4"/>
      <c r="U1139" s="4"/>
      <c r="V1139" s="4"/>
      <c r="W1139" s="4" t="s">
        <v>2281</v>
      </c>
      <c r="X1139" s="4" t="s">
        <v>895</v>
      </c>
      <c r="Y1139" s="4" t="s">
        <v>4066</v>
      </c>
      <c r="Z1139" s="35"/>
      <c r="AA1139" s="1" t="str">
        <f>IFERROR(VLOOKUP(D:D,[1]Габариты!$A:$I,9,0),"")</f>
        <v>Вакансия</v>
      </c>
      <c r="AB1139" s="6" t="str">
        <f>IFERROR(VLOOKUP(D:D,[1]Габариты!$A:$D,4,0),"")</f>
        <v>СТЕЛЛАЖИ</v>
      </c>
      <c r="AC1139" s="39">
        <f t="shared" si="183"/>
        <v>3063</v>
      </c>
      <c r="AD1139" s="13" t="str">
        <f t="shared" si="185"/>
        <v>FBO</v>
      </c>
    </row>
    <row r="1140" spans="1:30" s="6" customFormat="1" ht="20.100000000000001" customHeight="1" outlineLevel="1" x14ac:dyDescent="0.25">
      <c r="A1140" s="635" t="s">
        <v>1366</v>
      </c>
      <c r="B1140" s="25"/>
      <c r="C1140" s="13" t="s">
        <v>2581</v>
      </c>
      <c r="D1140" s="39" t="s">
        <v>1495</v>
      </c>
      <c r="E1140" s="4">
        <v>18</v>
      </c>
      <c r="F1140" s="101" t="s">
        <v>4729</v>
      </c>
      <c r="G1140" s="57" t="s">
        <v>5215</v>
      </c>
      <c r="H1140" s="4" t="s">
        <v>6603</v>
      </c>
      <c r="I1140" s="4"/>
      <c r="J1140" s="4"/>
      <c r="K1140" s="54" t="s">
        <v>4729</v>
      </c>
      <c r="L1140" s="57">
        <v>888377307</v>
      </c>
      <c r="M1140" s="57">
        <v>888377307</v>
      </c>
      <c r="N1140" s="4" t="s">
        <v>1421</v>
      </c>
      <c r="O1140" s="4">
        <v>701470320</v>
      </c>
      <c r="P1140" s="4">
        <v>701470323</v>
      </c>
      <c r="Q1140" s="767"/>
      <c r="R1140" s="767"/>
      <c r="S1140" s="4"/>
      <c r="T1140" s="4"/>
      <c r="U1140" s="4"/>
      <c r="V1140" s="4"/>
      <c r="W1140" s="4"/>
      <c r="X1140" s="4" t="s">
        <v>1421</v>
      </c>
      <c r="Y1140" s="4" t="s">
        <v>4066</v>
      </c>
      <c r="Z1140" s="35"/>
      <c r="AA1140" s="1" t="str">
        <f>IFERROR(VLOOKUP(D:D,[1]Габариты!$A:$I,9,0),"")</f>
        <v>Вакансия</v>
      </c>
      <c r="AB1140" s="6" t="str">
        <f>IFERROR(VLOOKUP(D:D,[1]Габариты!$A:$D,4,0),"")</f>
        <v>СТЕЛЛАЖИ</v>
      </c>
      <c r="AC1140" s="39" t="str">
        <f t="shared" si="183"/>
        <v>MK1460101</v>
      </c>
      <c r="AD1140" s="13" t="str">
        <f t="shared" si="185"/>
        <v>FBS</v>
      </c>
    </row>
    <row r="1141" spans="1:30" s="6" customFormat="1" ht="20.100000000000001" customHeight="1" outlineLevel="1" x14ac:dyDescent="0.25">
      <c r="A1141" s="635" t="s">
        <v>4186</v>
      </c>
      <c r="B1141" s="25"/>
      <c r="C1141" s="13" t="s">
        <v>2581</v>
      </c>
      <c r="D1141" s="39" t="s">
        <v>4185</v>
      </c>
      <c r="E1141" s="4">
        <v>18</v>
      </c>
      <c r="F1141" s="101" t="s">
        <v>4675</v>
      </c>
      <c r="G1141" s="57" t="s">
        <v>5216</v>
      </c>
      <c r="H1141" s="4" t="s">
        <v>6604</v>
      </c>
      <c r="I1141" s="4"/>
      <c r="J1141" s="4"/>
      <c r="K1141" s="54" t="s">
        <v>4675</v>
      </c>
      <c r="L1141" s="57">
        <v>1262959281</v>
      </c>
      <c r="M1141" s="57">
        <v>1262959281</v>
      </c>
      <c r="N1141" s="4" t="s">
        <v>4215</v>
      </c>
      <c r="O1141" s="4">
        <v>1594347037</v>
      </c>
      <c r="P1141" s="4">
        <v>1594347037</v>
      </c>
      <c r="Q1141" s="767"/>
      <c r="R1141" s="767"/>
      <c r="S1141" s="4"/>
      <c r="T1141" s="4"/>
      <c r="U1141" s="4"/>
      <c r="V1141" s="4"/>
      <c r="W1141" s="4"/>
      <c r="X1141" s="4" t="s">
        <v>4215</v>
      </c>
      <c r="Y1141" s="4"/>
      <c r="Z1141" s="35"/>
      <c r="AA1141" s="1" t="str">
        <f>IFERROR(VLOOKUP(D:D,[1]Габариты!$A:$I,9,0),"")</f>
        <v>Вакансия</v>
      </c>
      <c r="AB1141" s="6" t="str">
        <f>IFERROR(VLOOKUP(D:D,[1]Габариты!$A:$D,4,0),"")</f>
        <v>СТЕЛЛАЖИ</v>
      </c>
      <c r="AC1141" s="39" t="str">
        <f t="shared" si="183"/>
        <v>MK1460201</v>
      </c>
      <c r="AD1141" s="13" t="str">
        <f t="shared" si="185"/>
        <v>FBS</v>
      </c>
    </row>
    <row r="1142" spans="1:30" s="6" customFormat="1" ht="20.100000000000001" customHeight="1" outlineLevel="1" x14ac:dyDescent="0.25">
      <c r="A1142" s="635" t="s">
        <v>4200</v>
      </c>
      <c r="B1142" s="25"/>
      <c r="C1142" s="13" t="s">
        <v>2581</v>
      </c>
      <c r="D1142" s="39" t="s">
        <v>4197</v>
      </c>
      <c r="E1142" s="4">
        <v>20</v>
      </c>
      <c r="F1142" s="101" t="s">
        <v>4716</v>
      </c>
      <c r="G1142" s="57" t="s">
        <v>5181</v>
      </c>
      <c r="H1142" s="4" t="s">
        <v>6605</v>
      </c>
      <c r="I1142" s="4"/>
      <c r="J1142" s="4"/>
      <c r="K1142" s="54" t="s">
        <v>4716</v>
      </c>
      <c r="L1142" s="57">
        <v>946014084</v>
      </c>
      <c r="M1142" s="57">
        <v>946014084</v>
      </c>
      <c r="N1142" s="4" t="s">
        <v>4219</v>
      </c>
      <c r="O1142" s="4">
        <v>1594948527</v>
      </c>
      <c r="P1142" s="4">
        <v>1594948527</v>
      </c>
      <c r="Q1142" s="767"/>
      <c r="R1142" s="767"/>
      <c r="S1142" s="4"/>
      <c r="T1142" s="4"/>
      <c r="U1142" s="4"/>
      <c r="V1142" s="4"/>
      <c r="W1142" s="4"/>
      <c r="X1142" s="4" t="s">
        <v>4219</v>
      </c>
      <c r="Y1142" s="4"/>
      <c r="Z1142" s="35"/>
      <c r="AA1142" s="1" t="str">
        <f>IFERROR(VLOOKUP(D:D,[1]Габариты!$A:$I,9,0),"")</f>
        <v>Вакансия</v>
      </c>
      <c r="AB1142" s="6" t="str">
        <f>IFERROR(VLOOKUP(D:D,[1]Габариты!$A:$D,4,0),"")</f>
        <v>СТЕЛЛАЖИ</v>
      </c>
      <c r="AC1142" s="39" t="str">
        <f t="shared" si="183"/>
        <v>MK00037</v>
      </c>
      <c r="AD1142" s="13" t="str">
        <f t="shared" si="185"/>
        <v>FBS</v>
      </c>
    </row>
    <row r="1143" spans="1:30" s="6" customFormat="1" ht="20.100000000000001" customHeight="1" outlineLevel="1" x14ac:dyDescent="0.25">
      <c r="A1143" s="635" t="s">
        <v>4201</v>
      </c>
      <c r="B1143" s="25"/>
      <c r="C1143" s="13" t="s">
        <v>2581</v>
      </c>
      <c r="D1143" s="39" t="s">
        <v>4198</v>
      </c>
      <c r="E1143" s="4">
        <v>20</v>
      </c>
      <c r="F1143" s="101" t="s">
        <v>4693</v>
      </c>
      <c r="G1143" s="57" t="s">
        <v>5182</v>
      </c>
      <c r="H1143" s="4" t="s">
        <v>6606</v>
      </c>
      <c r="I1143" s="4"/>
      <c r="J1143" s="4"/>
      <c r="K1143" s="54" t="s">
        <v>4693</v>
      </c>
      <c r="L1143" s="57">
        <v>1124133221</v>
      </c>
      <c r="M1143" s="57">
        <v>1124133221</v>
      </c>
      <c r="N1143" s="4" t="s">
        <v>4218</v>
      </c>
      <c r="O1143" s="4">
        <v>1594946684</v>
      </c>
      <c r="P1143" s="4">
        <v>1594946684</v>
      </c>
      <c r="Q1143" s="767"/>
      <c r="R1143" s="767"/>
      <c r="S1143" s="4"/>
      <c r="T1143" s="4"/>
      <c r="U1143" s="4"/>
      <c r="V1143" s="4"/>
      <c r="W1143" s="4"/>
      <c r="X1143" s="4" t="s">
        <v>4218</v>
      </c>
      <c r="Y1143" s="4"/>
      <c r="Z1143" s="35"/>
      <c r="AA1143" s="1" t="str">
        <f>IFERROR(VLOOKUP(D:D,[1]Габариты!$A:$I,9,0),"")</f>
        <v>Вакансия</v>
      </c>
      <c r="AB1143" s="6" t="str">
        <f>IFERROR(VLOOKUP(D:D,[1]Габариты!$A:$D,4,0),"")</f>
        <v>СТЕЛЛАЖИ</v>
      </c>
      <c r="AC1143" s="39" t="str">
        <f t="shared" si="183"/>
        <v>MK00039</v>
      </c>
      <c r="AD1143" s="13" t="str">
        <f t="shared" si="185"/>
        <v>FBS</v>
      </c>
    </row>
    <row r="1144" spans="1:30" s="6" customFormat="1" ht="20.100000000000001" customHeight="1" outlineLevel="1" x14ac:dyDescent="0.25">
      <c r="A1144" s="635" t="s">
        <v>89</v>
      </c>
      <c r="B1144" s="3"/>
      <c r="C1144" s="13" t="s">
        <v>2582</v>
      </c>
      <c r="D1144" s="39">
        <v>2603</v>
      </c>
      <c r="E1144" s="4">
        <v>42</v>
      </c>
      <c r="F1144" s="101">
        <v>2603</v>
      </c>
      <c r="G1144" s="57" t="s">
        <v>4825</v>
      </c>
      <c r="H1144" s="4" t="s">
        <v>6578</v>
      </c>
      <c r="I1144" s="4" t="s">
        <v>3277</v>
      </c>
      <c r="J1144" s="4" t="s">
        <v>1948</v>
      </c>
      <c r="K1144" s="54" t="s">
        <v>2274</v>
      </c>
      <c r="L1144" s="57">
        <v>193870578</v>
      </c>
      <c r="M1144" s="57">
        <v>193870578</v>
      </c>
      <c r="N1144" s="4" t="s">
        <v>608</v>
      </c>
      <c r="O1144" s="4">
        <v>262641701</v>
      </c>
      <c r="P1144" s="4">
        <v>262641704</v>
      </c>
      <c r="Q1144" s="767" t="s">
        <v>2807</v>
      </c>
      <c r="R1144" s="767">
        <v>352445108</v>
      </c>
      <c r="S1144" s="4">
        <v>352445108</v>
      </c>
      <c r="T1144" s="4" t="s">
        <v>3125</v>
      </c>
      <c r="U1144" s="4">
        <v>956929582</v>
      </c>
      <c r="V1144" s="4">
        <v>956929582</v>
      </c>
      <c r="W1144" s="4" t="s">
        <v>2274</v>
      </c>
      <c r="X1144" s="4" t="s">
        <v>608</v>
      </c>
      <c r="Y1144" s="4">
        <v>2603</v>
      </c>
      <c r="Z1144" s="35"/>
      <c r="AA1144" s="1" t="str">
        <f>IFERROR(VLOOKUP(D:D,[1]Габариты!$A:$I,9,0),"")</f>
        <v>Вакансия</v>
      </c>
      <c r="AB1144" s="6" t="str">
        <f>IFERROR(VLOOKUP(D:D,[1]Габариты!$A:$D,4,0),"")</f>
        <v>СТЕЛЛАЖИ</v>
      </c>
      <c r="AC1144" s="39">
        <f t="shared" si="183"/>
        <v>2603</v>
      </c>
      <c r="AD1144" s="13" t="str">
        <f t="shared" si="185"/>
        <v>FBO</v>
      </c>
    </row>
    <row r="1145" spans="1:30" s="6" customFormat="1" ht="20.100000000000001" customHeight="1" outlineLevel="1" x14ac:dyDescent="0.25">
      <c r="A1145" s="635" t="s">
        <v>90</v>
      </c>
      <c r="B1145" s="3"/>
      <c r="C1145" s="13" t="s">
        <v>2582</v>
      </c>
      <c r="D1145" s="39">
        <v>2604</v>
      </c>
      <c r="E1145" s="4">
        <v>42</v>
      </c>
      <c r="F1145" s="101">
        <v>2604</v>
      </c>
      <c r="G1145" s="57" t="s">
        <v>4826</v>
      </c>
      <c r="H1145" s="4" t="s">
        <v>7434</v>
      </c>
      <c r="I1145" s="4"/>
      <c r="J1145" s="4" t="s">
        <v>1949</v>
      </c>
      <c r="K1145" s="54" t="s">
        <v>2275</v>
      </c>
      <c r="L1145" s="57">
        <v>193425773</v>
      </c>
      <c r="M1145" s="57">
        <v>193425773</v>
      </c>
      <c r="N1145" s="4" t="s">
        <v>609</v>
      </c>
      <c r="O1145" s="4">
        <v>265269372</v>
      </c>
      <c r="P1145" s="4">
        <v>265269377</v>
      </c>
      <c r="Q1145" s="767" t="s">
        <v>2808</v>
      </c>
      <c r="R1145" s="767">
        <v>370856107</v>
      </c>
      <c r="S1145" s="4">
        <v>370856107</v>
      </c>
      <c r="T1145" s="4"/>
      <c r="U1145" s="4"/>
      <c r="V1145" s="4"/>
      <c r="W1145" s="4" t="s">
        <v>2275</v>
      </c>
      <c r="X1145" s="4" t="s">
        <v>609</v>
      </c>
      <c r="Y1145" s="4">
        <v>2604</v>
      </c>
      <c r="Z1145" s="35"/>
      <c r="AA1145" s="1" t="str">
        <f>IFERROR(VLOOKUP(D:D,[1]Габариты!$A:$I,9,0),"")</f>
        <v>Вакансия</v>
      </c>
      <c r="AB1145" s="6" t="str">
        <f>IFERROR(VLOOKUP(D:D,[1]Габариты!$A:$D,4,0),"")</f>
        <v>СТЕЛЛАЖИ</v>
      </c>
      <c r="AC1145" s="39">
        <f t="shared" si="183"/>
        <v>2604</v>
      </c>
      <c r="AD1145" s="13" t="str">
        <f t="shared" si="185"/>
        <v>FBO</v>
      </c>
    </row>
    <row r="1146" spans="1:30" s="6" customFormat="1" ht="20.100000000000001" customHeight="1" outlineLevel="1" x14ac:dyDescent="0.25">
      <c r="A1146" s="635" t="s">
        <v>91</v>
      </c>
      <c r="B1146" s="3"/>
      <c r="C1146" s="13" t="s">
        <v>2582</v>
      </c>
      <c r="D1146" s="39">
        <v>2605</v>
      </c>
      <c r="E1146" s="4">
        <v>42</v>
      </c>
      <c r="F1146" s="101">
        <v>2605</v>
      </c>
      <c r="G1146" s="57" t="s">
        <v>4827</v>
      </c>
      <c r="H1146" s="4" t="s">
        <v>7435</v>
      </c>
      <c r="I1146" s="4"/>
      <c r="J1146" s="4" t="s">
        <v>1950</v>
      </c>
      <c r="K1146" s="54" t="s">
        <v>2276</v>
      </c>
      <c r="L1146" s="57">
        <v>192935778</v>
      </c>
      <c r="M1146" s="57">
        <v>192935778</v>
      </c>
      <c r="N1146" s="4" t="s">
        <v>610</v>
      </c>
      <c r="O1146" s="4">
        <v>267327323</v>
      </c>
      <c r="P1146" s="4">
        <v>267327333</v>
      </c>
      <c r="Q1146" s="767" t="s">
        <v>2809</v>
      </c>
      <c r="R1146" s="767">
        <v>357483207</v>
      </c>
      <c r="S1146" s="4">
        <v>357483208</v>
      </c>
      <c r="T1146" s="4"/>
      <c r="U1146" s="4"/>
      <c r="V1146" s="4"/>
      <c r="W1146" s="4" t="s">
        <v>2276</v>
      </c>
      <c r="X1146" s="4" t="s">
        <v>610</v>
      </c>
      <c r="Y1146" s="4">
        <v>2605</v>
      </c>
      <c r="Z1146" s="35"/>
      <c r="AA1146" s="1" t="str">
        <f>IFERROR(VLOOKUP(D:D,[1]Габариты!$A:$I,9,0),"")</f>
        <v>Вакансия</v>
      </c>
      <c r="AB1146" s="6" t="str">
        <f>IFERROR(VLOOKUP(D:D,[1]Габариты!$A:$D,4,0),"")</f>
        <v>СТЕЛЛАЖИ</v>
      </c>
      <c r="AC1146" s="39">
        <f t="shared" si="183"/>
        <v>2605</v>
      </c>
      <c r="AD1146" s="13" t="str">
        <f t="shared" si="185"/>
        <v>FBO</v>
      </c>
    </row>
    <row r="1147" spans="1:30" s="6" customFormat="1" ht="20.100000000000001" customHeight="1" outlineLevel="1" x14ac:dyDescent="0.25">
      <c r="A1147" s="635" t="s">
        <v>1524</v>
      </c>
      <c r="B1147" s="25"/>
      <c r="C1147" s="13" t="s">
        <v>2582</v>
      </c>
      <c r="D1147" s="39">
        <v>3572</v>
      </c>
      <c r="E1147" s="4">
        <v>42</v>
      </c>
      <c r="F1147" s="101">
        <v>3572</v>
      </c>
      <c r="G1147" s="57"/>
      <c r="H1147" s="4" t="s">
        <v>6579</v>
      </c>
      <c r="I1147" s="4"/>
      <c r="J1147" s="4" t="s">
        <v>4163</v>
      </c>
      <c r="K1147" s="54" t="s">
        <v>7891</v>
      </c>
      <c r="L1147" s="57"/>
      <c r="M1147" s="57"/>
      <c r="N1147" s="4" t="s">
        <v>1576</v>
      </c>
      <c r="O1147" s="4">
        <v>762459830</v>
      </c>
      <c r="P1147" s="4">
        <v>762459831</v>
      </c>
      <c r="Q1147" s="767"/>
      <c r="R1147" s="767"/>
      <c r="S1147" s="4"/>
      <c r="T1147" s="4" t="s">
        <v>4452</v>
      </c>
      <c r="U1147" s="4">
        <v>1177869539</v>
      </c>
      <c r="V1147" s="4">
        <v>1177869539</v>
      </c>
      <c r="W1147" s="4"/>
      <c r="X1147" s="4" t="s">
        <v>1576</v>
      </c>
      <c r="Y1147" s="4" t="s">
        <v>4066</v>
      </c>
      <c r="Z1147" s="35"/>
      <c r="AA1147" s="1" t="str">
        <f>IFERROR(VLOOKUP(D:D,[1]Габариты!$A:$I,9,0),"")</f>
        <v>Вакансия</v>
      </c>
      <c r="AB1147" s="6" t="str">
        <f>IFERROR(VLOOKUP(D:D,[1]Габариты!$A:$D,4,0),"")</f>
        <v>СТЕЛЛАЖИ</v>
      </c>
      <c r="AC1147" s="39">
        <f t="shared" si="183"/>
        <v>3572</v>
      </c>
      <c r="AD1147" s="13" t="str">
        <f t="shared" si="185"/>
        <v>FBO</v>
      </c>
    </row>
    <row r="1148" spans="1:30" s="6" customFormat="1" ht="20.100000000000001" customHeight="1" outlineLevel="1" x14ac:dyDescent="0.25">
      <c r="A1148" s="635" t="s">
        <v>1525</v>
      </c>
      <c r="B1148" s="25"/>
      <c r="C1148" s="13" t="s">
        <v>2582</v>
      </c>
      <c r="D1148" s="39">
        <v>3573</v>
      </c>
      <c r="E1148" s="4">
        <v>42</v>
      </c>
      <c r="F1148" s="101">
        <v>3573</v>
      </c>
      <c r="G1148" s="57"/>
      <c r="H1148" s="4" t="s">
        <v>6580</v>
      </c>
      <c r="I1148" s="4"/>
      <c r="J1148" s="4" t="s">
        <v>3566</v>
      </c>
      <c r="K1148" s="54" t="s">
        <v>7892</v>
      </c>
      <c r="L1148" s="57"/>
      <c r="M1148" s="57"/>
      <c r="N1148" s="4" t="s">
        <v>2617</v>
      </c>
      <c r="O1148" s="4">
        <v>763358752</v>
      </c>
      <c r="P1148" s="4">
        <v>763358751</v>
      </c>
      <c r="Q1148" s="767"/>
      <c r="R1148" s="767"/>
      <c r="S1148" s="4"/>
      <c r="T1148" s="4" t="s">
        <v>3551</v>
      </c>
      <c r="U1148" s="4">
        <v>1062320660</v>
      </c>
      <c r="V1148" s="4">
        <v>1062320660</v>
      </c>
      <c r="W1148" s="4"/>
      <c r="X1148" s="4" t="s">
        <v>2617</v>
      </c>
      <c r="Y1148" s="4" t="s">
        <v>4066</v>
      </c>
      <c r="Z1148" s="35"/>
      <c r="AA1148" s="1" t="str">
        <f>IFERROR(VLOOKUP(D:D,[1]Габариты!$A:$I,9,0),"")</f>
        <v>Вакансия</v>
      </c>
      <c r="AB1148" s="6" t="str">
        <f>IFERROR(VLOOKUP(D:D,[1]Габариты!$A:$D,4,0),"")</f>
        <v>СТЕЛЛАЖИ</v>
      </c>
      <c r="AC1148" s="39">
        <f t="shared" si="183"/>
        <v>3573</v>
      </c>
      <c r="AD1148" s="13" t="str">
        <f t="shared" si="185"/>
        <v>FBO</v>
      </c>
    </row>
    <row r="1149" spans="1:30" s="6" customFormat="1" ht="20.100000000000001" customHeight="1" outlineLevel="1" x14ac:dyDescent="0.25">
      <c r="A1149" s="635" t="s">
        <v>412</v>
      </c>
      <c r="B1149" s="3"/>
      <c r="C1149" s="13" t="s">
        <v>4328</v>
      </c>
      <c r="D1149" s="39">
        <v>9399</v>
      </c>
      <c r="E1149" s="4"/>
      <c r="F1149" s="101"/>
      <c r="G1149" s="57"/>
      <c r="H1149" s="4" t="s">
        <v>6565</v>
      </c>
      <c r="I1149" s="4"/>
      <c r="J1149" s="4"/>
      <c r="K1149" s="54"/>
      <c r="L1149" s="57"/>
      <c r="M1149" s="57"/>
      <c r="N1149" s="4" t="s">
        <v>886</v>
      </c>
      <c r="O1149" s="4">
        <v>327786464</v>
      </c>
      <c r="P1149" s="4">
        <v>327786475</v>
      </c>
      <c r="Q1149" s="767" t="s">
        <v>2790</v>
      </c>
      <c r="R1149" s="767">
        <v>346639344</v>
      </c>
      <c r="S1149" s="4">
        <v>346639384</v>
      </c>
      <c r="T1149" s="4"/>
      <c r="U1149" s="4"/>
      <c r="V1149" s="4"/>
      <c r="W1149" s="4" t="s">
        <v>2246</v>
      </c>
      <c r="X1149" s="4" t="s">
        <v>886</v>
      </c>
      <c r="Y1149" s="4" t="s">
        <v>4066</v>
      </c>
      <c r="Z1149" s="35"/>
      <c r="AA1149" s="1" t="str">
        <f>IFERROR(VLOOKUP(D:D,[1]Габариты!$A:$I,9,0),"")</f>
        <v>Вакансия</v>
      </c>
      <c r="AB1149" s="6" t="str">
        <f>IFERROR(VLOOKUP(D:D,[1]Габариты!$A:$D,4,0),"")</f>
        <v>СТЕЛЛАЖИ</v>
      </c>
      <c r="AC1149" s="39">
        <f t="shared" si="183"/>
        <v>9399</v>
      </c>
      <c r="AD1149" s="13" t="str">
        <f t="shared" si="185"/>
        <v>СКГТ</v>
      </c>
    </row>
    <row r="1150" spans="1:30" s="6" customFormat="1" ht="20.100000000000001" customHeight="1" outlineLevel="1" x14ac:dyDescent="0.25">
      <c r="A1150" s="635" t="s">
        <v>1018</v>
      </c>
      <c r="B1150" s="25"/>
      <c r="C1150" s="13" t="s">
        <v>2581</v>
      </c>
      <c r="D1150" s="39" t="s">
        <v>1489</v>
      </c>
      <c r="E1150" s="4">
        <v>20</v>
      </c>
      <c r="F1150" s="101" t="s">
        <v>4735</v>
      </c>
      <c r="G1150" s="57" t="s">
        <v>5167</v>
      </c>
      <c r="H1150" s="4" t="s">
        <v>6598</v>
      </c>
      <c r="I1150" s="4"/>
      <c r="J1150" s="4" t="s">
        <v>4206</v>
      </c>
      <c r="K1150" s="54" t="s">
        <v>4735</v>
      </c>
      <c r="L1150" s="57">
        <v>884265898</v>
      </c>
      <c r="M1150" s="57">
        <v>884265898</v>
      </c>
      <c r="N1150" s="4" t="s">
        <v>1415</v>
      </c>
      <c r="O1150" s="4">
        <v>603694685</v>
      </c>
      <c r="P1150" s="4">
        <v>603694686</v>
      </c>
      <c r="Q1150" s="767"/>
      <c r="R1150" s="767"/>
      <c r="S1150" s="4"/>
      <c r="T1150" s="4"/>
      <c r="U1150" s="4"/>
      <c r="V1150" s="4"/>
      <c r="W1150" s="4"/>
      <c r="X1150" s="4" t="s">
        <v>1415</v>
      </c>
      <c r="Y1150" s="4" t="s">
        <v>1489</v>
      </c>
      <c r="Z1150" s="35"/>
      <c r="AA1150" s="1" t="str">
        <f>IFERROR(VLOOKUP(D:D,[1]Габариты!$A:$I,9,0),"")</f>
        <v>Вакансия</v>
      </c>
      <c r="AB1150" s="6" t="str">
        <f>IFERROR(VLOOKUP(D:D,[1]Габариты!$A:$D,4,0),"")</f>
        <v>СТЕЛЛАЖИ</v>
      </c>
      <c r="AC1150" s="39" t="str">
        <f t="shared" si="183"/>
        <v>MK00022</v>
      </c>
      <c r="AD1150" s="13" t="str">
        <f t="shared" si="185"/>
        <v>FBS</v>
      </c>
    </row>
    <row r="1151" spans="1:30" s="6" customFormat="1" ht="20.100000000000001" customHeight="1" outlineLevel="1" x14ac:dyDescent="0.25">
      <c r="A1151" s="635" t="s">
        <v>1019</v>
      </c>
      <c r="B1151" s="25"/>
      <c r="C1151" s="13" t="s">
        <v>2581</v>
      </c>
      <c r="D1151" s="39" t="s">
        <v>1490</v>
      </c>
      <c r="E1151" s="4">
        <v>20</v>
      </c>
      <c r="F1151" s="101" t="s">
        <v>4725</v>
      </c>
      <c r="G1151" s="57" t="s">
        <v>5169</v>
      </c>
      <c r="H1151" s="4" t="s">
        <v>6599</v>
      </c>
      <c r="I1151" s="4"/>
      <c r="J1151" s="4"/>
      <c r="K1151" s="54" t="s">
        <v>4725</v>
      </c>
      <c r="L1151" s="57">
        <v>880978884</v>
      </c>
      <c r="M1151" s="57">
        <v>880978884</v>
      </c>
      <c r="N1151" s="4" t="s">
        <v>1416</v>
      </c>
      <c r="O1151" s="4">
        <v>603883020</v>
      </c>
      <c r="P1151" s="4">
        <v>603883019</v>
      </c>
      <c r="Q1151" s="767"/>
      <c r="R1151" s="767"/>
      <c r="S1151" s="4"/>
      <c r="T1151" s="4"/>
      <c r="U1151" s="4"/>
      <c r="V1151" s="4"/>
      <c r="W1151" s="4"/>
      <c r="X1151" s="4" t="s">
        <v>1416</v>
      </c>
      <c r="Y1151" s="4" t="s">
        <v>4066</v>
      </c>
      <c r="Z1151" s="35"/>
      <c r="AA1151" s="1" t="str">
        <f>IFERROR(VLOOKUP(D:D,[1]Габариты!$A:$I,9,0),"")</f>
        <v>Вакансия</v>
      </c>
      <c r="AB1151" s="6" t="str">
        <f>IFERROR(VLOOKUP(D:D,[1]Габариты!$A:$D,4,0),"")</f>
        <v>СТЕЛЛАЖИ</v>
      </c>
      <c r="AC1151" s="39" t="str">
        <f t="shared" si="183"/>
        <v>MK00024</v>
      </c>
      <c r="AD1151" s="13" t="str">
        <f t="shared" si="185"/>
        <v>FBS</v>
      </c>
    </row>
    <row r="1152" spans="1:30" s="6" customFormat="1" ht="20.100000000000001" customHeight="1" outlineLevel="1" x14ac:dyDescent="0.25">
      <c r="A1152" s="633" t="s">
        <v>3905</v>
      </c>
      <c r="B1152" s="25"/>
      <c r="C1152" s="13" t="s">
        <v>2582</v>
      </c>
      <c r="D1152" s="39">
        <v>3756</v>
      </c>
      <c r="E1152" s="4">
        <v>25</v>
      </c>
      <c r="F1152" s="101">
        <v>3756</v>
      </c>
      <c r="G1152" s="57" t="s">
        <v>5981</v>
      </c>
      <c r="H1152" s="4" t="s">
        <v>6705</v>
      </c>
      <c r="I1152" s="4"/>
      <c r="J1152" s="4" t="s">
        <v>3968</v>
      </c>
      <c r="K1152" s="54"/>
      <c r="L1152" s="57">
        <v>1588726543</v>
      </c>
      <c r="M1152" s="57">
        <v>1588726543</v>
      </c>
      <c r="N1152" s="4" t="s">
        <v>3991</v>
      </c>
      <c r="O1152" s="4">
        <v>1468811553</v>
      </c>
      <c r="P1152" s="4">
        <v>1468811553</v>
      </c>
      <c r="Q1152" s="767"/>
      <c r="R1152" s="767"/>
      <c r="S1152" s="4"/>
      <c r="T1152" s="4"/>
      <c r="U1152" s="4"/>
      <c r="V1152" s="4"/>
      <c r="W1152" s="4"/>
      <c r="X1152" s="4" t="s">
        <v>3991</v>
      </c>
      <c r="Y1152" s="4" t="s">
        <v>4066</v>
      </c>
      <c r="Z1152" s="35"/>
      <c r="AA1152" s="1" t="str">
        <f>IFERROR(VLOOKUP(D:D,[1]Габариты!$A:$I,9,0),"")</f>
        <v>Вакансия</v>
      </c>
      <c r="AB1152" s="6" t="str">
        <f>IFERROR(VLOOKUP(D:D,[1]Габариты!$A:$D,4,0),"")</f>
        <v>СТЕЛЛАЖИ</v>
      </c>
      <c r="AC1152" s="39">
        <f t="shared" si="183"/>
        <v>3756</v>
      </c>
      <c r="AD1152" s="13" t="str">
        <f t="shared" si="185"/>
        <v>FBO</v>
      </c>
    </row>
    <row r="1153" spans="1:30" s="6" customFormat="1" ht="20.100000000000001" customHeight="1" outlineLevel="1" x14ac:dyDescent="0.25">
      <c r="A1153" s="633" t="s">
        <v>3950</v>
      </c>
      <c r="B1153" s="25"/>
      <c r="C1153" s="13" t="s">
        <v>2582</v>
      </c>
      <c r="D1153" s="39" t="s">
        <v>3948</v>
      </c>
      <c r="E1153" s="4">
        <v>25</v>
      </c>
      <c r="F1153" s="101" t="s">
        <v>6225</v>
      </c>
      <c r="G1153" s="57"/>
      <c r="H1153" s="4" t="s">
        <v>6706</v>
      </c>
      <c r="I1153" s="4"/>
      <c r="J1153" s="4" t="s">
        <v>4171</v>
      </c>
      <c r="K1153" s="54"/>
      <c r="L1153" s="57"/>
      <c r="M1153" s="57"/>
      <c r="N1153" s="4" t="s">
        <v>3992</v>
      </c>
      <c r="O1153" s="4">
        <v>1469045249</v>
      </c>
      <c r="P1153" s="4">
        <v>1469045249</v>
      </c>
      <c r="Q1153" s="767"/>
      <c r="R1153" s="767"/>
      <c r="S1153" s="4"/>
      <c r="T1153" s="4"/>
      <c r="U1153" s="4"/>
      <c r="V1153" s="4"/>
      <c r="W1153" s="4"/>
      <c r="X1153" s="4" t="s">
        <v>3992</v>
      </c>
      <c r="Y1153" s="4" t="s">
        <v>4066</v>
      </c>
      <c r="Z1153" s="35"/>
      <c r="AA1153" s="1" t="str">
        <f>IFERROR(VLOOKUP(D:D,[1]Габариты!$A:$I,9,0),"")</f>
        <v>Вакансия</v>
      </c>
      <c r="AB1153" s="6" t="str">
        <f>IFERROR(VLOOKUP(D:D,[1]Габариты!$A:$D,4,0),"")</f>
        <v>СТЕЛЛАЖИ</v>
      </c>
      <c r="AC1153" s="39" t="str">
        <f t="shared" si="183"/>
        <v>3756.05/01</v>
      </c>
      <c r="AD1153" s="13" t="str">
        <f t="shared" si="185"/>
        <v>FBO</v>
      </c>
    </row>
    <row r="1154" spans="1:30" s="6" customFormat="1" ht="20.100000000000001" customHeight="1" outlineLevel="1" x14ac:dyDescent="0.25">
      <c r="A1154" s="633" t="s">
        <v>3962</v>
      </c>
      <c r="B1154" s="25"/>
      <c r="C1154" s="13" t="s">
        <v>2582</v>
      </c>
      <c r="D1154" s="39" t="s">
        <v>3961</v>
      </c>
      <c r="E1154" s="4">
        <v>25</v>
      </c>
      <c r="F1154" s="101" t="s">
        <v>6226</v>
      </c>
      <c r="G1154" s="57"/>
      <c r="H1154" s="4" t="s">
        <v>6707</v>
      </c>
      <c r="I1154" s="4"/>
      <c r="J1154" s="4" t="s">
        <v>4172</v>
      </c>
      <c r="K1154" s="54"/>
      <c r="L1154" s="57"/>
      <c r="M1154" s="57"/>
      <c r="N1154" s="4" t="s">
        <v>4014</v>
      </c>
      <c r="O1154" s="4">
        <v>1479688850</v>
      </c>
      <c r="P1154" s="4">
        <v>1479688850</v>
      </c>
      <c r="Q1154" s="767"/>
      <c r="R1154" s="767"/>
      <c r="S1154" s="4"/>
      <c r="T1154" s="4"/>
      <c r="U1154" s="4"/>
      <c r="V1154" s="4"/>
      <c r="W1154" s="4"/>
      <c r="X1154" s="4" t="s">
        <v>4014</v>
      </c>
      <c r="Y1154" s="4" t="s">
        <v>4066</v>
      </c>
      <c r="Z1154" s="35"/>
      <c r="AA1154" s="1" t="str">
        <f>IFERROR(VLOOKUP(D:D,[1]Габариты!$A:$I,9,0),"")</f>
        <v>Вакансия</v>
      </c>
      <c r="AB1154" s="6" t="str">
        <f>IFERROR(VLOOKUP(D:D,[1]Габариты!$A:$D,4,0),"")</f>
        <v>СТЕЛЛАЖИ</v>
      </c>
      <c r="AC1154" s="39" t="str">
        <f t="shared" si="183"/>
        <v>3756.06/01</v>
      </c>
      <c r="AD1154" s="13" t="str">
        <f t="shared" si="185"/>
        <v>FBO</v>
      </c>
    </row>
    <row r="1155" spans="1:30" s="6" customFormat="1" ht="20.100000000000001" customHeight="1" outlineLevel="1" x14ac:dyDescent="0.25">
      <c r="A1155" s="633" t="s">
        <v>3951</v>
      </c>
      <c r="B1155" s="25"/>
      <c r="C1155" s="13" t="s">
        <v>2582</v>
      </c>
      <c r="D1155" s="39" t="s">
        <v>3949</v>
      </c>
      <c r="E1155" s="4">
        <v>25</v>
      </c>
      <c r="F1155" s="101" t="s">
        <v>6227</v>
      </c>
      <c r="G1155" s="57"/>
      <c r="H1155" s="4" t="s">
        <v>6708</v>
      </c>
      <c r="I1155" s="4"/>
      <c r="J1155" s="4" t="s">
        <v>4173</v>
      </c>
      <c r="K1155" s="54"/>
      <c r="L1155" s="57"/>
      <c r="M1155" s="57"/>
      <c r="N1155" s="4" t="s">
        <v>4015</v>
      </c>
      <c r="O1155" s="4">
        <v>1478837679</v>
      </c>
      <c r="P1155" s="4">
        <v>1478837679</v>
      </c>
      <c r="Q1155" s="767"/>
      <c r="R1155" s="767"/>
      <c r="S1155" s="4"/>
      <c r="T1155" s="4"/>
      <c r="U1155" s="4"/>
      <c r="V1155" s="4"/>
      <c r="W1155" s="4"/>
      <c r="X1155" s="4" t="s">
        <v>4015</v>
      </c>
      <c r="Y1155" s="4" t="s">
        <v>4066</v>
      </c>
      <c r="Z1155" s="35"/>
      <c r="AA1155" s="1" t="str">
        <f>IFERROR(VLOOKUP(D:D,[1]Габариты!$A:$I,9,0),"")</f>
        <v>Вакансия</v>
      </c>
      <c r="AB1155" s="6" t="str">
        <f>IFERROR(VLOOKUP(D:D,[1]Габариты!$A:$D,4,0),"")</f>
        <v>СТЕЛЛАЖИ</v>
      </c>
      <c r="AC1155" s="39" t="str">
        <f t="shared" si="183"/>
        <v>3756.09/01</v>
      </c>
      <c r="AD1155" s="13" t="str">
        <f t="shared" si="185"/>
        <v>FBO</v>
      </c>
    </row>
    <row r="1156" spans="1:30" s="6" customFormat="1" ht="20.100000000000001" customHeight="1" outlineLevel="1" x14ac:dyDescent="0.25">
      <c r="A1156" s="633" t="s">
        <v>3982</v>
      </c>
      <c r="B1156" s="25"/>
      <c r="C1156" s="13" t="s">
        <v>2582</v>
      </c>
      <c r="D1156" s="39" t="s">
        <v>3980</v>
      </c>
      <c r="E1156" s="4">
        <v>25</v>
      </c>
      <c r="F1156" s="101" t="s">
        <v>6228</v>
      </c>
      <c r="G1156" s="57"/>
      <c r="H1156" s="4" t="s">
        <v>6709</v>
      </c>
      <c r="I1156" s="4"/>
      <c r="J1156" s="4" t="s">
        <v>4174</v>
      </c>
      <c r="K1156" s="54"/>
      <c r="L1156" s="57"/>
      <c r="M1156" s="57"/>
      <c r="N1156" s="4" t="s">
        <v>4037</v>
      </c>
      <c r="O1156" s="4">
        <v>1488751341</v>
      </c>
      <c r="P1156" s="4">
        <v>1488751341</v>
      </c>
      <c r="Q1156" s="767"/>
      <c r="R1156" s="767"/>
      <c r="S1156" s="4"/>
      <c r="T1156" s="4"/>
      <c r="U1156" s="4"/>
      <c r="V1156" s="4"/>
      <c r="W1156" s="4"/>
      <c r="X1156" s="4" t="s">
        <v>4040</v>
      </c>
      <c r="Y1156" s="4" t="s">
        <v>4066</v>
      </c>
      <c r="Z1156" s="35"/>
      <c r="AA1156" s="1" t="str">
        <f>IFERROR(VLOOKUP(D:D,[1]Габариты!$A:$I,9,0),"")</f>
        <v>Вакансия</v>
      </c>
      <c r="AB1156" s="6" t="str">
        <f>IFERROR(VLOOKUP(D:D,[1]Габариты!$A:$D,4,0),"")</f>
        <v>СТЕЛЛАЖИ</v>
      </c>
      <c r="AC1156" s="39" t="str">
        <f t="shared" si="183"/>
        <v>3756.20/01</v>
      </c>
      <c r="AD1156" s="13" t="str">
        <f t="shared" si="185"/>
        <v>FBO</v>
      </c>
    </row>
    <row r="1157" spans="1:30" s="6" customFormat="1" ht="20.100000000000001" customHeight="1" outlineLevel="1" x14ac:dyDescent="0.25">
      <c r="A1157" s="633" t="s">
        <v>3912</v>
      </c>
      <c r="B1157" s="25"/>
      <c r="C1157" s="13" t="s">
        <v>2582</v>
      </c>
      <c r="D1157" s="39" t="s">
        <v>3914</v>
      </c>
      <c r="E1157" s="4">
        <v>18</v>
      </c>
      <c r="F1157" s="101" t="s">
        <v>3914</v>
      </c>
      <c r="G1157" s="57"/>
      <c r="H1157" s="4" t="s">
        <v>6711</v>
      </c>
      <c r="I1157" s="4" t="s">
        <v>3970</v>
      </c>
      <c r="J1157" s="4" t="s">
        <v>3967</v>
      </c>
      <c r="K1157" s="54"/>
      <c r="L1157" s="57"/>
      <c r="M1157" s="57"/>
      <c r="N1157" s="4" t="s">
        <v>3932</v>
      </c>
      <c r="O1157" s="4">
        <v>1427232045</v>
      </c>
      <c r="P1157" s="4">
        <v>1427232045</v>
      </c>
      <c r="Q1157" s="767"/>
      <c r="R1157" s="767"/>
      <c r="S1157" s="4"/>
      <c r="T1157" s="4"/>
      <c r="U1157" s="4"/>
      <c r="V1157" s="4"/>
      <c r="W1157" s="4"/>
      <c r="X1157" s="4" t="s">
        <v>3932</v>
      </c>
      <c r="Y1157" s="4" t="s">
        <v>3914</v>
      </c>
      <c r="Z1157" s="35"/>
      <c r="AA1157" s="1" t="str">
        <f>IFERROR(VLOOKUP(D:D,[1]Габариты!$A:$I,9,0),"")</f>
        <v>Вакансия</v>
      </c>
      <c r="AB1157" s="6" t="str">
        <f>IFERROR(VLOOKUP(D:D,[1]Габариты!$A:$D,4,0),"")</f>
        <v>СТЕЛЛАЖИ</v>
      </c>
      <c r="AC1157" s="39" t="str">
        <f t="shared" si="183"/>
        <v>80317945.09/01</v>
      </c>
      <c r="AD1157" s="13" t="str">
        <f t="shared" si="185"/>
        <v>FBO</v>
      </c>
    </row>
    <row r="1158" spans="1:30" s="6" customFormat="1" ht="20.100000000000001" customHeight="1" outlineLevel="1" x14ac:dyDescent="0.25">
      <c r="A1158" s="635" t="s">
        <v>1452</v>
      </c>
      <c r="B1158" s="25"/>
      <c r="C1158" s="13" t="s">
        <v>2581</v>
      </c>
      <c r="D1158" s="39" t="s">
        <v>1498</v>
      </c>
      <c r="E1158" s="4">
        <v>16</v>
      </c>
      <c r="F1158" s="101" t="s">
        <v>6209</v>
      </c>
      <c r="G1158" s="57" t="s">
        <v>5192</v>
      </c>
      <c r="H1158" s="4" t="s">
        <v>6593</v>
      </c>
      <c r="I1158" s="4"/>
      <c r="J1158" s="4"/>
      <c r="K1158" s="54"/>
      <c r="L1158" s="57"/>
      <c r="M1158" s="57"/>
      <c r="N1158" s="4" t="s">
        <v>1601</v>
      </c>
      <c r="O1158" s="4">
        <v>733248804</v>
      </c>
      <c r="P1158" s="4">
        <v>733248805</v>
      </c>
      <c r="Q1158" s="767"/>
      <c r="R1158" s="767"/>
      <c r="S1158" s="4"/>
      <c r="T1158" s="4"/>
      <c r="U1158" s="4"/>
      <c r="V1158" s="4"/>
      <c r="W1158" s="4"/>
      <c r="X1158" s="4" t="s">
        <v>1601</v>
      </c>
      <c r="Y1158" s="4" t="s">
        <v>4066</v>
      </c>
      <c r="Z1158" s="35"/>
      <c r="AA1158" s="1" t="str">
        <f>IFERROR(VLOOKUP(D:D,[1]Габариты!$A:$I,9,0),"")</f>
        <v>Вакансия</v>
      </c>
      <c r="AB1158" s="6" t="str">
        <f>IFERROR(VLOOKUP(D:D,[1]Габариты!$A:$D,4,0),"")</f>
        <v>СТЕЛЛАЖИ</v>
      </c>
      <c r="AC1158" s="39" t="str">
        <f t="shared" si="183"/>
        <v>MK1090201</v>
      </c>
      <c r="AD1158" s="13" t="str">
        <f t="shared" si="185"/>
        <v>FBS</v>
      </c>
    </row>
    <row r="1159" spans="1:30" s="6" customFormat="1" ht="20.100000000000001" customHeight="1" outlineLevel="1" x14ac:dyDescent="0.25">
      <c r="A1159" s="635" t="s">
        <v>128</v>
      </c>
      <c r="B1159" s="3"/>
      <c r="C1159" s="13" t="s">
        <v>2582</v>
      </c>
      <c r="D1159" s="39">
        <v>2693</v>
      </c>
      <c r="E1159" s="4">
        <v>20</v>
      </c>
      <c r="F1159" s="101">
        <v>2693</v>
      </c>
      <c r="G1159" s="57" t="s">
        <v>4875</v>
      </c>
      <c r="H1159" s="4" t="s">
        <v>6570</v>
      </c>
      <c r="I1159" s="4" t="s">
        <v>1242</v>
      </c>
      <c r="J1159" s="4" t="s">
        <v>1945</v>
      </c>
      <c r="K1159" s="54" t="s">
        <v>2251</v>
      </c>
      <c r="L1159" s="57">
        <v>248728187</v>
      </c>
      <c r="M1159" s="57">
        <v>248728187</v>
      </c>
      <c r="N1159" s="4" t="s">
        <v>654</v>
      </c>
      <c r="O1159" s="4">
        <v>263647201</v>
      </c>
      <c r="P1159" s="4">
        <v>263647202</v>
      </c>
      <c r="Q1159" s="767" t="s">
        <v>2793</v>
      </c>
      <c r="R1159" s="767">
        <v>343648625</v>
      </c>
      <c r="S1159" s="4">
        <v>343648655</v>
      </c>
      <c r="T1159" s="4" t="s">
        <v>3124</v>
      </c>
      <c r="U1159" s="4">
        <v>956929572</v>
      </c>
      <c r="V1159" s="4">
        <v>956929572</v>
      </c>
      <c r="W1159" s="4" t="s">
        <v>2251</v>
      </c>
      <c r="X1159" s="4" t="s">
        <v>654</v>
      </c>
      <c r="Y1159" s="4">
        <v>2693</v>
      </c>
      <c r="Z1159" s="35"/>
      <c r="AA1159" s="1" t="str">
        <f>IFERROR(VLOOKUP(D:D,[1]Габариты!$A:$I,9,0),"")</f>
        <v>Вакансия</v>
      </c>
      <c r="AB1159" s="6" t="str">
        <f>IFERROR(VLOOKUP(D:D,[1]Габариты!$A:$D,4,0),"")</f>
        <v>СТЕЛЛАЖИ</v>
      </c>
      <c r="AC1159" s="39">
        <f t="shared" si="183"/>
        <v>2693</v>
      </c>
      <c r="AD1159" s="13" t="str">
        <f t="shared" si="185"/>
        <v>FBO</v>
      </c>
    </row>
    <row r="1160" spans="1:30" s="6" customFormat="1" ht="20.100000000000001" customHeight="1" outlineLevel="1" x14ac:dyDescent="0.25">
      <c r="A1160" s="635" t="s">
        <v>27</v>
      </c>
      <c r="B1160" s="3"/>
      <c r="C1160" s="13" t="s">
        <v>2582</v>
      </c>
      <c r="D1160" s="39">
        <v>2694</v>
      </c>
      <c r="E1160" s="4">
        <v>20</v>
      </c>
      <c r="F1160" s="101">
        <v>2694</v>
      </c>
      <c r="G1160" s="57" t="s">
        <v>4876</v>
      </c>
      <c r="H1160" s="4" t="s">
        <v>6571</v>
      </c>
      <c r="I1160" s="4" t="s">
        <v>1243</v>
      </c>
      <c r="J1160" s="4" t="s">
        <v>1946</v>
      </c>
      <c r="K1160" s="54" t="s">
        <v>2252</v>
      </c>
      <c r="L1160" s="57">
        <v>248753663</v>
      </c>
      <c r="M1160" s="57">
        <v>248753663</v>
      </c>
      <c r="N1160" s="4" t="s">
        <v>655</v>
      </c>
      <c r="O1160" s="4">
        <v>266671512</v>
      </c>
      <c r="P1160" s="4">
        <v>266671542</v>
      </c>
      <c r="Q1160" s="767" t="s">
        <v>2794</v>
      </c>
      <c r="R1160" s="767">
        <v>348291366</v>
      </c>
      <c r="S1160" s="4">
        <v>348291391</v>
      </c>
      <c r="T1160" s="4"/>
      <c r="U1160" s="4"/>
      <c r="V1160" s="4"/>
      <c r="W1160" s="4" t="s">
        <v>2252</v>
      </c>
      <c r="X1160" s="4" t="s">
        <v>655</v>
      </c>
      <c r="Y1160" s="4">
        <v>2694</v>
      </c>
      <c r="Z1160" s="35"/>
      <c r="AA1160" s="1" t="str">
        <f>IFERROR(VLOOKUP(D:D,[1]Габариты!$A:$I,9,0),"")</f>
        <v>Вакансия</v>
      </c>
      <c r="AB1160" s="6" t="str">
        <f>IFERROR(VLOOKUP(D:D,[1]Габариты!$A:$D,4,0),"")</f>
        <v>СТЕЛЛАЖИ</v>
      </c>
      <c r="AC1160" s="39">
        <f t="shared" si="183"/>
        <v>2694</v>
      </c>
      <c r="AD1160" s="13" t="str">
        <f t="shared" si="185"/>
        <v>FBO</v>
      </c>
    </row>
    <row r="1161" spans="1:30" s="6" customFormat="1" ht="20.100000000000001" customHeight="1" outlineLevel="1" x14ac:dyDescent="0.25">
      <c r="A1161" s="635" t="s">
        <v>129</v>
      </c>
      <c r="B1161" s="3"/>
      <c r="C1161" s="13" t="s">
        <v>2582</v>
      </c>
      <c r="D1161" s="39">
        <v>2695</v>
      </c>
      <c r="E1161" s="4">
        <v>20</v>
      </c>
      <c r="F1161" s="101">
        <v>2695</v>
      </c>
      <c r="G1161" s="57" t="s">
        <v>4877</v>
      </c>
      <c r="H1161" s="4" t="s">
        <v>6572</v>
      </c>
      <c r="I1161" s="4" t="s">
        <v>1244</v>
      </c>
      <c r="J1161" s="4" t="s">
        <v>1947</v>
      </c>
      <c r="K1161" s="54" t="s">
        <v>2253</v>
      </c>
      <c r="L1161" s="57">
        <v>248782555</v>
      </c>
      <c r="M1161" s="57">
        <v>248782555</v>
      </c>
      <c r="N1161" s="4" t="s">
        <v>656</v>
      </c>
      <c r="O1161" s="4">
        <v>266751379</v>
      </c>
      <c r="P1161" s="4">
        <v>266751384</v>
      </c>
      <c r="Q1161" s="767"/>
      <c r="R1161" s="767"/>
      <c r="S1161" s="4"/>
      <c r="T1161" s="4"/>
      <c r="U1161" s="4"/>
      <c r="V1161" s="4"/>
      <c r="W1161" s="4" t="s">
        <v>2253</v>
      </c>
      <c r="X1161" s="4" t="s">
        <v>656</v>
      </c>
      <c r="Y1161" s="4">
        <v>2695</v>
      </c>
      <c r="Z1161" s="35"/>
      <c r="AA1161" s="1" t="str">
        <f>IFERROR(VLOOKUP(D:D,[1]Габариты!$A:$I,9,0),"")</f>
        <v>Вакансия</v>
      </c>
      <c r="AB1161" s="6" t="str">
        <f>IFERROR(VLOOKUP(D:D,[1]Габариты!$A:$D,4,0),"")</f>
        <v>СТЕЛЛАЖИ</v>
      </c>
      <c r="AC1161" s="39">
        <f t="shared" si="183"/>
        <v>2695</v>
      </c>
      <c r="AD1161" s="13" t="str">
        <f t="shared" si="185"/>
        <v>FBO</v>
      </c>
    </row>
    <row r="1162" spans="1:30" s="6" customFormat="1" ht="20.100000000000001" customHeight="1" outlineLevel="1" x14ac:dyDescent="0.25">
      <c r="A1162" s="635" t="s">
        <v>124</v>
      </c>
      <c r="B1162" s="3"/>
      <c r="C1162" s="13" t="s">
        <v>2582</v>
      </c>
      <c r="D1162" s="39">
        <v>2685</v>
      </c>
      <c r="E1162" s="4">
        <v>36</v>
      </c>
      <c r="F1162" s="101">
        <v>2685</v>
      </c>
      <c r="G1162" s="57" t="s">
        <v>4872</v>
      </c>
      <c r="H1162" s="4" t="s">
        <v>6573</v>
      </c>
      <c r="I1162" s="4"/>
      <c r="J1162" s="4"/>
      <c r="K1162" s="54" t="s">
        <v>2257</v>
      </c>
      <c r="L1162" s="57">
        <v>248054998</v>
      </c>
      <c r="M1162" s="57">
        <v>248054998</v>
      </c>
      <c r="N1162" s="4" t="s">
        <v>651</v>
      </c>
      <c r="O1162" s="4">
        <v>263697611</v>
      </c>
      <c r="P1162" s="4">
        <v>263697652</v>
      </c>
      <c r="Q1162" s="767" t="s">
        <v>2795</v>
      </c>
      <c r="R1162" s="767">
        <v>343668856</v>
      </c>
      <c r="S1162" s="4">
        <v>343668869</v>
      </c>
      <c r="T1162" s="4"/>
      <c r="U1162" s="4"/>
      <c r="V1162" s="4"/>
      <c r="W1162" s="4" t="s">
        <v>2257</v>
      </c>
      <c r="X1162" s="4" t="s">
        <v>651</v>
      </c>
      <c r="Y1162" s="4">
        <v>2685</v>
      </c>
      <c r="Z1162" s="35"/>
      <c r="AA1162" s="1" t="str">
        <f>IFERROR(VLOOKUP(D:D,[1]Габариты!$A:$I,9,0),"")</f>
        <v>Вакансия</v>
      </c>
      <c r="AB1162" s="6" t="str">
        <f>IFERROR(VLOOKUP(D:D,[1]Габариты!$A:$D,4,0),"")</f>
        <v>СТЕЛЛАЖИ</v>
      </c>
      <c r="AC1162" s="39">
        <f t="shared" si="183"/>
        <v>2685</v>
      </c>
      <c r="AD1162" s="13" t="str">
        <f t="shared" si="185"/>
        <v>FBO</v>
      </c>
    </row>
    <row r="1163" spans="1:30" s="6" customFormat="1" ht="20.100000000000001" customHeight="1" outlineLevel="1" x14ac:dyDescent="0.25">
      <c r="A1163" s="635" t="s">
        <v>26</v>
      </c>
      <c r="B1163" s="3"/>
      <c r="C1163" s="13" t="s">
        <v>2582</v>
      </c>
      <c r="D1163" s="39">
        <v>2686</v>
      </c>
      <c r="E1163" s="4">
        <v>36</v>
      </c>
      <c r="F1163" s="101">
        <v>2686</v>
      </c>
      <c r="G1163" s="57" t="s">
        <v>4873</v>
      </c>
      <c r="H1163" s="4" t="s">
        <v>6574</v>
      </c>
      <c r="I1163" s="4"/>
      <c r="J1163" s="4"/>
      <c r="K1163" s="54" t="s">
        <v>2258</v>
      </c>
      <c r="L1163" s="57">
        <v>248067214</v>
      </c>
      <c r="M1163" s="57">
        <v>248067214</v>
      </c>
      <c r="N1163" s="4" t="s">
        <v>652</v>
      </c>
      <c r="O1163" s="4">
        <v>263699733</v>
      </c>
      <c r="P1163" s="4">
        <v>263699771</v>
      </c>
      <c r="Q1163" s="767" t="s">
        <v>2796</v>
      </c>
      <c r="R1163" s="767">
        <v>346634488</v>
      </c>
      <c r="S1163" s="4">
        <v>346634517</v>
      </c>
      <c r="T1163" s="4"/>
      <c r="U1163" s="4"/>
      <c r="V1163" s="4"/>
      <c r="W1163" s="4" t="s">
        <v>2258</v>
      </c>
      <c r="X1163" s="4" t="s">
        <v>652</v>
      </c>
      <c r="Y1163" s="4">
        <v>2686</v>
      </c>
      <c r="Z1163" s="35"/>
      <c r="AA1163" s="1" t="str">
        <f>IFERROR(VLOOKUP(D:D,[1]Габариты!$A:$I,9,0),"")</f>
        <v>Вакансия</v>
      </c>
      <c r="AB1163" s="6" t="str">
        <f>IFERROR(VLOOKUP(D:D,[1]Габариты!$A:$D,4,0),"")</f>
        <v>СТЕЛЛАЖИ</v>
      </c>
      <c r="AC1163" s="39">
        <f t="shared" si="183"/>
        <v>2686</v>
      </c>
      <c r="AD1163" s="13" t="str">
        <f t="shared" si="185"/>
        <v>FBO</v>
      </c>
    </row>
    <row r="1164" spans="1:30" s="6" customFormat="1" ht="20.100000000000001" customHeight="1" outlineLevel="1" x14ac:dyDescent="0.25">
      <c r="A1164" s="635" t="s">
        <v>125</v>
      </c>
      <c r="B1164" s="3"/>
      <c r="C1164" s="13" t="s">
        <v>2582</v>
      </c>
      <c r="D1164" s="39">
        <v>2687</v>
      </c>
      <c r="E1164" s="4">
        <v>36</v>
      </c>
      <c r="F1164" s="101">
        <v>2687</v>
      </c>
      <c r="G1164" s="57" t="s">
        <v>4874</v>
      </c>
      <c r="H1164" s="4" t="s">
        <v>6575</v>
      </c>
      <c r="I1164" s="4"/>
      <c r="J1164" s="4"/>
      <c r="K1164" s="54" t="s">
        <v>2259</v>
      </c>
      <c r="L1164" s="57">
        <v>248098711</v>
      </c>
      <c r="M1164" s="57">
        <v>248098711</v>
      </c>
      <c r="N1164" s="4" t="s">
        <v>653</v>
      </c>
      <c r="O1164" s="4">
        <v>264288473</v>
      </c>
      <c r="P1164" s="4">
        <v>264288483</v>
      </c>
      <c r="Q1164" s="767" t="s">
        <v>2797</v>
      </c>
      <c r="R1164" s="767">
        <v>348165088</v>
      </c>
      <c r="S1164" s="4">
        <v>348165105</v>
      </c>
      <c r="T1164" s="4"/>
      <c r="U1164" s="4"/>
      <c r="V1164" s="4"/>
      <c r="W1164" s="4" t="s">
        <v>2259</v>
      </c>
      <c r="X1164" s="4" t="s">
        <v>653</v>
      </c>
      <c r="Y1164" s="4">
        <v>2687</v>
      </c>
      <c r="Z1164" s="35"/>
      <c r="AA1164" s="1" t="str">
        <f>IFERROR(VLOOKUP(D:D,[1]Габариты!$A:$I,9,0),"")</f>
        <v>Вакансия</v>
      </c>
      <c r="AB1164" s="6" t="str">
        <f>IFERROR(VLOOKUP(D:D,[1]Габариты!$A:$D,4,0),"")</f>
        <v>СТЕЛЛАЖИ</v>
      </c>
      <c r="AC1164" s="39">
        <f t="shared" si="183"/>
        <v>2687</v>
      </c>
      <c r="AD1164" s="13" t="str">
        <f t="shared" si="185"/>
        <v>FBO</v>
      </c>
    </row>
    <row r="1165" spans="1:30" s="6" customFormat="1" ht="20.100000000000001" customHeight="1" outlineLevel="1" x14ac:dyDescent="0.25">
      <c r="A1165" s="635" t="s">
        <v>164</v>
      </c>
      <c r="B1165" s="3"/>
      <c r="C1165" s="13" t="s">
        <v>2581</v>
      </c>
      <c r="D1165" s="39">
        <v>2669</v>
      </c>
      <c r="E1165" s="4">
        <v>47</v>
      </c>
      <c r="F1165" s="101">
        <v>2669</v>
      </c>
      <c r="G1165" s="57" t="s">
        <v>4863</v>
      </c>
      <c r="H1165" s="4" t="s">
        <v>6576</v>
      </c>
      <c r="I1165" s="4" t="s">
        <v>1252</v>
      </c>
      <c r="J1165" s="4"/>
      <c r="K1165" s="54" t="s">
        <v>2268</v>
      </c>
      <c r="L1165" s="57">
        <v>257344519</v>
      </c>
      <c r="M1165" s="57">
        <v>257344519</v>
      </c>
      <c r="N1165" s="4" t="s">
        <v>643</v>
      </c>
      <c r="O1165" s="4">
        <v>266749774</v>
      </c>
      <c r="P1165" s="4">
        <v>266749782</v>
      </c>
      <c r="Q1165" s="767" t="s">
        <v>2802</v>
      </c>
      <c r="R1165" s="767">
        <v>346713699</v>
      </c>
      <c r="S1165" s="4">
        <v>346713715</v>
      </c>
      <c r="T1165" s="4"/>
      <c r="U1165" s="4"/>
      <c r="V1165" s="4"/>
      <c r="W1165" s="4" t="s">
        <v>2268</v>
      </c>
      <c r="X1165" s="4" t="s">
        <v>643</v>
      </c>
      <c r="Y1165" s="4">
        <v>2669</v>
      </c>
      <c r="Z1165" s="35"/>
      <c r="AA1165" s="1" t="str">
        <f>IFERROR(VLOOKUP(D:D,[1]Габариты!$A:$I,9,0),"")</f>
        <v>Вакансия</v>
      </c>
      <c r="AB1165" s="6" t="str">
        <f>IFERROR(VLOOKUP(D:D,[1]Габариты!$A:$D,4,0),"")</f>
        <v>СТЕЛЛАЖИ</v>
      </c>
      <c r="AC1165" s="39">
        <f t="shared" si="183"/>
        <v>2669</v>
      </c>
      <c r="AD1165" s="13" t="str">
        <f t="shared" si="185"/>
        <v>FBS</v>
      </c>
    </row>
    <row r="1166" spans="1:30" s="6" customFormat="1" ht="20.100000000000001" customHeight="1" outlineLevel="1" x14ac:dyDescent="0.25">
      <c r="A1166" s="635" t="s">
        <v>230</v>
      </c>
      <c r="B1166" s="3"/>
      <c r="C1166" s="13" t="s">
        <v>2581</v>
      </c>
      <c r="D1166" s="39">
        <v>2973</v>
      </c>
      <c r="E1166" s="4">
        <v>27</v>
      </c>
      <c r="F1166" s="101">
        <v>2973</v>
      </c>
      <c r="G1166" s="57" t="s">
        <v>4926</v>
      </c>
      <c r="H1166" s="4" t="s">
        <v>6581</v>
      </c>
      <c r="I1166" s="4"/>
      <c r="J1166" s="4"/>
      <c r="K1166" s="54" t="s">
        <v>2277</v>
      </c>
      <c r="L1166" s="57">
        <v>267363660</v>
      </c>
      <c r="M1166" s="57">
        <v>267363660</v>
      </c>
      <c r="N1166" s="4" t="s">
        <v>709</v>
      </c>
      <c r="O1166" s="4">
        <v>272204056</v>
      </c>
      <c r="P1166" s="4">
        <v>272204084</v>
      </c>
      <c r="Q1166" s="767" t="s">
        <v>2810</v>
      </c>
      <c r="R1166" s="767">
        <v>356661195</v>
      </c>
      <c r="S1166" s="4">
        <v>356661194</v>
      </c>
      <c r="T1166" s="4"/>
      <c r="U1166" s="4"/>
      <c r="V1166" s="4"/>
      <c r="W1166" s="4" t="s">
        <v>2277</v>
      </c>
      <c r="X1166" s="4" t="s">
        <v>709</v>
      </c>
      <c r="Y1166" s="4" t="s">
        <v>4066</v>
      </c>
      <c r="Z1166" s="35"/>
      <c r="AA1166" s="1" t="str">
        <f>IFERROR(VLOOKUP(D:D,[1]Габариты!$A:$I,9,0),"")</f>
        <v>Вакансия</v>
      </c>
      <c r="AB1166" s="6" t="str">
        <f>IFERROR(VLOOKUP(D:D,[1]Габариты!$A:$D,4,0),"")</f>
        <v>СТЕЛЛАЖИ</v>
      </c>
      <c r="AC1166" s="39">
        <f t="shared" si="183"/>
        <v>2973</v>
      </c>
      <c r="AD1166" s="13" t="str">
        <f t="shared" si="185"/>
        <v>FBS</v>
      </c>
    </row>
    <row r="1167" spans="1:30" s="6" customFormat="1" ht="20.100000000000001" customHeight="1" outlineLevel="1" x14ac:dyDescent="0.25">
      <c r="A1167" s="635" t="s">
        <v>231</v>
      </c>
      <c r="B1167" s="3"/>
      <c r="C1167" s="13" t="s">
        <v>2581</v>
      </c>
      <c r="D1167" s="39">
        <v>2974</v>
      </c>
      <c r="E1167" s="4">
        <v>27</v>
      </c>
      <c r="F1167" s="101">
        <v>2974</v>
      </c>
      <c r="G1167" s="57" t="s">
        <v>4927</v>
      </c>
      <c r="H1167" s="4" t="s">
        <v>6582</v>
      </c>
      <c r="I1167" s="4"/>
      <c r="J1167" s="4"/>
      <c r="K1167" s="54" t="s">
        <v>2278</v>
      </c>
      <c r="L1167" s="57">
        <v>267374846</v>
      </c>
      <c r="M1167" s="57">
        <v>267374846</v>
      </c>
      <c r="N1167" s="4" t="s">
        <v>710</v>
      </c>
      <c r="O1167" s="4">
        <v>272225092</v>
      </c>
      <c r="P1167" s="4">
        <v>272225101</v>
      </c>
      <c r="Q1167" s="767" t="s">
        <v>2811</v>
      </c>
      <c r="R1167" s="767">
        <v>362769463</v>
      </c>
      <c r="S1167" s="4">
        <v>362769462</v>
      </c>
      <c r="T1167" s="4"/>
      <c r="U1167" s="4"/>
      <c r="V1167" s="4"/>
      <c r="W1167" s="4" t="s">
        <v>2278</v>
      </c>
      <c r="X1167" s="4" t="s">
        <v>710</v>
      </c>
      <c r="Y1167" s="4" t="s">
        <v>4066</v>
      </c>
      <c r="Z1167" s="35"/>
      <c r="AA1167" s="1" t="str">
        <f>IFERROR(VLOOKUP(D:D,[1]Габариты!$A:$I,9,0),"")</f>
        <v>Вакансия</v>
      </c>
      <c r="AB1167" s="6" t="str">
        <f>IFERROR(VLOOKUP(D:D,[1]Габариты!$A:$D,4,0),"")</f>
        <v>СТЕЛЛАЖИ</v>
      </c>
      <c r="AC1167" s="39">
        <f t="shared" si="183"/>
        <v>2974</v>
      </c>
      <c r="AD1167" s="13" t="str">
        <f t="shared" si="185"/>
        <v>FBS</v>
      </c>
    </row>
    <row r="1168" spans="1:30" s="6" customFormat="1" ht="20.100000000000001" customHeight="1" outlineLevel="1" x14ac:dyDescent="0.25">
      <c r="A1168" s="635" t="s">
        <v>232</v>
      </c>
      <c r="B1168" s="3"/>
      <c r="C1168" s="13" t="s">
        <v>2581</v>
      </c>
      <c r="D1168" s="39">
        <v>2975</v>
      </c>
      <c r="E1168" s="4">
        <v>27</v>
      </c>
      <c r="F1168" s="101">
        <v>2975</v>
      </c>
      <c r="G1168" s="57" t="s">
        <v>4928</v>
      </c>
      <c r="H1168" s="4" t="s">
        <v>6583</v>
      </c>
      <c r="I1168" s="4"/>
      <c r="J1168" s="4"/>
      <c r="K1168" s="54" t="s">
        <v>2279</v>
      </c>
      <c r="L1168" s="57">
        <v>272838603</v>
      </c>
      <c r="M1168" s="57">
        <v>272838603</v>
      </c>
      <c r="N1168" s="4" t="s">
        <v>711</v>
      </c>
      <c r="O1168" s="4">
        <v>272232401</v>
      </c>
      <c r="P1168" s="4">
        <v>272232418</v>
      </c>
      <c r="Q1168" s="767" t="s">
        <v>2812</v>
      </c>
      <c r="R1168" s="767">
        <v>356697387</v>
      </c>
      <c r="S1168" s="4">
        <v>356697386</v>
      </c>
      <c r="T1168" s="4"/>
      <c r="U1168" s="4"/>
      <c r="V1168" s="4"/>
      <c r="W1168" s="4" t="s">
        <v>2279</v>
      </c>
      <c r="X1168" s="4" t="s">
        <v>711</v>
      </c>
      <c r="Y1168" s="4" t="s">
        <v>4066</v>
      </c>
      <c r="Z1168" s="35"/>
      <c r="AA1168" s="1" t="str">
        <f>IFERROR(VLOOKUP(D:D,[1]Габариты!$A:$I,9,0),"")</f>
        <v>Вакансия</v>
      </c>
      <c r="AB1168" s="6" t="str">
        <f>IFERROR(VLOOKUP(D:D,[1]Габариты!$A:$D,4,0),"")</f>
        <v>СТЕЛЛАЖИ</v>
      </c>
      <c r="AC1168" s="39">
        <f t="shared" si="183"/>
        <v>2975</v>
      </c>
      <c r="AD1168" s="13" t="str">
        <f t="shared" si="185"/>
        <v>FBS</v>
      </c>
    </row>
    <row r="1169" spans="1:30" s="6" customFormat="1" ht="20.100000000000001" customHeight="1" outlineLevel="1" x14ac:dyDescent="0.25">
      <c r="A1169" s="665" t="s">
        <v>296</v>
      </c>
      <c r="B1169" s="2"/>
      <c r="C1169" s="13" t="s">
        <v>2581</v>
      </c>
      <c r="D1169" s="40">
        <v>3085</v>
      </c>
      <c r="E1169" s="4">
        <v>28</v>
      </c>
      <c r="F1169" s="101">
        <v>3085</v>
      </c>
      <c r="G1169" s="57" t="s">
        <v>4999</v>
      </c>
      <c r="H1169" s="4" t="s">
        <v>6584</v>
      </c>
      <c r="I1169" s="4" t="s">
        <v>1246</v>
      </c>
      <c r="J1169" s="4"/>
      <c r="K1169" s="54" t="s">
        <v>2255</v>
      </c>
      <c r="L1169" s="57">
        <v>416140602</v>
      </c>
      <c r="M1169" s="57">
        <v>416140602</v>
      </c>
      <c r="N1169" s="4" t="s">
        <v>771</v>
      </c>
      <c r="O1169" s="4">
        <v>298113048</v>
      </c>
      <c r="P1169" s="4">
        <v>298113053</v>
      </c>
      <c r="Q1169" s="767"/>
      <c r="R1169" s="767"/>
      <c r="S1169" s="4"/>
      <c r="T1169" s="4"/>
      <c r="U1169" s="4"/>
      <c r="V1169" s="4"/>
      <c r="W1169" s="4" t="s">
        <v>2255</v>
      </c>
      <c r="X1169" s="4" t="s">
        <v>771</v>
      </c>
      <c r="Y1169" s="4">
        <v>3085</v>
      </c>
      <c r="Z1169" s="35"/>
      <c r="AA1169" s="1" t="str">
        <f>IFERROR(VLOOKUP(D:D,[1]Габариты!$A:$I,9,0),"")</f>
        <v>Вакансия</v>
      </c>
      <c r="AB1169" s="6" t="str">
        <f>IFERROR(VLOOKUP(D:D,[1]Габариты!$A:$D,4,0),"")</f>
        <v>СТЕЛЛАЖИ</v>
      </c>
      <c r="AC1169" s="39">
        <f t="shared" ref="AC1169:AC1266" si="186">D1169</f>
        <v>3085</v>
      </c>
      <c r="AD1169" s="13" t="str">
        <f t="shared" ref="AD1169:AD1186" si="187">C1169</f>
        <v>FBS</v>
      </c>
    </row>
    <row r="1170" spans="1:30" s="6" customFormat="1" ht="20.100000000000001" customHeight="1" outlineLevel="1" x14ac:dyDescent="0.25">
      <c r="A1170" s="635" t="s">
        <v>452</v>
      </c>
      <c r="B1170" s="22"/>
      <c r="C1170" s="13" t="s">
        <v>2581</v>
      </c>
      <c r="D1170" s="883">
        <v>3086</v>
      </c>
      <c r="E1170" s="4">
        <v>28</v>
      </c>
      <c r="F1170" s="101">
        <v>3086</v>
      </c>
      <c r="G1170" s="57" t="s">
        <v>5000</v>
      </c>
      <c r="H1170" s="4" t="s">
        <v>6585</v>
      </c>
      <c r="I1170" s="4" t="s">
        <v>1258</v>
      </c>
      <c r="J1170" s="4"/>
      <c r="K1170" s="54" t="s">
        <v>2284</v>
      </c>
      <c r="L1170" s="57">
        <v>416158616</v>
      </c>
      <c r="M1170" s="57">
        <v>416158616</v>
      </c>
      <c r="N1170" s="4" t="s">
        <v>772</v>
      </c>
      <c r="O1170" s="4">
        <v>371822283</v>
      </c>
      <c r="P1170" s="4">
        <v>371822282</v>
      </c>
      <c r="Q1170" s="767" t="s">
        <v>2816</v>
      </c>
      <c r="R1170" s="767">
        <v>383180938</v>
      </c>
      <c r="S1170" s="4">
        <v>383180957</v>
      </c>
      <c r="T1170" s="4"/>
      <c r="U1170" s="4"/>
      <c r="V1170" s="4"/>
      <c r="W1170" s="4" t="s">
        <v>2284</v>
      </c>
      <c r="X1170" s="4" t="s">
        <v>772</v>
      </c>
      <c r="Y1170" s="4">
        <v>3086</v>
      </c>
      <c r="Z1170" s="35"/>
      <c r="AA1170" s="1" t="str">
        <f>IFERROR(VLOOKUP(D:D,[1]Габариты!$A:$I,9,0),"")</f>
        <v>Вакансия</v>
      </c>
      <c r="AB1170" s="6" t="str">
        <f>IFERROR(VLOOKUP(D:D,[1]Габариты!$A:$D,4,0),"")</f>
        <v>СТЕЛЛАЖИ</v>
      </c>
      <c r="AC1170" s="39">
        <f t="shared" si="186"/>
        <v>3086</v>
      </c>
      <c r="AD1170" s="13" t="str">
        <f t="shared" si="187"/>
        <v>FBS</v>
      </c>
    </row>
    <row r="1171" spans="1:30" s="6" customFormat="1" ht="20.100000000000001" customHeight="1" outlineLevel="1" x14ac:dyDescent="0.25">
      <c r="A1171" s="635" t="s">
        <v>453</v>
      </c>
      <c r="B1171" s="22"/>
      <c r="C1171" s="13" t="s">
        <v>2581</v>
      </c>
      <c r="D1171" s="883">
        <v>3087</v>
      </c>
      <c r="E1171" s="4">
        <v>28</v>
      </c>
      <c r="F1171" s="101">
        <v>3087</v>
      </c>
      <c r="G1171" s="57" t="s">
        <v>5001</v>
      </c>
      <c r="H1171" s="4" t="s">
        <v>6586</v>
      </c>
      <c r="I1171" s="4" t="s">
        <v>1259</v>
      </c>
      <c r="J1171" s="4"/>
      <c r="K1171" s="54" t="s">
        <v>2285</v>
      </c>
      <c r="L1171" s="57">
        <v>416177784</v>
      </c>
      <c r="M1171" s="57">
        <v>416177784</v>
      </c>
      <c r="N1171" s="4" t="s">
        <v>773</v>
      </c>
      <c r="O1171" s="4">
        <v>371838382</v>
      </c>
      <c r="P1171" s="4">
        <v>371838383</v>
      </c>
      <c r="Q1171" s="767" t="s">
        <v>2817</v>
      </c>
      <c r="R1171" s="767">
        <v>373148412</v>
      </c>
      <c r="S1171" s="4">
        <v>373148411</v>
      </c>
      <c r="T1171" s="4"/>
      <c r="U1171" s="4"/>
      <c r="V1171" s="4"/>
      <c r="W1171" s="4" t="s">
        <v>2285</v>
      </c>
      <c r="X1171" s="4" t="s">
        <v>773</v>
      </c>
      <c r="Y1171" s="4">
        <v>3087</v>
      </c>
      <c r="Z1171" s="35"/>
      <c r="AA1171" s="1" t="str">
        <f>IFERROR(VLOOKUP(D:D,[1]Габариты!$A:$I,9,0),"")</f>
        <v>Вакансия</v>
      </c>
      <c r="AB1171" s="6" t="str">
        <f>IFERROR(VLOOKUP(D:D,[1]Габариты!$A:$D,4,0),"")</f>
        <v>СТЕЛЛАЖИ</v>
      </c>
      <c r="AC1171" s="39">
        <f t="shared" si="186"/>
        <v>3087</v>
      </c>
      <c r="AD1171" s="13" t="str">
        <f t="shared" si="187"/>
        <v>FBS</v>
      </c>
    </row>
    <row r="1172" spans="1:30" s="6" customFormat="1" ht="20.100000000000001" customHeight="1" outlineLevel="1" x14ac:dyDescent="0.25">
      <c r="A1172" s="635" t="s">
        <v>1024</v>
      </c>
      <c r="B1172" s="25"/>
      <c r="C1172" s="13" t="s">
        <v>2581</v>
      </c>
      <c r="D1172" s="39">
        <v>9839</v>
      </c>
      <c r="E1172" s="4">
        <v>12</v>
      </c>
      <c r="F1172" s="101">
        <v>9839</v>
      </c>
      <c r="G1172" s="57"/>
      <c r="H1172" s="4" t="s">
        <v>6587</v>
      </c>
      <c r="I1172" s="4"/>
      <c r="J1172" s="4"/>
      <c r="K1172" s="54"/>
      <c r="L1172" s="57"/>
      <c r="M1172" s="57"/>
      <c r="N1172" s="4" t="s">
        <v>1041</v>
      </c>
      <c r="O1172" s="4">
        <v>602686745</v>
      </c>
      <c r="P1172" s="4">
        <v>602686744</v>
      </c>
      <c r="Q1172" s="767"/>
      <c r="R1172" s="767"/>
      <c r="S1172" s="4"/>
      <c r="T1172" s="4"/>
      <c r="U1172" s="4"/>
      <c r="V1172" s="4"/>
      <c r="W1172" s="4"/>
      <c r="X1172" s="4" t="s">
        <v>1041</v>
      </c>
      <c r="Y1172" s="4" t="s">
        <v>4066</v>
      </c>
      <c r="Z1172" s="35"/>
      <c r="AA1172" s="1" t="str">
        <f>IFERROR(VLOOKUP(D:D,[1]Габариты!$A:$I,9,0),"")</f>
        <v>Вакансия</v>
      </c>
      <c r="AB1172" s="6" t="str">
        <f>IFERROR(VLOOKUP(D:D,[1]Габариты!$A:$D,4,0),"")</f>
        <v>СТЕЛЛАЖИ</v>
      </c>
      <c r="AC1172" s="39">
        <f t="shared" si="186"/>
        <v>9839</v>
      </c>
      <c r="AD1172" s="13" t="str">
        <f t="shared" si="187"/>
        <v>FBS</v>
      </c>
    </row>
    <row r="1173" spans="1:30" s="6" customFormat="1" ht="20.100000000000001" customHeight="1" outlineLevel="1" x14ac:dyDescent="0.25">
      <c r="A1173" s="635" t="s">
        <v>1536</v>
      </c>
      <c r="B1173" s="25"/>
      <c r="C1173" s="13" t="s">
        <v>2582</v>
      </c>
      <c r="D1173" s="39">
        <v>9122</v>
      </c>
      <c r="E1173" s="4">
        <v>24</v>
      </c>
      <c r="F1173" s="101">
        <v>9122</v>
      </c>
      <c r="G1173" s="57"/>
      <c r="H1173" s="4" t="s">
        <v>6614</v>
      </c>
      <c r="I1173" s="4"/>
      <c r="J1173" s="4"/>
      <c r="K1173" s="54"/>
      <c r="L1173" s="57"/>
      <c r="M1173" s="57"/>
      <c r="N1173" s="4" t="s">
        <v>2618</v>
      </c>
      <c r="O1173" s="4">
        <v>763392824</v>
      </c>
      <c r="P1173" s="4">
        <v>763392825</v>
      </c>
      <c r="Q1173" s="767"/>
      <c r="R1173" s="767"/>
      <c r="S1173" s="4"/>
      <c r="T1173" s="4"/>
      <c r="U1173" s="4"/>
      <c r="V1173" s="4"/>
      <c r="W1173" s="4"/>
      <c r="X1173" s="4"/>
      <c r="Y1173" s="4" t="s">
        <v>4066</v>
      </c>
      <c r="Z1173" s="35"/>
      <c r="AA1173" s="1" t="str">
        <f>IFERROR(VLOOKUP(D:D,[1]Габариты!$A:$I,9,0),"")</f>
        <v>Вакансия</v>
      </c>
      <c r="AB1173" s="6" t="str">
        <f>IFERROR(VLOOKUP(D:D,[1]Габариты!$A:$D,4,0),"")</f>
        <v>СТЕЛЛАЖИ</v>
      </c>
      <c r="AC1173" s="39">
        <f t="shared" si="186"/>
        <v>9122</v>
      </c>
      <c r="AD1173" s="13" t="str">
        <f t="shared" si="187"/>
        <v>FBO</v>
      </c>
    </row>
    <row r="1174" spans="1:30" s="6" customFormat="1" ht="20.100000000000001" customHeight="1" outlineLevel="1" x14ac:dyDescent="0.25">
      <c r="A1174" s="635" t="s">
        <v>1570</v>
      </c>
      <c r="B1174" s="25"/>
      <c r="C1174" s="13" t="s">
        <v>2582</v>
      </c>
      <c r="D1174" s="39">
        <v>14017</v>
      </c>
      <c r="E1174" s="4">
        <v>31</v>
      </c>
      <c r="F1174" s="101">
        <v>14017</v>
      </c>
      <c r="G1174" s="57"/>
      <c r="H1174" s="4" t="s">
        <v>6615</v>
      </c>
      <c r="I1174" s="4"/>
      <c r="J1174" s="4"/>
      <c r="K1174" s="54"/>
      <c r="L1174" s="57"/>
      <c r="M1174" s="57"/>
      <c r="N1174" s="4" t="s">
        <v>1619</v>
      </c>
      <c r="O1174" s="4">
        <v>799757247</v>
      </c>
      <c r="P1174" s="4">
        <v>799757246</v>
      </c>
      <c r="Q1174" s="767"/>
      <c r="R1174" s="767"/>
      <c r="S1174" s="4"/>
      <c r="T1174" s="4"/>
      <c r="U1174" s="4"/>
      <c r="V1174" s="4"/>
      <c r="W1174" s="4"/>
      <c r="X1174" s="4" t="s">
        <v>1619</v>
      </c>
      <c r="Y1174" s="4" t="s">
        <v>4066</v>
      </c>
      <c r="Z1174" s="35"/>
      <c r="AA1174" s="1" t="str">
        <f>IFERROR(VLOOKUP(D:D,[1]Габариты!$A:$I,9,0),"")</f>
        <v>Вакансия</v>
      </c>
      <c r="AB1174" s="6" t="str">
        <f>IFERROR(VLOOKUP(D:D,[1]Габариты!$A:$D,4,0),"")</f>
        <v>СТЕЛЛАЖИ</v>
      </c>
      <c r="AC1174" s="39">
        <f t="shared" si="186"/>
        <v>14017</v>
      </c>
      <c r="AD1174" s="13" t="str">
        <f t="shared" si="187"/>
        <v>FBO</v>
      </c>
    </row>
    <row r="1175" spans="1:30" s="6" customFormat="1" ht="20.100000000000001" customHeight="1" outlineLevel="1" x14ac:dyDescent="0.25">
      <c r="A1175" s="635" t="s">
        <v>1441</v>
      </c>
      <c r="B1175" s="25"/>
      <c r="C1175" s="13" t="s">
        <v>3172</v>
      </c>
      <c r="D1175" s="39">
        <v>135540</v>
      </c>
      <c r="E1175" s="4">
        <v>25</v>
      </c>
      <c r="F1175" s="101">
        <v>135540</v>
      </c>
      <c r="G1175" s="57"/>
      <c r="H1175" s="4" t="s">
        <v>6616</v>
      </c>
      <c r="I1175" s="4"/>
      <c r="J1175" s="4"/>
      <c r="K1175" s="54"/>
      <c r="L1175" s="57"/>
      <c r="M1175" s="57"/>
      <c r="N1175" s="4" t="s">
        <v>1600</v>
      </c>
      <c r="O1175" s="4">
        <v>718803383</v>
      </c>
      <c r="P1175" s="4">
        <v>718803385</v>
      </c>
      <c r="Q1175" s="767"/>
      <c r="R1175" s="767"/>
      <c r="S1175" s="4"/>
      <c r="T1175" s="4"/>
      <c r="U1175" s="4"/>
      <c r="V1175" s="4"/>
      <c r="W1175" s="4"/>
      <c r="X1175" s="4" t="s">
        <v>1600</v>
      </c>
      <c r="Y1175" s="4" t="s">
        <v>4066</v>
      </c>
      <c r="Z1175" s="35"/>
      <c r="AA1175" s="1" t="str">
        <f>IFERROR(VLOOKUP(D:D,[1]Габариты!$A:$I,9,0),"")</f>
        <v>Вакансия</v>
      </c>
      <c r="AB1175" s="6" t="str">
        <f>IFERROR(VLOOKUP(D:D,[1]Габариты!$A:$D,4,0),"")</f>
        <v>СТЕЛЛАЖИ</v>
      </c>
      <c r="AC1175" s="39">
        <f t="shared" si="186"/>
        <v>135540</v>
      </c>
      <c r="AD1175" s="13" t="str">
        <f t="shared" si="187"/>
        <v xml:space="preserve">СКГТ </v>
      </c>
    </row>
    <row r="1176" spans="1:30" s="6" customFormat="1" ht="20.100000000000001" customHeight="1" outlineLevel="1" x14ac:dyDescent="0.25">
      <c r="A1176" s="635" t="s">
        <v>571</v>
      </c>
      <c r="B1176" s="25"/>
      <c r="C1176" s="13" t="s">
        <v>3172</v>
      </c>
      <c r="D1176" s="39">
        <v>3073</v>
      </c>
      <c r="E1176" s="4">
        <v>16</v>
      </c>
      <c r="F1176" s="101">
        <v>3073</v>
      </c>
      <c r="G1176" s="57"/>
      <c r="H1176" s="4" t="s">
        <v>6617</v>
      </c>
      <c r="I1176" s="4"/>
      <c r="J1176" s="4"/>
      <c r="K1176" s="54" t="s">
        <v>2301</v>
      </c>
      <c r="L1176" s="57"/>
      <c r="M1176" s="57"/>
      <c r="N1176" s="4" t="s">
        <v>764</v>
      </c>
      <c r="O1176" s="4">
        <v>503463233</v>
      </c>
      <c r="P1176" s="4">
        <v>503463232</v>
      </c>
      <c r="Q1176" s="767"/>
      <c r="R1176" s="767"/>
      <c r="S1176" s="4"/>
      <c r="T1176" s="4"/>
      <c r="U1176" s="4"/>
      <c r="V1176" s="4"/>
      <c r="W1176" s="4" t="s">
        <v>2301</v>
      </c>
      <c r="X1176" s="4" t="s">
        <v>764</v>
      </c>
      <c r="Y1176" s="4" t="s">
        <v>4066</v>
      </c>
      <c r="Z1176" s="35"/>
      <c r="AA1176" s="1" t="str">
        <f>IFERROR(VLOOKUP(D:D,[1]Габариты!$A:$I,9,0),"")</f>
        <v>Вакансия</v>
      </c>
      <c r="AB1176" s="6" t="str">
        <f>IFERROR(VLOOKUP(D:D,[1]Габариты!$A:$D,4,0),"")</f>
        <v>СТЕЛЛАЖИ</v>
      </c>
      <c r="AC1176" s="39">
        <f t="shared" si="186"/>
        <v>3073</v>
      </c>
      <c r="AD1176" s="13" t="str">
        <f t="shared" si="187"/>
        <v xml:space="preserve">СКГТ </v>
      </c>
    </row>
    <row r="1177" spans="1:30" s="6" customFormat="1" ht="20.100000000000001" customHeight="1" outlineLevel="1" x14ac:dyDescent="0.25">
      <c r="A1177" s="665" t="s">
        <v>258</v>
      </c>
      <c r="B1177" s="2"/>
      <c r="C1177" s="13" t="s">
        <v>2581</v>
      </c>
      <c r="D1177" s="39">
        <v>3015</v>
      </c>
      <c r="E1177" s="4">
        <v>21</v>
      </c>
      <c r="F1177" s="101">
        <v>3015</v>
      </c>
      <c r="G1177" s="57" t="s">
        <v>4951</v>
      </c>
      <c r="H1177" s="4" t="s">
        <v>6618</v>
      </c>
      <c r="I1177" s="4"/>
      <c r="J1177" s="4"/>
      <c r="K1177" s="54" t="s">
        <v>2239</v>
      </c>
      <c r="L1177" s="57"/>
      <c r="M1177" s="57"/>
      <c r="N1177" s="4" t="s">
        <v>734</v>
      </c>
      <c r="O1177" s="4">
        <v>279401858</v>
      </c>
      <c r="P1177" s="4">
        <v>279401893</v>
      </c>
      <c r="Q1177" s="767"/>
      <c r="R1177" s="767"/>
      <c r="S1177" s="4"/>
      <c r="T1177" s="4"/>
      <c r="U1177" s="4"/>
      <c r="V1177" s="4"/>
      <c r="W1177" s="4" t="s">
        <v>2239</v>
      </c>
      <c r="X1177" s="4" t="s">
        <v>734</v>
      </c>
      <c r="Y1177" s="4" t="s">
        <v>4066</v>
      </c>
      <c r="Z1177" s="35"/>
      <c r="AA1177" s="1" t="str">
        <f>IFERROR(VLOOKUP(D:D,[1]Габариты!$A:$I,9,0),"")</f>
        <v>Вакансия</v>
      </c>
      <c r="AB1177" s="6" t="str">
        <f>IFERROR(VLOOKUP(D:D,[1]Габариты!$A:$D,4,0),"")</f>
        <v>СТЕЛЛАЖИ</v>
      </c>
      <c r="AC1177" s="39">
        <f t="shared" si="186"/>
        <v>3015</v>
      </c>
      <c r="AD1177" s="13" t="str">
        <f t="shared" si="187"/>
        <v>FBS</v>
      </c>
    </row>
    <row r="1178" spans="1:30" s="6" customFormat="1" ht="20.100000000000001" customHeight="1" outlineLevel="1" x14ac:dyDescent="0.25">
      <c r="A1178" s="665" t="s">
        <v>259</v>
      </c>
      <c r="B1178" s="2"/>
      <c r="C1178" s="13" t="s">
        <v>2581</v>
      </c>
      <c r="D1178" s="39">
        <v>3016</v>
      </c>
      <c r="E1178" s="4">
        <v>21</v>
      </c>
      <c r="F1178" s="101">
        <v>3016</v>
      </c>
      <c r="G1178" s="57" t="s">
        <v>4952</v>
      </c>
      <c r="H1178" s="4" t="s">
        <v>6619</v>
      </c>
      <c r="I1178" s="4"/>
      <c r="J1178" s="4"/>
      <c r="K1178" s="54" t="s">
        <v>2240</v>
      </c>
      <c r="L1178" s="57">
        <v>279561583</v>
      </c>
      <c r="M1178" s="57">
        <v>279561583</v>
      </c>
      <c r="N1178" s="766"/>
      <c r="O1178" s="4"/>
      <c r="P1178" s="4"/>
      <c r="Q1178" s="767"/>
      <c r="R1178" s="767"/>
      <c r="S1178" s="4"/>
      <c r="T1178" s="4"/>
      <c r="U1178" s="4"/>
      <c r="V1178" s="4"/>
      <c r="W1178" s="4" t="s">
        <v>2240</v>
      </c>
      <c r="X1178" s="4" t="s">
        <v>735</v>
      </c>
      <c r="Y1178" s="4" t="s">
        <v>4066</v>
      </c>
      <c r="Z1178" s="35"/>
      <c r="AA1178" s="1" t="str">
        <f>IFERROR(VLOOKUP(D:D,[1]Габариты!$A:$I,9,0),"")</f>
        <v>Вакансия</v>
      </c>
      <c r="AB1178" s="6" t="str">
        <f>IFERROR(VLOOKUP(D:D,[1]Габариты!$A:$D,4,0),"")</f>
        <v>СТЕЛЛАЖИ</v>
      </c>
      <c r="AC1178" s="39">
        <f t="shared" si="186"/>
        <v>3016</v>
      </c>
      <c r="AD1178" s="13" t="str">
        <f t="shared" si="187"/>
        <v>FBS</v>
      </c>
    </row>
    <row r="1179" spans="1:30" s="6" customFormat="1" ht="20.100000000000001" customHeight="1" outlineLevel="1" x14ac:dyDescent="0.25">
      <c r="A1179" s="665" t="s">
        <v>260</v>
      </c>
      <c r="B1179" s="2"/>
      <c r="C1179" s="13" t="s">
        <v>2581</v>
      </c>
      <c r="D1179" s="39">
        <v>3017</v>
      </c>
      <c r="E1179" s="4">
        <v>21</v>
      </c>
      <c r="F1179" s="101">
        <v>3017</v>
      </c>
      <c r="G1179" s="57" t="s">
        <v>4953</v>
      </c>
      <c r="H1179" s="4" t="s">
        <v>6620</v>
      </c>
      <c r="I1179" s="4"/>
      <c r="J1179" s="4"/>
      <c r="K1179" s="54" t="s">
        <v>2241</v>
      </c>
      <c r="L1179" s="57"/>
      <c r="M1179" s="57"/>
      <c r="N1179" s="766"/>
      <c r="O1179" s="4"/>
      <c r="P1179" s="4"/>
      <c r="Q1179" s="767" t="s">
        <v>2785</v>
      </c>
      <c r="R1179" s="767">
        <v>366507621</v>
      </c>
      <c r="S1179" s="4">
        <v>366507620</v>
      </c>
      <c r="T1179" s="4"/>
      <c r="U1179" s="4"/>
      <c r="V1179" s="4"/>
      <c r="W1179" s="4" t="s">
        <v>2241</v>
      </c>
      <c r="X1179" s="4" t="s">
        <v>736</v>
      </c>
      <c r="Y1179" s="4" t="s">
        <v>4066</v>
      </c>
      <c r="Z1179" s="35"/>
      <c r="AA1179" s="1" t="str">
        <f>IFERROR(VLOOKUP(D:D,[1]Габариты!$A:$I,9,0),"")</f>
        <v>Вакансия</v>
      </c>
      <c r="AB1179" s="6" t="str">
        <f>IFERROR(VLOOKUP(D:D,[1]Габариты!$A:$D,4,0),"")</f>
        <v>СТЕЛЛАЖИ</v>
      </c>
      <c r="AC1179" s="39">
        <f t="shared" si="186"/>
        <v>3017</v>
      </c>
      <c r="AD1179" s="13" t="str">
        <f t="shared" si="187"/>
        <v>FBS</v>
      </c>
    </row>
    <row r="1180" spans="1:30" s="6" customFormat="1" ht="20.100000000000001" customHeight="1" outlineLevel="1" x14ac:dyDescent="0.25">
      <c r="A1180" s="635" t="s">
        <v>958</v>
      </c>
      <c r="B1180" s="25"/>
      <c r="C1180" s="13" t="s">
        <v>2582</v>
      </c>
      <c r="D1180" s="39">
        <v>9422</v>
      </c>
      <c r="E1180" s="4">
        <v>30</v>
      </c>
      <c r="F1180" s="101">
        <v>9422</v>
      </c>
      <c r="G1180" s="57"/>
      <c r="H1180" s="4" t="s">
        <v>6621</v>
      </c>
      <c r="I1180" s="4"/>
      <c r="J1180" s="4" t="s">
        <v>3255</v>
      </c>
      <c r="K1180" s="54"/>
      <c r="L1180" s="57"/>
      <c r="M1180" s="57"/>
      <c r="N1180" s="4" t="s">
        <v>1001</v>
      </c>
      <c r="O1180" s="4">
        <v>551350208</v>
      </c>
      <c r="P1180" s="4">
        <v>551350206</v>
      </c>
      <c r="Q1180" s="767"/>
      <c r="R1180" s="767"/>
      <c r="S1180" s="4"/>
      <c r="T1180" s="4" t="s">
        <v>3452</v>
      </c>
      <c r="U1180" s="4">
        <v>1042012602</v>
      </c>
      <c r="V1180" s="4">
        <v>1042012602</v>
      </c>
      <c r="W1180" s="4" t="s">
        <v>2306</v>
      </c>
      <c r="X1180" s="4" t="s">
        <v>1001</v>
      </c>
      <c r="Y1180" s="4" t="s">
        <v>4066</v>
      </c>
      <c r="Z1180" s="35"/>
      <c r="AA1180" s="1" t="str">
        <f>IFERROR(VLOOKUP(D:D,[1]Габариты!$A:$I,9,0),"")</f>
        <v>Вакансия</v>
      </c>
      <c r="AB1180" s="6" t="str">
        <f>IFERROR(VLOOKUP(D:D,[1]Габариты!$A:$D,4,0),"")</f>
        <v>СТЕЛЛАЖИ</v>
      </c>
      <c r="AC1180" s="39">
        <f t="shared" si="186"/>
        <v>9422</v>
      </c>
      <c r="AD1180" s="13" t="str">
        <f t="shared" si="187"/>
        <v>FBO</v>
      </c>
    </row>
    <row r="1181" spans="1:30" s="6" customFormat="1" ht="20.100000000000001" customHeight="1" outlineLevel="1" x14ac:dyDescent="0.25">
      <c r="A1181" s="635" t="s">
        <v>957</v>
      </c>
      <c r="B1181" s="25"/>
      <c r="C1181" s="13" t="s">
        <v>2582</v>
      </c>
      <c r="D1181" s="39">
        <v>9421</v>
      </c>
      <c r="E1181" s="4">
        <v>30</v>
      </c>
      <c r="F1181" s="101">
        <v>9421</v>
      </c>
      <c r="G1181" s="57"/>
      <c r="H1181" s="4" t="s">
        <v>6622</v>
      </c>
      <c r="I1181" s="4"/>
      <c r="J1181" s="4" t="s">
        <v>3254</v>
      </c>
      <c r="K1181" s="54"/>
      <c r="L1181" s="57"/>
      <c r="M1181" s="57"/>
      <c r="N1181" s="4" t="s">
        <v>1000</v>
      </c>
      <c r="O1181" s="4">
        <v>551331287</v>
      </c>
      <c r="P1181" s="4">
        <v>551331288</v>
      </c>
      <c r="Q1181" s="767"/>
      <c r="R1181" s="767"/>
      <c r="S1181" s="4"/>
      <c r="T1181" s="4" t="s">
        <v>3451</v>
      </c>
      <c r="U1181" s="4">
        <v>1041989427</v>
      </c>
      <c r="V1181" s="4">
        <v>1041989427</v>
      </c>
      <c r="W1181" s="4" t="s">
        <v>2305</v>
      </c>
      <c r="X1181" s="4" t="s">
        <v>1000</v>
      </c>
      <c r="Y1181" s="4" t="s">
        <v>4066</v>
      </c>
      <c r="Z1181" s="35"/>
      <c r="AA1181" s="1" t="str">
        <f>IFERROR(VLOOKUP(D:D,[1]Габариты!$A:$I,9,0),"")</f>
        <v>Вакансия</v>
      </c>
      <c r="AB1181" s="6" t="str">
        <f>IFERROR(VLOOKUP(D:D,[1]Габариты!$A:$D,4,0),"")</f>
        <v>СТЕЛЛАЖИ</v>
      </c>
      <c r="AC1181" s="39">
        <f t="shared" si="186"/>
        <v>9421</v>
      </c>
      <c r="AD1181" s="13" t="str">
        <f t="shared" si="187"/>
        <v>FBO</v>
      </c>
    </row>
    <row r="1182" spans="1:30" s="6" customFormat="1" ht="20.100000000000001" customHeight="1" outlineLevel="1" x14ac:dyDescent="0.25">
      <c r="A1182" s="635" t="s">
        <v>959</v>
      </c>
      <c r="B1182" s="25"/>
      <c r="C1182" s="13" t="s">
        <v>2582</v>
      </c>
      <c r="D1182" s="39">
        <v>9423</v>
      </c>
      <c r="E1182" s="4">
        <v>30</v>
      </c>
      <c r="F1182" s="101">
        <v>9423</v>
      </c>
      <c r="G1182" s="57"/>
      <c r="H1182" s="4" t="s">
        <v>6623</v>
      </c>
      <c r="I1182" s="4"/>
      <c r="J1182" s="4" t="s">
        <v>3256</v>
      </c>
      <c r="K1182" s="54"/>
      <c r="L1182" s="57"/>
      <c r="M1182" s="57"/>
      <c r="N1182" s="4" t="s">
        <v>1002</v>
      </c>
      <c r="O1182" s="4">
        <v>551370655</v>
      </c>
      <c r="P1182" s="4">
        <v>551370656</v>
      </c>
      <c r="Q1182" s="767"/>
      <c r="R1182" s="767"/>
      <c r="S1182" s="4"/>
      <c r="T1182" s="4" t="s">
        <v>3453</v>
      </c>
      <c r="U1182" s="4">
        <v>1042027361</v>
      </c>
      <c r="V1182" s="4">
        <v>1042027361</v>
      </c>
      <c r="W1182" s="4" t="s">
        <v>2307</v>
      </c>
      <c r="X1182" s="4" t="s">
        <v>1002</v>
      </c>
      <c r="Y1182" s="4" t="s">
        <v>4066</v>
      </c>
      <c r="Z1182" s="35"/>
      <c r="AA1182" s="1" t="str">
        <f>IFERROR(VLOOKUP(D:D,[1]Габариты!$A:$I,9,0),"")</f>
        <v>Вакансия</v>
      </c>
      <c r="AB1182" s="6" t="str">
        <f>IFERROR(VLOOKUP(D:D,[1]Габариты!$A:$D,4,0),"")</f>
        <v>СТЕЛЛАЖИ</v>
      </c>
      <c r="AC1182" s="39">
        <f t="shared" si="186"/>
        <v>9423</v>
      </c>
      <c r="AD1182" s="13" t="str">
        <f t="shared" si="187"/>
        <v>FBO</v>
      </c>
    </row>
    <row r="1183" spans="1:30" s="6" customFormat="1" ht="20.100000000000001" customHeight="1" outlineLevel="1" x14ac:dyDescent="0.25">
      <c r="A1183" s="635" t="s">
        <v>3234</v>
      </c>
      <c r="B1183" s="25"/>
      <c r="C1183" s="13" t="s">
        <v>2582</v>
      </c>
      <c r="D1183" s="39">
        <v>9424</v>
      </c>
      <c r="E1183" s="4">
        <v>30</v>
      </c>
      <c r="F1183" s="101">
        <v>9424</v>
      </c>
      <c r="G1183" s="57"/>
      <c r="H1183" s="4" t="s">
        <v>6624</v>
      </c>
      <c r="I1183" s="4"/>
      <c r="J1183" s="4" t="s">
        <v>3257</v>
      </c>
      <c r="K1183" s="54"/>
      <c r="L1183" s="57"/>
      <c r="M1183" s="57"/>
      <c r="N1183" s="4" t="s">
        <v>3454</v>
      </c>
      <c r="O1183" s="4">
        <v>1040114766</v>
      </c>
      <c r="P1183" s="4">
        <v>1040114763</v>
      </c>
      <c r="Q1183" s="767"/>
      <c r="R1183" s="767"/>
      <c r="S1183" s="4"/>
      <c r="T1183" s="4" t="s">
        <v>3466</v>
      </c>
      <c r="U1183" s="4">
        <v>1043929561</v>
      </c>
      <c r="V1183" s="4">
        <v>1043929561</v>
      </c>
      <c r="W1183" s="4"/>
      <c r="X1183" s="4" t="s">
        <v>3454</v>
      </c>
      <c r="Y1183" s="4" t="s">
        <v>4066</v>
      </c>
      <c r="Z1183" s="35"/>
      <c r="AA1183" s="1" t="str">
        <f>IFERROR(VLOOKUP(D:D,[1]Габариты!$A:$I,9,0),"")</f>
        <v>Вакансия</v>
      </c>
      <c r="AB1183" s="6" t="str">
        <f>IFERROR(VLOOKUP(D:D,[1]Габариты!$A:$D,4,0),"")</f>
        <v>СТЕЛЛАЖИ</v>
      </c>
      <c r="AC1183" s="39">
        <f t="shared" si="186"/>
        <v>9424</v>
      </c>
      <c r="AD1183" s="13" t="str">
        <f t="shared" si="187"/>
        <v>FBO</v>
      </c>
    </row>
    <row r="1184" spans="1:30" s="6" customFormat="1" ht="20.100000000000001" customHeight="1" outlineLevel="1" x14ac:dyDescent="0.25">
      <c r="A1184" s="635" t="s">
        <v>3235</v>
      </c>
      <c r="B1184" s="25"/>
      <c r="C1184" s="13" t="s">
        <v>2582</v>
      </c>
      <c r="D1184" s="39">
        <v>9425</v>
      </c>
      <c r="E1184" s="4">
        <v>30</v>
      </c>
      <c r="F1184" s="101">
        <v>9425</v>
      </c>
      <c r="G1184" s="57"/>
      <c r="H1184" s="4" t="s">
        <v>6625</v>
      </c>
      <c r="I1184" s="4"/>
      <c r="J1184" s="4" t="s">
        <v>3258</v>
      </c>
      <c r="K1184" s="54"/>
      <c r="L1184" s="57"/>
      <c r="M1184" s="57"/>
      <c r="N1184" s="4" t="s">
        <v>3455</v>
      </c>
      <c r="O1184" s="4">
        <v>1040133913</v>
      </c>
      <c r="P1184" s="4">
        <v>1040133914</v>
      </c>
      <c r="Q1184" s="767"/>
      <c r="R1184" s="767"/>
      <c r="S1184" s="4"/>
      <c r="T1184" s="4" t="s">
        <v>3467</v>
      </c>
      <c r="U1184" s="4">
        <v>1043939788</v>
      </c>
      <c r="V1184" s="4">
        <v>1043939788</v>
      </c>
      <c r="W1184" s="4"/>
      <c r="X1184" s="4" t="s">
        <v>3455</v>
      </c>
      <c r="Y1184" s="4" t="s">
        <v>4066</v>
      </c>
      <c r="Z1184" s="35"/>
      <c r="AA1184" s="1" t="str">
        <f>IFERROR(VLOOKUP(D:D,[1]Габариты!$A:$I,9,0),"")</f>
        <v>Вакансия</v>
      </c>
      <c r="AB1184" s="6" t="str">
        <f>IFERROR(VLOOKUP(D:D,[1]Габариты!$A:$D,4,0),"")</f>
        <v>СТЕЛЛАЖИ</v>
      </c>
      <c r="AC1184" s="39">
        <f t="shared" si="186"/>
        <v>9425</v>
      </c>
      <c r="AD1184" s="13" t="str">
        <f t="shared" si="187"/>
        <v>FBO</v>
      </c>
    </row>
    <row r="1185" spans="1:30" s="6" customFormat="1" ht="20.100000000000001" customHeight="1" outlineLevel="1" x14ac:dyDescent="0.25">
      <c r="A1185" s="635" t="s">
        <v>3236</v>
      </c>
      <c r="B1185" s="25"/>
      <c r="C1185" s="13" t="s">
        <v>2582</v>
      </c>
      <c r="D1185" s="39">
        <v>9426</v>
      </c>
      <c r="E1185" s="4">
        <v>30</v>
      </c>
      <c r="F1185" s="101">
        <v>9426</v>
      </c>
      <c r="G1185" s="57"/>
      <c r="H1185" s="4" t="s">
        <v>6626</v>
      </c>
      <c r="I1185" s="4"/>
      <c r="J1185" s="4" t="s">
        <v>3259</v>
      </c>
      <c r="K1185" s="54"/>
      <c r="L1185" s="57"/>
      <c r="M1185" s="57"/>
      <c r="N1185" s="4" t="s">
        <v>3456</v>
      </c>
      <c r="O1185" s="4">
        <v>1040143726</v>
      </c>
      <c r="P1185" s="4">
        <v>1040143724</v>
      </c>
      <c r="Q1185" s="767"/>
      <c r="R1185" s="767"/>
      <c r="S1185" s="4"/>
      <c r="T1185" s="4" t="s">
        <v>3532</v>
      </c>
      <c r="U1185" s="4">
        <v>1047284888</v>
      </c>
      <c r="V1185" s="4">
        <v>1047284888</v>
      </c>
      <c r="W1185" s="4"/>
      <c r="X1185" s="4" t="s">
        <v>3456</v>
      </c>
      <c r="Y1185" s="4" t="s">
        <v>4066</v>
      </c>
      <c r="Z1185" s="35"/>
      <c r="AA1185" s="1" t="str">
        <f>IFERROR(VLOOKUP(D:D,[1]Габариты!$A:$I,9,0),"")</f>
        <v>Вакансия</v>
      </c>
      <c r="AB1185" s="6" t="str">
        <f>IFERROR(VLOOKUP(D:D,[1]Габариты!$A:$D,4,0),"")</f>
        <v>СТЕЛЛАЖИ</v>
      </c>
      <c r="AC1185" s="39">
        <f t="shared" si="186"/>
        <v>9426</v>
      </c>
      <c r="AD1185" s="13" t="str">
        <f t="shared" si="187"/>
        <v>FBO</v>
      </c>
    </row>
    <row r="1186" spans="1:30" s="6" customFormat="1" ht="20.100000000000001" customHeight="1" outlineLevel="1" x14ac:dyDescent="0.25">
      <c r="A1186" s="635" t="s">
        <v>1058</v>
      </c>
      <c r="B1186" s="25"/>
      <c r="C1186" s="13" t="s">
        <v>2581</v>
      </c>
      <c r="D1186" s="39">
        <v>140002</v>
      </c>
      <c r="E1186" s="4">
        <v>34</v>
      </c>
      <c r="F1186" s="101"/>
      <c r="G1186" s="57"/>
      <c r="H1186" s="4" t="s">
        <v>6589</v>
      </c>
      <c r="I1186" s="4"/>
      <c r="J1186" s="4"/>
      <c r="K1186" s="54"/>
      <c r="L1186" s="57"/>
      <c r="M1186" s="57"/>
      <c r="N1186" s="4" t="s">
        <v>1072</v>
      </c>
      <c r="O1186" s="4">
        <v>630866822</v>
      </c>
      <c r="P1186" s="4">
        <v>630866821</v>
      </c>
      <c r="Q1186" s="767"/>
      <c r="R1186" s="767"/>
      <c r="S1186" s="4"/>
      <c r="T1186" s="4"/>
      <c r="U1186" s="4"/>
      <c r="V1186" s="4"/>
      <c r="W1186" s="4"/>
      <c r="X1186" s="4" t="s">
        <v>1072</v>
      </c>
      <c r="Y1186" s="4" t="s">
        <v>4066</v>
      </c>
      <c r="Z1186" s="35"/>
      <c r="AA1186" s="1" t="str">
        <f>IFERROR(VLOOKUP(D:D,[1]Габариты!$A:$I,9,0),"")</f>
        <v>Вакансия</v>
      </c>
      <c r="AB1186" s="6" t="str">
        <f>IFERROR(VLOOKUP(D:D,[1]Габариты!$A:$D,4,0),"")</f>
        <v>СТЕЛЛАЖИ</v>
      </c>
      <c r="AC1186" s="39">
        <f t="shared" si="186"/>
        <v>140002</v>
      </c>
      <c r="AD1186" s="13" t="str">
        <f t="shared" si="187"/>
        <v>FBS</v>
      </c>
    </row>
    <row r="1187" spans="1:30" s="6" customFormat="1" ht="20.100000000000001" customHeight="1" outlineLevel="1" x14ac:dyDescent="0.25">
      <c r="A1187" s="635" t="s">
        <v>1368</v>
      </c>
      <c r="B1187" s="25"/>
      <c r="C1187" s="13" t="s">
        <v>4050</v>
      </c>
      <c r="D1187" s="39">
        <v>135541</v>
      </c>
      <c r="E1187" s="4">
        <v>10</v>
      </c>
      <c r="F1187" s="101">
        <v>135541</v>
      </c>
      <c r="G1187" s="57"/>
      <c r="H1187" s="4"/>
      <c r="I1187" s="4"/>
      <c r="J1187" s="4"/>
      <c r="K1187" s="54"/>
      <c r="L1187" s="57"/>
      <c r="M1187" s="57"/>
      <c r="N1187" s="4" t="s">
        <v>1391</v>
      </c>
      <c r="O1187" s="4">
        <v>718885317</v>
      </c>
      <c r="P1187" s="4">
        <v>718885316</v>
      </c>
      <c r="Q1187" s="767"/>
      <c r="R1187" s="767"/>
      <c r="S1187" s="4"/>
      <c r="T1187" s="4"/>
      <c r="U1187" s="4"/>
      <c r="V1187" s="4"/>
      <c r="W1187" s="4"/>
      <c r="X1187" s="4" t="s">
        <v>1391</v>
      </c>
      <c r="Y1187" s="4" t="s">
        <v>4066</v>
      </c>
      <c r="Z1187" s="35"/>
      <c r="AA1187" s="1" t="str">
        <f>IFERROR(VLOOKUP(D:D,[1]Габариты!$A:$I,9,0),"")</f>
        <v>Вакансия</v>
      </c>
      <c r="AB1187" s="6" t="str">
        <f>IFERROR(VLOOKUP(D:D,[1]Габариты!$A:$D,4,0),"")</f>
        <v>СТЕЛЛАЖИ</v>
      </c>
      <c r="AC1187" s="39">
        <f t="shared" si="186"/>
        <v>135541</v>
      </c>
      <c r="AD1187" s="13" t="str">
        <f t="shared" ref="AD1187:AD1195" si="188">C1187</f>
        <v>СКГТ (ОЗОН)</v>
      </c>
    </row>
    <row r="1188" spans="1:30" s="6" customFormat="1" ht="20.100000000000001" customHeight="1" outlineLevel="1" x14ac:dyDescent="0.25">
      <c r="A1188" s="633" t="s">
        <v>4190</v>
      </c>
      <c r="B1188" s="25"/>
      <c r="C1188" s="13" t="s">
        <v>2582</v>
      </c>
      <c r="D1188" s="44" t="s">
        <v>4187</v>
      </c>
      <c r="E1188" s="4">
        <v>24</v>
      </c>
      <c r="F1188" s="106" t="s">
        <v>6221</v>
      </c>
      <c r="G1188" s="57"/>
      <c r="H1188" s="4" t="s">
        <v>6642</v>
      </c>
      <c r="I1188" s="4"/>
      <c r="J1188" s="4"/>
      <c r="K1188" s="54"/>
      <c r="L1188" s="57"/>
      <c r="M1188" s="57"/>
      <c r="N1188" s="4" t="s">
        <v>4249</v>
      </c>
      <c r="O1188" s="4">
        <v>1598335282</v>
      </c>
      <c r="P1188" s="4">
        <v>1598335282</v>
      </c>
      <c r="Q1188" s="767"/>
      <c r="R1188" s="767"/>
      <c r="S1188" s="4"/>
      <c r="T1188" s="4"/>
      <c r="U1188" s="4"/>
      <c r="V1188" s="4"/>
      <c r="W1188" s="4"/>
      <c r="X1188" s="4" t="s">
        <v>4249</v>
      </c>
      <c r="Y1188" s="4"/>
      <c r="Z1188" s="35"/>
      <c r="AA1188" s="1" t="str">
        <f>IFERROR(VLOOKUP(D:D,[1]Габариты!$A:$I,9,0),"")</f>
        <v>Вакансия</v>
      </c>
      <c r="AB1188" s="6" t="str">
        <f>IFERROR(VLOOKUP(D:D,[1]Габариты!$A:$D,4,0),"")</f>
        <v>СТЕЛЛАЖИ</v>
      </c>
      <c r="AC1188" s="39" t="str">
        <f t="shared" ref="AC1188:AC1195" si="189">D1188</f>
        <v>3898.05/01</v>
      </c>
      <c r="AD1188" s="13" t="str">
        <f t="shared" si="188"/>
        <v>FBO</v>
      </c>
    </row>
    <row r="1189" spans="1:30" s="6" customFormat="1" ht="20.100000000000001" customHeight="1" outlineLevel="1" x14ac:dyDescent="0.25">
      <c r="A1189" s="633" t="s">
        <v>4191</v>
      </c>
      <c r="B1189" s="25"/>
      <c r="C1189" s="13" t="s">
        <v>2582</v>
      </c>
      <c r="D1189" s="44" t="s">
        <v>4188</v>
      </c>
      <c r="E1189" s="4">
        <v>24</v>
      </c>
      <c r="F1189" s="106" t="s">
        <v>6222</v>
      </c>
      <c r="G1189" s="57"/>
      <c r="H1189" s="4" t="s">
        <v>6643</v>
      </c>
      <c r="I1189" s="4"/>
      <c r="J1189" s="4"/>
      <c r="K1189" s="54"/>
      <c r="L1189" s="57"/>
      <c r="M1189" s="57"/>
      <c r="N1189" s="4" t="s">
        <v>4250</v>
      </c>
      <c r="O1189" s="4">
        <v>1598328137</v>
      </c>
      <c r="P1189" s="4">
        <v>1598328137</v>
      </c>
      <c r="Q1189" s="767"/>
      <c r="R1189" s="767"/>
      <c r="S1189" s="4"/>
      <c r="T1189" s="4"/>
      <c r="U1189" s="4"/>
      <c r="V1189" s="4"/>
      <c r="W1189" s="4"/>
      <c r="X1189" s="4" t="s">
        <v>4250</v>
      </c>
      <c r="Y1189" s="4"/>
      <c r="Z1189" s="35"/>
      <c r="AA1189" s="1" t="str">
        <f>IFERROR(VLOOKUP(D:D,[1]Габариты!$A:$I,9,0),"")</f>
        <v>Вакансия</v>
      </c>
      <c r="AB1189" s="6" t="str">
        <f>IFERROR(VLOOKUP(D:D,[1]Габариты!$A:$D,4,0),"")</f>
        <v>СТЕЛЛАЖИ</v>
      </c>
      <c r="AC1189" s="39" t="str">
        <f t="shared" si="189"/>
        <v>3898.09/01</v>
      </c>
      <c r="AD1189" s="13" t="str">
        <f t="shared" si="188"/>
        <v>FBO</v>
      </c>
    </row>
    <row r="1190" spans="1:30" s="6" customFormat="1" ht="20.100000000000001" customHeight="1" outlineLevel="1" x14ac:dyDescent="0.25">
      <c r="A1190" s="633" t="s">
        <v>4192</v>
      </c>
      <c r="B1190" s="25"/>
      <c r="C1190" s="13" t="s">
        <v>2582</v>
      </c>
      <c r="D1190" s="44" t="s">
        <v>4189</v>
      </c>
      <c r="E1190" s="4">
        <v>24</v>
      </c>
      <c r="F1190" s="106" t="s">
        <v>6223</v>
      </c>
      <c r="G1190" s="57"/>
      <c r="H1190" s="4" t="s">
        <v>6644</v>
      </c>
      <c r="I1190" s="4"/>
      <c r="J1190" s="4"/>
      <c r="K1190" s="54"/>
      <c r="L1190" s="57"/>
      <c r="M1190" s="57"/>
      <c r="N1190" s="4" t="s">
        <v>4211</v>
      </c>
      <c r="O1190" s="4">
        <v>1589888675</v>
      </c>
      <c r="P1190" s="4">
        <v>1589888675</v>
      </c>
      <c r="Q1190" s="767"/>
      <c r="R1190" s="767"/>
      <c r="S1190" s="4"/>
      <c r="T1190" s="4"/>
      <c r="U1190" s="4"/>
      <c r="V1190" s="4"/>
      <c r="W1190" s="4"/>
      <c r="X1190" s="4" t="s">
        <v>4211</v>
      </c>
      <c r="Y1190" s="4"/>
      <c r="Z1190" s="35"/>
      <c r="AA1190" s="1" t="str">
        <f>IFERROR(VLOOKUP(D:D,[1]Габариты!$A:$I,9,0),"")</f>
        <v>Вакансия</v>
      </c>
      <c r="AB1190" s="6" t="str">
        <f>IFERROR(VLOOKUP(D:D,[1]Габариты!$A:$D,4,0),"")</f>
        <v>СТЕЛЛАЖИ</v>
      </c>
      <c r="AC1190" s="39" t="str">
        <f t="shared" si="189"/>
        <v>3898.17/01</v>
      </c>
      <c r="AD1190" s="13" t="str">
        <f t="shared" si="188"/>
        <v>FBO</v>
      </c>
    </row>
    <row r="1191" spans="1:30" s="6" customFormat="1" ht="20.100000000000001" customHeight="1" outlineLevel="1" x14ac:dyDescent="0.25">
      <c r="A1191" s="664" t="s">
        <v>8061</v>
      </c>
      <c r="B1191" s="274"/>
      <c r="C1191" s="276" t="s">
        <v>2582</v>
      </c>
      <c r="D1191" s="281" t="s">
        <v>8060</v>
      </c>
      <c r="E1191" s="278">
        <v>36</v>
      </c>
      <c r="F1191" s="279" t="s">
        <v>8186</v>
      </c>
      <c r="G1191" s="280"/>
      <c r="H1191" s="278" t="s">
        <v>8062</v>
      </c>
      <c r="I1191" s="278"/>
      <c r="J1191" s="278"/>
      <c r="K1191" s="279"/>
      <c r="L1191" s="280"/>
      <c r="M1191" s="280"/>
      <c r="N1191" s="278" t="s">
        <v>8088</v>
      </c>
      <c r="O1191" s="278">
        <v>1783571606</v>
      </c>
      <c r="P1191" s="278">
        <v>1783571606</v>
      </c>
      <c r="Q1191" s="803"/>
      <c r="R1191" s="803"/>
      <c r="S1191" s="278"/>
      <c r="T1191" s="278"/>
      <c r="U1191" s="278"/>
      <c r="V1191" s="278"/>
      <c r="W1191" s="278"/>
      <c r="X1191" s="278" t="s">
        <v>8088</v>
      </c>
      <c r="Y1191" s="278"/>
      <c r="Z1191" s="35"/>
      <c r="AA1191" s="1" t="str">
        <f>IFERROR(VLOOKUP(D:D,[1]Габариты!$A:$I,9,0),"")</f>
        <v>Вакансия</v>
      </c>
      <c r="AB1191" s="6" t="str">
        <f>IFERROR(VLOOKUP(D:D,[1]Габариты!$A:$D,4,0),"")</f>
        <v>СТЕЛЛАЖИ</v>
      </c>
      <c r="AC1191" s="39" t="str">
        <f t="shared" si="189"/>
        <v>MK251010151</v>
      </c>
      <c r="AD1191" s="13" t="str">
        <f t="shared" si="188"/>
        <v>FBO</v>
      </c>
    </row>
    <row r="1192" spans="1:30" s="6" customFormat="1" ht="20.100000000000001" customHeight="1" outlineLevel="1" x14ac:dyDescent="0.25">
      <c r="A1192" s="635" t="s">
        <v>4354</v>
      </c>
      <c r="B1192" s="25"/>
      <c r="C1192" s="13" t="s">
        <v>4050</v>
      </c>
      <c r="D1192" s="39" t="s">
        <v>4353</v>
      </c>
      <c r="E1192" s="4">
        <v>16</v>
      </c>
      <c r="F1192" s="101" t="s">
        <v>7906</v>
      </c>
      <c r="G1192" s="57" t="s">
        <v>5702</v>
      </c>
      <c r="H1192" s="4" t="s">
        <v>6608</v>
      </c>
      <c r="I1192" s="4"/>
      <c r="J1192" s="4"/>
      <c r="K1192" s="54"/>
      <c r="L1192" s="57"/>
      <c r="M1192" s="57"/>
      <c r="N1192" s="4" t="s">
        <v>4363</v>
      </c>
      <c r="O1192" s="4">
        <v>1624040085</v>
      </c>
      <c r="P1192" s="4">
        <v>1624040085</v>
      </c>
      <c r="Q1192" s="767"/>
      <c r="R1192" s="767"/>
      <c r="S1192" s="4"/>
      <c r="T1192" s="4"/>
      <c r="U1192" s="4"/>
      <c r="V1192" s="4"/>
      <c r="W1192" s="4"/>
      <c r="X1192" s="4" t="s">
        <v>4363</v>
      </c>
      <c r="Y1192" s="4"/>
      <c r="Z1192" s="35"/>
      <c r="AA1192" s="1" t="str">
        <f>IFERROR(VLOOKUP(D:D,[1]Габариты!$A:$I,9,0),"")</f>
        <v>Вакансия</v>
      </c>
      <c r="AB1192" s="6" t="str">
        <f>IFERROR(VLOOKUP(D:D,[1]Габариты!$A:$D,4,0),"")</f>
        <v>СТЕЛЛАЖИ</v>
      </c>
      <c r="AC1192" s="39" t="str">
        <f t="shared" si="189"/>
        <v>MK3000101</v>
      </c>
      <c r="AD1192" s="13" t="str">
        <f t="shared" si="188"/>
        <v>СКГТ (ОЗОН)</v>
      </c>
    </row>
    <row r="1193" spans="1:30" s="6" customFormat="1" ht="20.100000000000001" customHeight="1" outlineLevel="1" x14ac:dyDescent="0.25">
      <c r="A1193" s="633" t="s">
        <v>4231</v>
      </c>
      <c r="B1193" s="25"/>
      <c r="C1193" s="13" t="s">
        <v>2582</v>
      </c>
      <c r="D1193" s="39" t="s">
        <v>4230</v>
      </c>
      <c r="E1193" s="4">
        <v>20</v>
      </c>
      <c r="F1193" s="101" t="s">
        <v>6233</v>
      </c>
      <c r="G1193" s="57"/>
      <c r="H1193" s="4" t="s">
        <v>6724</v>
      </c>
      <c r="I1193" s="4"/>
      <c r="J1193" s="4"/>
      <c r="K1193" s="54"/>
      <c r="L1193" s="57"/>
      <c r="M1193" s="57"/>
      <c r="N1193" s="4" t="s">
        <v>4256</v>
      </c>
      <c r="O1193" s="4">
        <v>1603778642</v>
      </c>
      <c r="P1193" s="4">
        <v>1603778642</v>
      </c>
      <c r="Q1193" s="767"/>
      <c r="R1193" s="767"/>
      <c r="S1193" s="4"/>
      <c r="T1193" s="4"/>
      <c r="U1193" s="4"/>
      <c r="V1193" s="4"/>
      <c r="W1193" s="4"/>
      <c r="X1193" s="4" t="s">
        <v>4256</v>
      </c>
      <c r="Y1193" s="4"/>
      <c r="Z1193" s="35"/>
      <c r="AA1193" s="1" t="str">
        <f>IFERROR(VLOOKUP(D:D,[1]Габариты!$A:$I,9,0),"")</f>
        <v>Вакансия</v>
      </c>
      <c r="AB1193" s="6" t="str">
        <f>IFERROR(VLOOKUP(D:D,[1]Габариты!$A:$D,4,0),"")</f>
        <v>СТЕЛЛАЖИ</v>
      </c>
      <c r="AC1193" s="39" t="str">
        <f t="shared" si="189"/>
        <v>3897.09/01</v>
      </c>
      <c r="AD1193" s="13" t="str">
        <f t="shared" si="188"/>
        <v>FBO</v>
      </c>
    </row>
    <row r="1194" spans="1:30" s="6" customFormat="1" ht="20.100000000000001" customHeight="1" outlineLevel="1" x14ac:dyDescent="0.25">
      <c r="A1194" s="633" t="s">
        <v>4154</v>
      </c>
      <c r="B1194" s="2"/>
      <c r="C1194" s="13" t="s">
        <v>2582</v>
      </c>
      <c r="D1194" s="39">
        <v>3708</v>
      </c>
      <c r="E1194" s="4">
        <v>33</v>
      </c>
      <c r="F1194" s="101">
        <v>3708</v>
      </c>
      <c r="G1194" s="57" t="s">
        <v>5109</v>
      </c>
      <c r="H1194" s="4" t="s">
        <v>6639</v>
      </c>
      <c r="I1194" s="4"/>
      <c r="J1194" s="4"/>
      <c r="K1194" s="54" t="s">
        <v>7904</v>
      </c>
      <c r="L1194" s="57">
        <v>1404438784</v>
      </c>
      <c r="M1194" s="57">
        <v>1404438784</v>
      </c>
      <c r="N1194" s="4" t="s">
        <v>4207</v>
      </c>
      <c r="O1194" s="4">
        <v>1584059610</v>
      </c>
      <c r="P1194" s="4">
        <v>1584059610</v>
      </c>
      <c r="Q1194" s="767"/>
      <c r="R1194" s="767"/>
      <c r="S1194" s="4"/>
      <c r="T1194" s="4"/>
      <c r="U1194" s="4"/>
      <c r="V1194" s="4"/>
      <c r="W1194" s="4"/>
      <c r="X1194" s="4" t="s">
        <v>4207</v>
      </c>
      <c r="Y1194" s="4">
        <v>3708</v>
      </c>
      <c r="Z1194" s="35"/>
      <c r="AA1194" s="1" t="str">
        <f>IFERROR(VLOOKUP(D:D,[1]Габариты!$A:$I,9,0),"")</f>
        <v>Вакансия</v>
      </c>
      <c r="AB1194" s="6" t="str">
        <f>IFERROR(VLOOKUP(D:D,[1]Габариты!$A:$D,4,0),"")</f>
        <v>СТЕЛЛАЖИ</v>
      </c>
      <c r="AC1194" s="39">
        <f t="shared" si="189"/>
        <v>3708</v>
      </c>
      <c r="AD1194" s="13" t="str">
        <f t="shared" si="188"/>
        <v>FBO</v>
      </c>
    </row>
    <row r="1195" spans="1:30" s="6" customFormat="1" ht="20.100000000000001" customHeight="1" outlineLevel="1" x14ac:dyDescent="0.25">
      <c r="A1195" s="731" t="s">
        <v>7611</v>
      </c>
      <c r="B1195" s="163"/>
      <c r="C1195" s="13" t="s">
        <v>4050</v>
      </c>
      <c r="D1195" s="170" t="s">
        <v>7610</v>
      </c>
      <c r="E1195" s="166">
        <v>12</v>
      </c>
      <c r="F1195" s="167" t="s">
        <v>7615</v>
      </c>
      <c r="G1195" s="168"/>
      <c r="H1195" s="166" t="s">
        <v>7614</v>
      </c>
      <c r="I1195" s="166"/>
      <c r="J1195" s="166"/>
      <c r="K1195" s="167"/>
      <c r="L1195" s="168"/>
      <c r="M1195" s="168"/>
      <c r="N1195" s="166" t="s">
        <v>7651</v>
      </c>
      <c r="O1195" s="166">
        <v>1739286439</v>
      </c>
      <c r="P1195" s="166">
        <v>1739286439</v>
      </c>
      <c r="Q1195" s="793"/>
      <c r="R1195" s="793"/>
      <c r="S1195" s="166"/>
      <c r="T1195" s="166"/>
      <c r="U1195" s="166"/>
      <c r="V1195" s="166"/>
      <c r="W1195" s="166"/>
      <c r="X1195" s="166" t="s">
        <v>7651</v>
      </c>
      <c r="Y1195" s="166"/>
      <c r="Z1195" s="35"/>
      <c r="AA1195" s="1" t="str">
        <f>IFERROR(VLOOKUP(D:D,[1]Габариты!$A:$I,9,0),"")</f>
        <v>Вакансия</v>
      </c>
      <c r="AB1195" s="6" t="str">
        <f>IFERROR(VLOOKUP(D:D,[1]Габариты!$A:$D,4,0),"")</f>
        <v>СТЕЛЛАЖИ</v>
      </c>
      <c r="AC1195" s="39" t="str">
        <f t="shared" si="189"/>
        <v>3961.07.01/01</v>
      </c>
      <c r="AD1195" s="13" t="str">
        <f t="shared" si="188"/>
        <v>СКГТ (ОЗОН)</v>
      </c>
    </row>
    <row r="1196" spans="1:30" s="6" customFormat="1" ht="20.100000000000001" customHeight="1" outlineLevel="1" x14ac:dyDescent="0.25">
      <c r="A1196" s="633" t="s">
        <v>4237</v>
      </c>
      <c r="B1196" s="25"/>
      <c r="C1196" s="13" t="s">
        <v>2582</v>
      </c>
      <c r="D1196" s="39" t="s">
        <v>4238</v>
      </c>
      <c r="E1196" s="4">
        <v>20</v>
      </c>
      <c r="F1196" s="101" t="s">
        <v>6234</v>
      </c>
      <c r="G1196" s="57"/>
      <c r="H1196" s="4" t="s">
        <v>6725</v>
      </c>
      <c r="I1196" s="4"/>
      <c r="J1196" s="4"/>
      <c r="K1196" s="54"/>
      <c r="L1196" s="57"/>
      <c r="M1196" s="57"/>
      <c r="N1196" s="4" t="s">
        <v>4257</v>
      </c>
      <c r="O1196" s="4">
        <v>1603777612</v>
      </c>
      <c r="P1196" s="4">
        <v>1603777612</v>
      </c>
      <c r="Q1196" s="767"/>
      <c r="R1196" s="767"/>
      <c r="S1196" s="4"/>
      <c r="T1196" s="4"/>
      <c r="U1196" s="4"/>
      <c r="V1196" s="4"/>
      <c r="W1196" s="4"/>
      <c r="X1196" s="4" t="s">
        <v>4257</v>
      </c>
      <c r="Y1196" s="4"/>
      <c r="Z1196" s="35"/>
      <c r="AA1196" s="1" t="str">
        <f>IFERROR(VLOOKUP(D:D,[1]Габариты!$A:$I,9,0),"")</f>
        <v>Вакансия</v>
      </c>
      <c r="AB1196" s="6" t="str">
        <f>IFERROR(VLOOKUP(D:D,[1]Габариты!$A:$D,4,0),"")</f>
        <v>СТЕЛЛАЖИ</v>
      </c>
      <c r="AC1196" s="39" t="str">
        <f t="shared" ref="AC1196:AC1217" si="190">D1196</f>
        <v>3897.17/01</v>
      </c>
      <c r="AD1196" s="13" t="str">
        <f t="shared" ref="AD1196:AD1213" si="191">C1196</f>
        <v>FBO</v>
      </c>
    </row>
    <row r="1197" spans="1:30" s="6" customFormat="1" ht="20.100000000000001" customHeight="1" outlineLevel="1" x14ac:dyDescent="0.25">
      <c r="A1197" s="633" t="s">
        <v>4152</v>
      </c>
      <c r="B1197" s="2"/>
      <c r="C1197" s="13" t="s">
        <v>2582</v>
      </c>
      <c r="D1197" s="39">
        <v>3709</v>
      </c>
      <c r="E1197" s="4">
        <v>27</v>
      </c>
      <c r="F1197" s="101">
        <v>3709</v>
      </c>
      <c r="G1197" s="57" t="s">
        <v>5110</v>
      </c>
      <c r="H1197" s="4" t="s">
        <v>6636</v>
      </c>
      <c r="I1197" s="4"/>
      <c r="J1197" s="4"/>
      <c r="K1197" s="54" t="s">
        <v>7897</v>
      </c>
      <c r="L1197" s="57">
        <v>1402004452</v>
      </c>
      <c r="M1197" s="57">
        <v>1402004452</v>
      </c>
      <c r="N1197" s="4" t="s">
        <v>4253</v>
      </c>
      <c r="O1197" s="4">
        <v>1601531531</v>
      </c>
      <c r="P1197" s="4">
        <v>1601531531</v>
      </c>
      <c r="Q1197" s="767"/>
      <c r="R1197" s="767"/>
      <c r="S1197" s="4"/>
      <c r="T1197" s="4"/>
      <c r="U1197" s="4"/>
      <c r="V1197" s="4"/>
      <c r="W1197" s="4"/>
      <c r="X1197" s="4" t="s">
        <v>4209</v>
      </c>
      <c r="Y1197" s="4"/>
      <c r="Z1197" s="35"/>
      <c r="AA1197" s="1" t="str">
        <f>IFERROR(VLOOKUP(D:D,[1]Габариты!$A:$I,9,0),"")</f>
        <v>Вакансия</v>
      </c>
      <c r="AB1197" s="6" t="str">
        <f>IFERROR(VLOOKUP(D:D,[1]Габариты!$A:$D,4,0),"")</f>
        <v>СТЕЛЛАЖИ</v>
      </c>
      <c r="AC1197" s="39">
        <f t="shared" si="190"/>
        <v>3709</v>
      </c>
      <c r="AD1197" s="13" t="str">
        <f t="shared" si="191"/>
        <v>FBO</v>
      </c>
    </row>
    <row r="1198" spans="1:30" s="6" customFormat="1" ht="20.100000000000001" customHeight="1" outlineLevel="1" x14ac:dyDescent="0.25">
      <c r="A1198" s="635" t="s">
        <v>982</v>
      </c>
      <c r="B1198" s="25"/>
      <c r="C1198" s="13" t="s">
        <v>2581</v>
      </c>
      <c r="D1198" s="39" t="s">
        <v>1488</v>
      </c>
      <c r="E1198" s="4">
        <v>28</v>
      </c>
      <c r="F1198" s="101" t="s">
        <v>6213</v>
      </c>
      <c r="G1198" s="57" t="s">
        <v>5159</v>
      </c>
      <c r="H1198" s="4" t="s">
        <v>6597</v>
      </c>
      <c r="I1198" s="4"/>
      <c r="J1198" s="4"/>
      <c r="K1198" s="54" t="s">
        <v>6213</v>
      </c>
      <c r="L1198" s="57">
        <v>884150795</v>
      </c>
      <c r="M1198" s="57">
        <v>884150795</v>
      </c>
      <c r="N1198" s="4" t="s">
        <v>1414</v>
      </c>
      <c r="O1198" s="4">
        <v>578183760</v>
      </c>
      <c r="P1198" s="4">
        <v>578183759</v>
      </c>
      <c r="Q1198" s="767"/>
      <c r="R1198" s="767"/>
      <c r="S1198" s="4"/>
      <c r="T1198" s="4"/>
      <c r="U1198" s="4"/>
      <c r="V1198" s="4"/>
      <c r="W1198" s="4"/>
      <c r="X1198" s="4" t="s">
        <v>1414</v>
      </c>
      <c r="Y1198" s="4" t="s">
        <v>1488</v>
      </c>
      <c r="Z1198" s="35"/>
      <c r="AA1198" s="1" t="str">
        <f>IFERROR(VLOOKUP(D:D,[1]Габариты!$A:$I,9,0),"")</f>
        <v>Вакансия</v>
      </c>
      <c r="AB1198" s="6" t="str">
        <f>IFERROR(VLOOKUP(D:D,[1]Габариты!$A:$D,4,0),"")</f>
        <v>СТЕЛЛАЖИ</v>
      </c>
      <c r="AC1198" s="39" t="str">
        <f t="shared" si="190"/>
        <v>MK00002</v>
      </c>
      <c r="AD1198" s="13" t="str">
        <f t="shared" si="191"/>
        <v>FBS</v>
      </c>
    </row>
    <row r="1199" spans="1:30" s="6" customFormat="1" ht="20.100000000000001" customHeight="1" outlineLevel="1" x14ac:dyDescent="0.25">
      <c r="A1199" s="635" t="s">
        <v>1045</v>
      </c>
      <c r="B1199" s="25"/>
      <c r="C1199" s="13" t="s">
        <v>2581</v>
      </c>
      <c r="D1199" s="39" t="s">
        <v>1044</v>
      </c>
      <c r="E1199" s="4">
        <v>28</v>
      </c>
      <c r="F1199" s="101" t="s">
        <v>4724</v>
      </c>
      <c r="G1199" s="57" t="s">
        <v>5173</v>
      </c>
      <c r="H1199" s="4" t="s">
        <v>6600</v>
      </c>
      <c r="I1199" s="4"/>
      <c r="J1199" s="4"/>
      <c r="K1199" s="54" t="s">
        <v>4724</v>
      </c>
      <c r="L1199" s="57">
        <v>946614712</v>
      </c>
      <c r="M1199" s="57">
        <v>946614712</v>
      </c>
      <c r="N1199" s="4" t="s">
        <v>1115</v>
      </c>
      <c r="O1199" s="4">
        <v>618591261</v>
      </c>
      <c r="P1199" s="4">
        <v>618591262</v>
      </c>
      <c r="Q1199" s="767"/>
      <c r="R1199" s="767"/>
      <c r="S1199" s="4"/>
      <c r="T1199" s="4"/>
      <c r="U1199" s="4"/>
      <c r="V1199" s="4"/>
      <c r="W1199" s="4"/>
      <c r="X1199" s="4" t="s">
        <v>1115</v>
      </c>
      <c r="Y1199" s="4" t="s">
        <v>4066</v>
      </c>
      <c r="Z1199" s="35"/>
      <c r="AA1199" s="1" t="str">
        <f>IFERROR(VLOOKUP(D:D,[1]Габариты!$A:$I,9,0),"")</f>
        <v>Вакансия</v>
      </c>
      <c r="AB1199" s="6" t="str">
        <f>IFERROR(VLOOKUP(D:D,[1]Габариты!$A:$D,4,0),"")</f>
        <v>СТЕЛЛАЖИ</v>
      </c>
      <c r="AC1199" s="39" t="str">
        <f t="shared" si="190"/>
        <v>MK00031</v>
      </c>
      <c r="AD1199" s="13" t="str">
        <f t="shared" si="191"/>
        <v>FBS</v>
      </c>
    </row>
    <row r="1200" spans="1:30" s="6" customFormat="1" ht="20.100000000000001" customHeight="1" x14ac:dyDescent="0.25">
      <c r="A1200" s="631" t="s">
        <v>7471</v>
      </c>
      <c r="B1200" s="121"/>
      <c r="C1200" s="13" t="s">
        <v>2582</v>
      </c>
      <c r="D1200" s="123">
        <v>4051</v>
      </c>
      <c r="E1200" s="124">
        <v>39</v>
      </c>
      <c r="F1200" s="125">
        <v>4051</v>
      </c>
      <c r="G1200" s="126"/>
      <c r="H1200" s="124" t="s">
        <v>7473</v>
      </c>
      <c r="I1200" s="124"/>
      <c r="J1200" s="124"/>
      <c r="K1200" s="125"/>
      <c r="L1200" s="126"/>
      <c r="M1200" s="126"/>
      <c r="N1200" s="4" t="s">
        <v>7500</v>
      </c>
      <c r="O1200" s="124">
        <v>1713053416</v>
      </c>
      <c r="P1200" s="124">
        <v>1713053416</v>
      </c>
      <c r="Q1200" s="124"/>
      <c r="R1200" s="124"/>
      <c r="S1200" s="124"/>
      <c r="T1200" s="124"/>
      <c r="U1200" s="124"/>
      <c r="V1200" s="124"/>
      <c r="W1200" s="124"/>
      <c r="X1200" s="124" t="s">
        <v>7500</v>
      </c>
      <c r="Y1200" s="124"/>
      <c r="AA1200" s="1" t="str">
        <f>IFERROR(VLOOKUP(D:D,[1]Габариты!$A:$I,9,0),"")</f>
        <v>Вакансия</v>
      </c>
      <c r="AB1200" s="6" t="str">
        <f>IFERROR(VLOOKUP(D:D,[1]Габариты!$A:$D,4,0),"")</f>
        <v>СТЕЛЛАЖИ</v>
      </c>
      <c r="AC1200" s="39">
        <f t="shared" si="190"/>
        <v>4051</v>
      </c>
      <c r="AD1200" s="13" t="str">
        <f t="shared" si="191"/>
        <v>FBO</v>
      </c>
    </row>
    <row r="1201" spans="1:30" s="6" customFormat="1" ht="20.100000000000001" customHeight="1" outlineLevel="1" x14ac:dyDescent="0.25">
      <c r="A1201" s="633" t="s">
        <v>4153</v>
      </c>
      <c r="B1201" s="2"/>
      <c r="C1201" s="13" t="s">
        <v>2582</v>
      </c>
      <c r="D1201" s="44" t="s">
        <v>4151</v>
      </c>
      <c r="E1201" s="4">
        <v>27</v>
      </c>
      <c r="F1201" s="106" t="s">
        <v>6219</v>
      </c>
      <c r="G1201" s="57" t="s">
        <v>5157</v>
      </c>
      <c r="H1201" s="4" t="s">
        <v>6637</v>
      </c>
      <c r="I1201" s="4"/>
      <c r="J1201" s="4"/>
      <c r="K1201" s="54" t="s">
        <v>6219</v>
      </c>
      <c r="L1201" s="57">
        <v>1623479538</v>
      </c>
      <c r="M1201" s="57">
        <v>1623479538</v>
      </c>
      <c r="N1201" s="4" t="s">
        <v>4251</v>
      </c>
      <c r="O1201" s="4">
        <v>1601531534</v>
      </c>
      <c r="P1201" s="4">
        <v>1601531534</v>
      </c>
      <c r="Q1201" s="767"/>
      <c r="R1201" s="767"/>
      <c r="S1201" s="4"/>
      <c r="T1201" s="4"/>
      <c r="U1201" s="4"/>
      <c r="V1201" s="4"/>
      <c r="W1201" s="4"/>
      <c r="X1201" s="4" t="s">
        <v>4249</v>
      </c>
      <c r="Y1201" s="4"/>
      <c r="Z1201" s="35"/>
      <c r="AA1201" s="1" t="str">
        <f>IFERROR(VLOOKUP(D:D,[1]Габариты!$A:$I,9,0),"")</f>
        <v>Вакансия</v>
      </c>
      <c r="AB1201" s="6" t="str">
        <f>IFERROR(VLOOKUP(D:D,[1]Габариты!$A:$D,4,0),"")</f>
        <v>СТЕЛЛАЖИ</v>
      </c>
      <c r="AC1201" s="39" t="str">
        <f t="shared" si="190"/>
        <v>3709.05/01</v>
      </c>
      <c r="AD1201" s="13" t="str">
        <f t="shared" si="191"/>
        <v>FBO</v>
      </c>
    </row>
    <row r="1202" spans="1:30" s="6" customFormat="1" ht="20.100000000000001" customHeight="1" outlineLevel="1" x14ac:dyDescent="0.25">
      <c r="A1202" s="633" t="s">
        <v>4158</v>
      </c>
      <c r="B1202" s="25"/>
      <c r="C1202" s="13" t="s">
        <v>2582</v>
      </c>
      <c r="D1202" s="39">
        <v>3774</v>
      </c>
      <c r="E1202" s="4">
        <v>39</v>
      </c>
      <c r="F1202" s="101">
        <v>3774</v>
      </c>
      <c r="G1202" s="57"/>
      <c r="H1202" s="4" t="s">
        <v>6720</v>
      </c>
      <c r="I1202" s="4"/>
      <c r="J1202" s="4"/>
      <c r="K1202" s="54"/>
      <c r="L1202" s="57"/>
      <c r="M1202" s="57"/>
      <c r="N1202" s="4" t="s">
        <v>4210</v>
      </c>
      <c r="O1202" s="4">
        <v>1589900475</v>
      </c>
      <c r="P1202" s="4">
        <v>1589900475</v>
      </c>
      <c r="Q1202" s="767"/>
      <c r="R1202" s="767"/>
      <c r="S1202" s="4"/>
      <c r="T1202" s="4"/>
      <c r="U1202" s="4"/>
      <c r="V1202" s="4"/>
      <c r="W1202" s="4"/>
      <c r="X1202" s="4" t="s">
        <v>4210</v>
      </c>
      <c r="Y1202" s="4">
        <v>3774</v>
      </c>
      <c r="Z1202" s="35"/>
      <c r="AA1202" s="1" t="str">
        <f>IFERROR(VLOOKUP(D:D,[1]Габариты!$A:$I,9,0),"")</f>
        <v>Вакансия</v>
      </c>
      <c r="AB1202" s="6" t="str">
        <f>IFERROR(VLOOKUP(D:D,[1]Габариты!$A:$D,4,0),"")</f>
        <v>СТЕЛЛАЖИ</v>
      </c>
      <c r="AC1202" s="39">
        <f t="shared" si="190"/>
        <v>3774</v>
      </c>
      <c r="AD1202" s="13" t="str">
        <f t="shared" si="191"/>
        <v>FBO</v>
      </c>
    </row>
    <row r="1203" spans="1:30" s="6" customFormat="1" ht="20.100000000000001" customHeight="1" outlineLevel="1" x14ac:dyDescent="0.25">
      <c r="A1203" s="633" t="s">
        <v>4159</v>
      </c>
      <c r="B1203" s="25"/>
      <c r="C1203" s="13" t="s">
        <v>2582</v>
      </c>
      <c r="D1203" s="39" t="s">
        <v>4156</v>
      </c>
      <c r="E1203" s="4">
        <v>39</v>
      </c>
      <c r="F1203" s="101" t="s">
        <v>6230</v>
      </c>
      <c r="G1203" s="57"/>
      <c r="H1203" s="4" t="s">
        <v>6721</v>
      </c>
      <c r="I1203" s="4"/>
      <c r="J1203" s="4"/>
      <c r="K1203" s="54"/>
      <c r="L1203" s="57"/>
      <c r="M1203" s="57"/>
      <c r="N1203" s="4" t="s">
        <v>4220</v>
      </c>
      <c r="O1203" s="4">
        <v>1595599621</v>
      </c>
      <c r="P1203" s="4">
        <v>1595599621</v>
      </c>
      <c r="Q1203" s="767"/>
      <c r="R1203" s="767"/>
      <c r="S1203" s="4"/>
      <c r="T1203" s="4"/>
      <c r="U1203" s="4"/>
      <c r="V1203" s="4"/>
      <c r="W1203" s="4"/>
      <c r="X1203" s="4" t="s">
        <v>4220</v>
      </c>
      <c r="Y1203" s="4"/>
      <c r="Z1203" s="35"/>
      <c r="AA1203" s="1" t="str">
        <f>IFERROR(VLOOKUP(D:D,[1]Габариты!$A:$I,9,0),"")</f>
        <v>Вакансия</v>
      </c>
      <c r="AB1203" s="6" t="str">
        <f>IFERROR(VLOOKUP(D:D,[1]Габариты!$A:$D,4,0),"")</f>
        <v>СТЕЛЛАЖИ</v>
      </c>
      <c r="AC1203" s="39" t="str">
        <f t="shared" si="190"/>
        <v>3774.05/01</v>
      </c>
      <c r="AD1203" s="13" t="str">
        <f t="shared" si="191"/>
        <v>FBO</v>
      </c>
    </row>
    <row r="1204" spans="1:30" s="6" customFormat="1" ht="20.100000000000001" customHeight="1" outlineLevel="1" x14ac:dyDescent="0.25">
      <c r="A1204" s="633" t="s">
        <v>4160</v>
      </c>
      <c r="B1204" s="25"/>
      <c r="C1204" s="13" t="s">
        <v>2582</v>
      </c>
      <c r="D1204" s="39" t="s">
        <v>4157</v>
      </c>
      <c r="E1204" s="4">
        <v>39</v>
      </c>
      <c r="F1204" s="101" t="s">
        <v>6231</v>
      </c>
      <c r="G1204" s="57"/>
      <c r="H1204" s="4" t="s">
        <v>6722</v>
      </c>
      <c r="I1204" s="4"/>
      <c r="J1204" s="4"/>
      <c r="K1204" s="54"/>
      <c r="L1204" s="57"/>
      <c r="M1204" s="57"/>
      <c r="N1204" s="4" t="s">
        <v>4221</v>
      </c>
      <c r="O1204" s="4">
        <v>1595598497</v>
      </c>
      <c r="P1204" s="4">
        <v>1595598497</v>
      </c>
      <c r="Q1204" s="767"/>
      <c r="R1204" s="767"/>
      <c r="S1204" s="4"/>
      <c r="T1204" s="4"/>
      <c r="U1204" s="4"/>
      <c r="V1204" s="4"/>
      <c r="W1204" s="4"/>
      <c r="X1204" s="4" t="s">
        <v>4221</v>
      </c>
      <c r="Y1204" s="4"/>
      <c r="Z1204" s="35"/>
      <c r="AA1204" s="1" t="str">
        <f>IFERROR(VLOOKUP(D:D,[1]Габариты!$A:$I,9,0),"")</f>
        <v>Вакансия</v>
      </c>
      <c r="AB1204" s="6" t="str">
        <f>IFERROR(VLOOKUP(D:D,[1]Габариты!$A:$D,4,0),"")</f>
        <v>СТЕЛЛАЖИ</v>
      </c>
      <c r="AC1204" s="39" t="str">
        <f t="shared" si="190"/>
        <v>3774.09/01</v>
      </c>
      <c r="AD1204" s="13" t="str">
        <f t="shared" si="191"/>
        <v>FBO</v>
      </c>
    </row>
    <row r="1205" spans="1:30" s="6" customFormat="1" ht="20.100000000000001" customHeight="1" outlineLevel="1" x14ac:dyDescent="0.25">
      <c r="A1205" s="728" t="s">
        <v>7773</v>
      </c>
      <c r="B1205" s="215"/>
      <c r="C1205" s="13" t="s">
        <v>2582</v>
      </c>
      <c r="D1205" s="220" t="s">
        <v>7771</v>
      </c>
      <c r="E1205" s="4">
        <v>39</v>
      </c>
      <c r="F1205" s="218" t="s">
        <v>7772</v>
      </c>
      <c r="G1205" s="219"/>
      <c r="H1205" s="217" t="s">
        <v>7779</v>
      </c>
      <c r="I1205" s="217"/>
      <c r="J1205" s="217"/>
      <c r="K1205" s="218"/>
      <c r="L1205" s="219"/>
      <c r="M1205" s="219"/>
      <c r="N1205" s="217" t="s">
        <v>8047</v>
      </c>
      <c r="O1205" s="217">
        <v>1798496629</v>
      </c>
      <c r="P1205" s="217">
        <v>1798496629</v>
      </c>
      <c r="Q1205" s="824"/>
      <c r="R1205" s="824"/>
      <c r="S1205" s="217"/>
      <c r="T1205" s="217"/>
      <c r="U1205" s="217"/>
      <c r="V1205" s="217"/>
      <c r="W1205" s="217"/>
      <c r="X1205" s="217" t="s">
        <v>8047</v>
      </c>
      <c r="Y1205" s="217"/>
      <c r="Z1205" s="35"/>
      <c r="AA1205" s="1" t="str">
        <f>IFERROR(VLOOKUP(D:D,[1]Габариты!$A:$I,9,0),"")</f>
        <v>Вакансия</v>
      </c>
      <c r="AB1205" s="6" t="str">
        <f>IFERROR(VLOOKUP(D:D,[1]Габариты!$A:$D,4,0),"")</f>
        <v>СТЕЛЛАЖИ</v>
      </c>
      <c r="AC1205" s="39" t="str">
        <f t="shared" si="190"/>
        <v>3774.17/01</v>
      </c>
      <c r="AD1205" s="13" t="str">
        <f t="shared" si="191"/>
        <v>FBO</v>
      </c>
    </row>
    <row r="1206" spans="1:30" s="6" customFormat="1" ht="20.100000000000001" customHeight="1" outlineLevel="1" x14ac:dyDescent="0.25">
      <c r="A1206" s="633" t="s">
        <v>4263</v>
      </c>
      <c r="B1206" s="25"/>
      <c r="C1206" s="13" t="s">
        <v>2582</v>
      </c>
      <c r="D1206" s="44" t="s">
        <v>4261</v>
      </c>
      <c r="E1206" s="4">
        <v>20</v>
      </c>
      <c r="F1206" s="101" t="s">
        <v>6232</v>
      </c>
      <c r="G1206" s="57"/>
      <c r="H1206" s="4" t="s">
        <v>6723</v>
      </c>
      <c r="I1206" s="4"/>
      <c r="J1206" s="4"/>
      <c r="K1206" s="54"/>
      <c r="L1206" s="57"/>
      <c r="M1206" s="57"/>
      <c r="N1206" s="4" t="s">
        <v>4262</v>
      </c>
      <c r="O1206" s="4">
        <v>1603777669</v>
      </c>
      <c r="P1206" s="4">
        <v>1603777669</v>
      </c>
      <c r="Q1206" s="767"/>
      <c r="R1206" s="767"/>
      <c r="S1206" s="4"/>
      <c r="T1206" s="4"/>
      <c r="U1206" s="4"/>
      <c r="V1206" s="4"/>
      <c r="W1206" s="4"/>
      <c r="X1206" s="4" t="s">
        <v>4262</v>
      </c>
      <c r="Y1206" s="4"/>
      <c r="Z1206" s="35"/>
      <c r="AA1206" s="1" t="str">
        <f>IFERROR(VLOOKUP(D:D,[1]Габариты!$A:$I,9,0),"")</f>
        <v>Вакансия</v>
      </c>
      <c r="AB1206" s="6" t="str">
        <f>IFERROR(VLOOKUP(D:D,[1]Габариты!$A:$D,4,0),"")</f>
        <v>СТЕЛЛАЖИ</v>
      </c>
      <c r="AC1206" s="39" t="str">
        <f t="shared" si="190"/>
        <v>3897.05/01</v>
      </c>
      <c r="AD1206" s="13" t="str">
        <f t="shared" si="191"/>
        <v>FBO</v>
      </c>
    </row>
    <row r="1207" spans="1:30" s="6" customFormat="1" ht="20.100000000000001" customHeight="1" outlineLevel="1" x14ac:dyDescent="0.25">
      <c r="A1207" s="633" t="s">
        <v>4756</v>
      </c>
      <c r="B1207" s="25"/>
      <c r="C1207" s="13" t="s">
        <v>4328</v>
      </c>
      <c r="D1207" s="39" t="s">
        <v>4757</v>
      </c>
      <c r="E1207" s="4">
        <v>14</v>
      </c>
      <c r="F1207" s="101" t="s">
        <v>6313</v>
      </c>
      <c r="G1207" s="57" t="s">
        <v>5343</v>
      </c>
      <c r="H1207" s="4" t="s">
        <v>6728</v>
      </c>
      <c r="I1207" s="4"/>
      <c r="J1207" s="4"/>
      <c r="K1207" s="54" t="s">
        <v>6313</v>
      </c>
      <c r="L1207" s="57">
        <v>1648767299</v>
      </c>
      <c r="M1207" s="57">
        <v>1648767299</v>
      </c>
      <c r="N1207" s="65" t="s">
        <v>7449</v>
      </c>
      <c r="O1207" s="4">
        <v>1706189452</v>
      </c>
      <c r="P1207" s="4">
        <v>1706189452</v>
      </c>
      <c r="Q1207" s="767"/>
      <c r="R1207" s="767"/>
      <c r="S1207" s="4"/>
      <c r="T1207" s="4"/>
      <c r="U1207" s="4"/>
      <c r="V1207" s="4"/>
      <c r="W1207" s="4"/>
      <c r="X1207" s="4" t="s">
        <v>7449</v>
      </c>
      <c r="Y1207" s="4"/>
      <c r="Z1207" s="35"/>
      <c r="AA1207" s="1" t="str">
        <f>IFERROR(VLOOKUP(D:D,[1]Габариты!$A:$I,9,0),"")</f>
        <v>Вакансия</v>
      </c>
      <c r="AB1207" s="6" t="str">
        <f>IFERROR(VLOOKUP(D:D,[1]Габариты!$A:$D,4,0),"")</f>
        <v>СТЕЛЛАЖИ</v>
      </c>
      <c r="AC1207" s="39" t="str">
        <f t="shared" si="190"/>
        <v>4155.17.05/01</v>
      </c>
      <c r="AD1207" s="13" t="str">
        <f t="shared" si="191"/>
        <v>СКГТ</v>
      </c>
    </row>
    <row r="1208" spans="1:30" s="6" customFormat="1" ht="20.100000000000001" customHeight="1" outlineLevel="1" x14ac:dyDescent="0.25">
      <c r="A1208" s="732" t="s">
        <v>5651</v>
      </c>
      <c r="B1208" s="239"/>
      <c r="C1208" s="13" t="s">
        <v>2582</v>
      </c>
      <c r="D1208" s="245" t="s">
        <v>5387</v>
      </c>
      <c r="E1208" s="4">
        <v>24</v>
      </c>
      <c r="F1208" s="243" t="s">
        <v>6336</v>
      </c>
      <c r="G1208" s="244" t="s">
        <v>5377</v>
      </c>
      <c r="H1208" s="242" t="s">
        <v>5377</v>
      </c>
      <c r="I1208" s="242"/>
      <c r="J1208" s="242"/>
      <c r="K1208" s="243" t="s">
        <v>6336</v>
      </c>
      <c r="L1208" s="244">
        <v>1574930372</v>
      </c>
      <c r="M1208" s="244">
        <v>1574930372</v>
      </c>
      <c r="N1208" s="242" t="s">
        <v>8320</v>
      </c>
      <c r="O1208" s="242">
        <v>1904115687</v>
      </c>
      <c r="P1208" s="242">
        <v>1904115687</v>
      </c>
      <c r="Q1208" s="825"/>
      <c r="R1208" s="825"/>
      <c r="S1208" s="242"/>
      <c r="T1208" s="242"/>
      <c r="U1208" s="242"/>
      <c r="V1208" s="242"/>
      <c r="W1208" s="242"/>
      <c r="X1208" s="242" t="s">
        <v>8320</v>
      </c>
      <c r="Y1208" s="242"/>
      <c r="Z1208" s="35"/>
      <c r="AA1208" s="1" t="str">
        <f>IFERROR(VLOOKUP(D:D,[1]Габариты!$A:$I,9,0),"")</f>
        <v>Вакансия</v>
      </c>
      <c r="AB1208" s="6" t="str">
        <f>IFERROR(VLOOKUP(D:D,[1]Габариты!$A:$D,4,0),"")</f>
        <v>СТЕЛЛАЖИ</v>
      </c>
      <c r="AC1208" s="39" t="str">
        <f t="shared" si="190"/>
        <v>MK2502001</v>
      </c>
      <c r="AD1208" s="13" t="str">
        <f t="shared" si="191"/>
        <v>FBO</v>
      </c>
    </row>
    <row r="1209" spans="1:30" s="6" customFormat="1" ht="20.100000000000001" customHeight="1" outlineLevel="1" x14ac:dyDescent="0.25">
      <c r="A1209" s="635" t="s">
        <v>4202</v>
      </c>
      <c r="B1209" s="25"/>
      <c r="C1209" s="13" t="s">
        <v>2581</v>
      </c>
      <c r="D1209" s="39" t="s">
        <v>4199</v>
      </c>
      <c r="E1209" s="4">
        <v>13</v>
      </c>
      <c r="F1209" s="101" t="s">
        <v>4695</v>
      </c>
      <c r="G1209" s="57" t="s">
        <v>5221</v>
      </c>
      <c r="H1209" s="4" t="s">
        <v>6609</v>
      </c>
      <c r="I1209" s="4"/>
      <c r="J1209" s="4"/>
      <c r="K1209" s="54" t="s">
        <v>4695</v>
      </c>
      <c r="L1209" s="57">
        <v>1162247932</v>
      </c>
      <c r="M1209" s="57">
        <v>1162247932</v>
      </c>
      <c r="N1209" s="4" t="s">
        <v>8848</v>
      </c>
      <c r="O1209" s="4">
        <v>1604687336</v>
      </c>
      <c r="P1209" s="4">
        <v>1604687336</v>
      </c>
      <c r="Q1209" s="767"/>
      <c r="R1209" s="767"/>
      <c r="S1209" s="4"/>
      <c r="T1209" s="4"/>
      <c r="U1209" s="4"/>
      <c r="V1209" s="4"/>
      <c r="W1209" s="4"/>
      <c r="X1209" s="4"/>
      <c r="Y1209" s="4" t="s">
        <v>4199</v>
      </c>
      <c r="Z1209" s="35"/>
      <c r="AA1209" s="1" t="str">
        <f>IFERROR(VLOOKUP(D:D,[1]Габариты!$A:$I,9,0),"")</f>
        <v>Вакансия</v>
      </c>
      <c r="AB1209" s="6" t="str">
        <f>IFERROR(VLOOKUP(D:D,[1]Габариты!$A:$D,4,0),"")</f>
        <v>СТЕЛЛАЖИ</v>
      </c>
      <c r="AC1209" s="39" t="str">
        <f t="shared" si="190"/>
        <v>MK1600201</v>
      </c>
      <c r="AD1209" s="13" t="str">
        <f t="shared" si="191"/>
        <v>FBS</v>
      </c>
    </row>
    <row r="1210" spans="1:30" s="6" customFormat="1" ht="20.100000000000001" customHeight="1" outlineLevel="1" x14ac:dyDescent="0.25">
      <c r="A1210" s="633" t="s">
        <v>3927</v>
      </c>
      <c r="B1210" s="2"/>
      <c r="C1210" s="13" t="s">
        <v>2582</v>
      </c>
      <c r="D1210" s="39">
        <v>3810</v>
      </c>
      <c r="E1210" s="4">
        <v>32</v>
      </c>
      <c r="F1210" s="101">
        <v>3810</v>
      </c>
      <c r="G1210" s="57"/>
      <c r="H1210" s="4" t="s">
        <v>6627</v>
      </c>
      <c r="I1210" s="4"/>
      <c r="J1210" s="4"/>
      <c r="K1210" s="54" t="s">
        <v>7905</v>
      </c>
      <c r="L1210" s="57">
        <v>1843372325</v>
      </c>
      <c r="M1210" s="57">
        <v>1843372325</v>
      </c>
      <c r="N1210" s="4" t="s">
        <v>4024</v>
      </c>
      <c r="O1210" s="4">
        <v>1482993449</v>
      </c>
      <c r="P1210" s="4">
        <v>1482993449</v>
      </c>
      <c r="Q1210" s="767"/>
      <c r="R1210" s="767"/>
      <c r="S1210" s="4"/>
      <c r="T1210" s="4"/>
      <c r="U1210" s="4"/>
      <c r="V1210" s="4"/>
      <c r="W1210" s="4"/>
      <c r="X1210" s="4" t="s">
        <v>4024</v>
      </c>
      <c r="Y1210" s="4" t="s">
        <v>4066</v>
      </c>
      <c r="Z1210" s="35"/>
      <c r="AA1210" s="1" t="str">
        <f>IFERROR(VLOOKUP(D:D,[1]Габариты!$A:$I,9,0),"")</f>
        <v>Вакансия</v>
      </c>
      <c r="AB1210" s="6" t="str">
        <f>IFERROR(VLOOKUP(D:D,[1]Габариты!$A:$D,4,0),"")</f>
        <v>СТЕЛЛАЖИ</v>
      </c>
      <c r="AC1210" s="39">
        <f t="shared" si="190"/>
        <v>3810</v>
      </c>
      <c r="AD1210" s="13" t="str">
        <f t="shared" si="191"/>
        <v>FBO</v>
      </c>
    </row>
    <row r="1211" spans="1:30" s="6" customFormat="1" ht="20.100000000000001" customHeight="1" outlineLevel="1" x14ac:dyDescent="0.25">
      <c r="A1211" s="633" t="s">
        <v>3978</v>
      </c>
      <c r="B1211" s="2"/>
      <c r="C1211" s="13" t="s">
        <v>2582</v>
      </c>
      <c r="D1211" s="44" t="s">
        <v>3977</v>
      </c>
      <c r="E1211" s="4">
        <v>32</v>
      </c>
      <c r="F1211" s="106" t="s">
        <v>6215</v>
      </c>
      <c r="G1211" s="57" t="s">
        <v>8743</v>
      </c>
      <c r="H1211" s="4" t="s">
        <v>6628</v>
      </c>
      <c r="I1211" s="4"/>
      <c r="J1211" s="4"/>
      <c r="K1211" s="54"/>
      <c r="L1211" s="57"/>
      <c r="M1211" s="57"/>
      <c r="N1211" s="4" t="s">
        <v>4023</v>
      </c>
      <c r="O1211" s="4">
        <v>1482980955</v>
      </c>
      <c r="P1211" s="4">
        <v>1482980955</v>
      </c>
      <c r="Q1211" s="767"/>
      <c r="R1211" s="767"/>
      <c r="S1211" s="4"/>
      <c r="T1211" s="4"/>
      <c r="U1211" s="4"/>
      <c r="V1211" s="4"/>
      <c r="W1211" s="4"/>
      <c r="X1211" s="4" t="s">
        <v>4023</v>
      </c>
      <c r="Y1211" s="4" t="s">
        <v>4066</v>
      </c>
      <c r="Z1211" s="35"/>
      <c r="AA1211" s="1" t="str">
        <f>IFERROR(VLOOKUP(D:D,[1]Габариты!$A:$I,9,0),"")</f>
        <v>Вакансия</v>
      </c>
      <c r="AB1211" s="6" t="str">
        <f>IFERROR(VLOOKUP(D:D,[1]Габариты!$A:$D,4,0),"")</f>
        <v>СТЕЛЛАЖИ</v>
      </c>
      <c r="AC1211" s="39" t="str">
        <f t="shared" si="190"/>
        <v>3810.05/01</v>
      </c>
      <c r="AD1211" s="13" t="str">
        <f t="shared" si="191"/>
        <v>FBO</v>
      </c>
    </row>
    <row r="1212" spans="1:30" s="6" customFormat="1" ht="20.100000000000001" customHeight="1" outlineLevel="1" x14ac:dyDescent="0.25">
      <c r="A1212" s="633" t="s">
        <v>3963</v>
      </c>
      <c r="B1212" s="2"/>
      <c r="C1212" s="13" t="s">
        <v>2582</v>
      </c>
      <c r="D1212" s="44" t="s">
        <v>4069</v>
      </c>
      <c r="E1212" s="4">
        <v>32</v>
      </c>
      <c r="F1212" s="106" t="s">
        <v>6216</v>
      </c>
      <c r="G1212" s="57" t="s">
        <v>8744</v>
      </c>
      <c r="H1212" s="4" t="s">
        <v>6629</v>
      </c>
      <c r="I1212" s="4"/>
      <c r="J1212" s="4"/>
      <c r="K1212" s="54"/>
      <c r="L1212" s="57"/>
      <c r="M1212" s="57"/>
      <c r="N1212" s="4" t="s">
        <v>4181</v>
      </c>
      <c r="O1212" s="4">
        <v>1483019171</v>
      </c>
      <c r="P1212" s="4">
        <v>1483019171</v>
      </c>
      <c r="Q1212" s="767"/>
      <c r="R1212" s="767"/>
      <c r="S1212" s="4"/>
      <c r="T1212" s="4"/>
      <c r="U1212" s="4"/>
      <c r="V1212" s="4"/>
      <c r="W1212" s="4"/>
      <c r="X1212" s="4" t="s">
        <v>4181</v>
      </c>
      <c r="Y1212" s="4" t="s">
        <v>4066</v>
      </c>
      <c r="Z1212" s="35"/>
      <c r="AA1212" s="1" t="str">
        <f>IFERROR(VLOOKUP(D:D,[1]Габариты!$A:$I,9,0),"")</f>
        <v>Вакансия</v>
      </c>
      <c r="AB1212" s="6" t="str">
        <f>IFERROR(VLOOKUP(D:D,[1]Габариты!$A:$D,4,0),"")</f>
        <v>СТЕЛЛАЖИ</v>
      </c>
      <c r="AC1212" s="39" t="str">
        <f t="shared" si="190"/>
        <v>3810.06/01</v>
      </c>
      <c r="AD1212" s="13" t="str">
        <f t="shared" si="191"/>
        <v>FBO</v>
      </c>
    </row>
    <row r="1213" spans="1:30" s="6" customFormat="1" ht="20.100000000000001" customHeight="1" outlineLevel="1" x14ac:dyDescent="0.25">
      <c r="A1213" s="633" t="s">
        <v>3979</v>
      </c>
      <c r="B1213" s="2"/>
      <c r="C1213" s="13" t="s">
        <v>2582</v>
      </c>
      <c r="D1213" s="44" t="s">
        <v>3985</v>
      </c>
      <c r="E1213" s="4">
        <v>32</v>
      </c>
      <c r="F1213" s="106" t="s">
        <v>6218</v>
      </c>
      <c r="G1213" s="57" t="s">
        <v>5146</v>
      </c>
      <c r="H1213" s="4" t="s">
        <v>6631</v>
      </c>
      <c r="I1213" s="4"/>
      <c r="J1213" s="4"/>
      <c r="K1213" s="54" t="s">
        <v>6218</v>
      </c>
      <c r="L1213" s="57">
        <v>1411149533</v>
      </c>
      <c r="M1213" s="57">
        <v>1411149533</v>
      </c>
      <c r="N1213" s="4" t="s">
        <v>4039</v>
      </c>
      <c r="O1213" s="4">
        <v>1489285899</v>
      </c>
      <c r="P1213" s="4">
        <v>1489285899</v>
      </c>
      <c r="Q1213" s="767"/>
      <c r="R1213" s="767"/>
      <c r="S1213" s="4"/>
      <c r="T1213" s="4"/>
      <c r="U1213" s="4"/>
      <c r="V1213" s="4"/>
      <c r="W1213" s="4"/>
      <c r="X1213" s="4" t="s">
        <v>4105</v>
      </c>
      <c r="Y1213" s="4" t="s">
        <v>4066</v>
      </c>
      <c r="Z1213" s="35"/>
      <c r="AA1213" s="1" t="str">
        <f>IFERROR(VLOOKUP(D:D,[1]Габариты!$A:$I,9,0),"")</f>
        <v>Вакансия</v>
      </c>
      <c r="AB1213" s="6" t="str">
        <f>IFERROR(VLOOKUP(D:D,[1]Габариты!$A:$D,4,0),"")</f>
        <v>СТЕЛЛАЖИ</v>
      </c>
      <c r="AC1213" s="39" t="str">
        <f t="shared" si="190"/>
        <v>3810.20/01</v>
      </c>
      <c r="AD1213" s="13" t="str">
        <f t="shared" si="191"/>
        <v>FBO</v>
      </c>
    </row>
    <row r="1214" spans="1:30" s="6" customFormat="1" ht="20.100000000000001" customHeight="1" outlineLevel="1" x14ac:dyDescent="0.25">
      <c r="A1214" s="733" t="s">
        <v>8145</v>
      </c>
      <c r="B1214" s="332"/>
      <c r="C1214" s="333" t="s">
        <v>2582</v>
      </c>
      <c r="D1214" s="339" t="s">
        <v>5786</v>
      </c>
      <c r="E1214" s="335">
        <v>18</v>
      </c>
      <c r="F1214" s="336" t="s">
        <v>5762</v>
      </c>
      <c r="G1214" s="337" t="s">
        <v>5834</v>
      </c>
      <c r="H1214" s="335" t="s">
        <v>8227</v>
      </c>
      <c r="I1214" s="335"/>
      <c r="J1214" s="335"/>
      <c r="K1214" s="336" t="s">
        <v>5762</v>
      </c>
      <c r="L1214" s="337">
        <v>1404387122</v>
      </c>
      <c r="M1214" s="337">
        <v>1404387122</v>
      </c>
      <c r="N1214" s="335" t="s">
        <v>8318</v>
      </c>
      <c r="O1214" s="335"/>
      <c r="P1214" s="335"/>
      <c r="Q1214" s="852"/>
      <c r="R1214" s="852"/>
      <c r="S1214" s="335"/>
      <c r="T1214" s="335"/>
      <c r="U1214" s="335"/>
      <c r="V1214" s="335"/>
      <c r="W1214" s="335"/>
      <c r="X1214" s="335" t="s">
        <v>8318</v>
      </c>
      <c r="Y1214" s="335"/>
      <c r="Z1214" s="35"/>
      <c r="AA1214" s="1" t="str">
        <f>IFERROR(VLOOKUP(D:D,[1]Габариты!$A:$I,9,0),"")</f>
        <v>Вакансия</v>
      </c>
      <c r="AB1214" s="6" t="str">
        <f>IFERROR(VLOOKUP(D:D,[1]Габариты!$A:$D,4,0),"")</f>
        <v>СТЕЛЛАЖИ</v>
      </c>
      <c r="AC1214" s="39" t="str">
        <f t="shared" si="190"/>
        <v>MK1920101</v>
      </c>
      <c r="AD1214" s="13" t="str">
        <f t="shared" ref="AD1214" si="192">C1214</f>
        <v>FBO</v>
      </c>
    </row>
    <row r="1215" spans="1:30" s="6" customFormat="1" ht="20.100000000000001" customHeight="1" outlineLevel="1" x14ac:dyDescent="0.25">
      <c r="A1215" s="635" t="s">
        <v>1662</v>
      </c>
      <c r="B1215" s="25"/>
      <c r="C1215" s="13" t="s">
        <v>2581</v>
      </c>
      <c r="D1215" s="39" t="s">
        <v>1664</v>
      </c>
      <c r="E1215" s="4">
        <v>13</v>
      </c>
      <c r="F1215" s="101" t="s">
        <v>6211</v>
      </c>
      <c r="G1215" s="57" t="s">
        <v>5220</v>
      </c>
      <c r="H1215" s="4" t="s">
        <v>6595</v>
      </c>
      <c r="I1215" s="4"/>
      <c r="J1215" s="4"/>
      <c r="K1215" s="54" t="s">
        <v>6211</v>
      </c>
      <c r="L1215" s="57">
        <v>1161949340</v>
      </c>
      <c r="M1215" s="57">
        <v>1161949340</v>
      </c>
      <c r="N1215" s="4" t="s">
        <v>2620</v>
      </c>
      <c r="O1215" s="4">
        <v>814554312</v>
      </c>
      <c r="P1215" s="4">
        <v>814554313</v>
      </c>
      <c r="Q1215" s="767"/>
      <c r="R1215" s="767"/>
      <c r="S1215" s="4"/>
      <c r="T1215" s="4"/>
      <c r="U1215" s="4"/>
      <c r="V1215" s="4"/>
      <c r="W1215" s="4"/>
      <c r="X1215" s="4"/>
      <c r="Y1215" s="4" t="s">
        <v>1664</v>
      </c>
      <c r="Z1215" s="35"/>
      <c r="AA1215" s="1" t="str">
        <f>IFERROR(VLOOKUP(D:D,[1]Габариты!$A:$I,9,0),"")</f>
        <v>Вакансия</v>
      </c>
      <c r="AB1215" s="6" t="str">
        <f>IFERROR(VLOOKUP(D:D,[1]Габариты!$A:$D,4,0),"")</f>
        <v>СТЕЛЛАЖИ</v>
      </c>
      <c r="AC1215" s="39" t="str">
        <f t="shared" si="190"/>
        <v>MK1600101</v>
      </c>
      <c r="AD1215" s="13" t="str">
        <f>C1215</f>
        <v>FBS</v>
      </c>
    </row>
    <row r="1216" spans="1:30" s="6" customFormat="1" ht="20.100000000000001" customHeight="1" outlineLevel="1" x14ac:dyDescent="0.25">
      <c r="A1216" s="633" t="s">
        <v>4155</v>
      </c>
      <c r="B1216" s="2"/>
      <c r="C1216" s="13" t="s">
        <v>2582</v>
      </c>
      <c r="D1216" s="44" t="s">
        <v>4212</v>
      </c>
      <c r="E1216" s="4">
        <v>33</v>
      </c>
      <c r="F1216" s="106" t="s">
        <v>6220</v>
      </c>
      <c r="G1216" s="57"/>
      <c r="H1216" s="4" t="s">
        <v>6640</v>
      </c>
      <c r="I1216" s="4"/>
      <c r="J1216" s="4"/>
      <c r="K1216" s="54"/>
      <c r="L1216" s="57"/>
      <c r="M1216" s="57"/>
      <c r="N1216" s="4" t="s">
        <v>4208</v>
      </c>
      <c r="O1216" s="4">
        <v>1584044134</v>
      </c>
      <c r="P1216" s="4">
        <v>1584044134</v>
      </c>
      <c r="Q1216" s="767"/>
      <c r="R1216" s="767"/>
      <c r="S1216" s="4"/>
      <c r="T1216" s="4"/>
      <c r="U1216" s="4"/>
      <c r="V1216" s="4"/>
      <c r="W1216" s="4"/>
      <c r="X1216" s="4" t="s">
        <v>4208</v>
      </c>
      <c r="Y1216" s="4"/>
      <c r="Z1216" s="35"/>
      <c r="AA1216" s="1" t="str">
        <f>IFERROR(VLOOKUP(D:D,[1]Габариты!$A:$I,9,0),"")</f>
        <v>Вакансия</v>
      </c>
      <c r="AB1216" s="6" t="str">
        <f>IFERROR(VLOOKUP(D:D,[1]Габариты!$A:$D,4,0),"")</f>
        <v>СТЕЛЛАЖИ</v>
      </c>
      <c r="AC1216" s="39" t="str">
        <f t="shared" si="190"/>
        <v>3708.05/01</v>
      </c>
      <c r="AD1216" s="13" t="str">
        <f>C1216</f>
        <v>FBO</v>
      </c>
    </row>
    <row r="1217" spans="1:30" s="6" customFormat="1" ht="20.100000000000001" customHeight="1" outlineLevel="1" x14ac:dyDescent="0.25">
      <c r="A1217" s="716" t="s">
        <v>7958</v>
      </c>
      <c r="B1217" s="237"/>
      <c r="C1217" s="13" t="s">
        <v>2582</v>
      </c>
      <c r="D1217" s="233" t="s">
        <v>7957</v>
      </c>
      <c r="E1217" s="4">
        <v>33</v>
      </c>
      <c r="F1217" s="238" t="s">
        <v>7960</v>
      </c>
      <c r="G1217" s="236"/>
      <c r="H1217" s="234" t="s">
        <v>8026</v>
      </c>
      <c r="I1217" s="234"/>
      <c r="J1217" s="234"/>
      <c r="K1217" s="235"/>
      <c r="L1217" s="236"/>
      <c r="M1217" s="236"/>
      <c r="N1217" s="234" t="s">
        <v>8033</v>
      </c>
      <c r="O1217" s="234">
        <v>1774332772</v>
      </c>
      <c r="P1217" s="234">
        <v>1774332772</v>
      </c>
      <c r="Q1217" s="869"/>
      <c r="R1217" s="869"/>
      <c r="S1217" s="234"/>
      <c r="T1217" s="234"/>
      <c r="U1217" s="234"/>
      <c r="V1217" s="234"/>
      <c r="W1217" s="234"/>
      <c r="X1217" s="234" t="s">
        <v>8033</v>
      </c>
      <c r="Y1217" s="234"/>
      <c r="Z1217" s="35"/>
      <c r="AA1217" s="1" t="str">
        <f>IFERROR(VLOOKUP(D:D,[1]Габариты!$A:$I,9,0),"")</f>
        <v>Вакансия</v>
      </c>
      <c r="AB1217" s="6" t="str">
        <f>IFERROR(VLOOKUP(D:D,[1]Габариты!$A:$D,4,0),"")</f>
        <v>СТЕЛЛАЖИ</v>
      </c>
      <c r="AC1217" s="39" t="str">
        <f t="shared" si="190"/>
        <v>3708.17/01</v>
      </c>
      <c r="AD1217" s="13" t="str">
        <f>C1217</f>
        <v>FBO</v>
      </c>
    </row>
    <row r="1218" spans="1:30" s="6" customFormat="1" ht="20.100000000000001" customHeight="1" outlineLevel="1" x14ac:dyDescent="0.25">
      <c r="A1218" s="633" t="s">
        <v>3954</v>
      </c>
      <c r="B1218" s="25"/>
      <c r="C1218" s="13" t="s">
        <v>2582</v>
      </c>
      <c r="D1218" s="39" t="s">
        <v>3955</v>
      </c>
      <c r="E1218" s="4">
        <v>23</v>
      </c>
      <c r="F1218" s="101" t="s">
        <v>7939</v>
      </c>
      <c r="G1218" s="57"/>
      <c r="H1218" s="4" t="s">
        <v>6713</v>
      </c>
      <c r="I1218" s="4"/>
      <c r="J1218" s="4"/>
      <c r="K1218" s="54"/>
      <c r="L1218" s="57"/>
      <c r="M1218" s="57"/>
      <c r="N1218" s="4" t="s">
        <v>4041</v>
      </c>
      <c r="O1218" s="4">
        <v>1489420190</v>
      </c>
      <c r="P1218" s="4">
        <v>1489420190</v>
      </c>
      <c r="Q1218" s="767"/>
      <c r="R1218" s="767"/>
      <c r="S1218" s="4"/>
      <c r="T1218" s="4"/>
      <c r="U1218" s="4"/>
      <c r="V1218" s="4"/>
      <c r="W1218" s="4"/>
      <c r="X1218" s="4" t="s">
        <v>4041</v>
      </c>
      <c r="Y1218" s="4" t="s">
        <v>4066</v>
      </c>
      <c r="Z1218" s="35"/>
      <c r="AA1218" s="1" t="str">
        <f>IFERROR(VLOOKUP(D:D,[1]Габариты!$A:$I,9,0),"")</f>
        <v>Вакансия</v>
      </c>
      <c r="AB1218" s="6" t="str">
        <f>IFERROR(VLOOKUP(D:D,[1]Габариты!$A:$D,4,0),"")</f>
        <v>СТЕЛЛАЖИ</v>
      </c>
      <c r="AC1218" s="39" t="str">
        <f>D1218</f>
        <v>3711.09/01</v>
      </c>
      <c r="AD1218" s="13" t="str">
        <f>C1218</f>
        <v>FBO</v>
      </c>
    </row>
    <row r="1219" spans="1:30" s="6" customFormat="1" ht="20.100000000000001" customHeight="1" x14ac:dyDescent="0.25">
      <c r="A1219" s="631" t="s">
        <v>5872</v>
      </c>
      <c r="B1219" s="76"/>
      <c r="C1219" s="13" t="s">
        <v>2582</v>
      </c>
      <c r="D1219" s="349" t="s">
        <v>5793</v>
      </c>
      <c r="E1219" s="4">
        <v>16</v>
      </c>
      <c r="F1219" s="101" t="s">
        <v>5766</v>
      </c>
      <c r="G1219" s="75" t="s">
        <v>5841</v>
      </c>
      <c r="H1219" s="4" t="s">
        <v>5841</v>
      </c>
      <c r="I1219" s="73"/>
      <c r="J1219" s="73"/>
      <c r="K1219" s="54" t="s">
        <v>5766</v>
      </c>
      <c r="L1219" s="57">
        <v>1379789167</v>
      </c>
      <c r="M1219" s="57">
        <v>1379789167</v>
      </c>
      <c r="N1219" s="771" t="s">
        <v>8420</v>
      </c>
      <c r="O1219" s="73">
        <v>1897264010</v>
      </c>
      <c r="P1219" s="73">
        <v>1897264010</v>
      </c>
      <c r="Q1219" s="73"/>
      <c r="R1219" s="73"/>
      <c r="S1219" s="73"/>
      <c r="T1219" s="73"/>
      <c r="U1219" s="73"/>
      <c r="V1219" s="73"/>
      <c r="W1219" s="73"/>
      <c r="X1219" s="73"/>
      <c r="Y1219" s="73"/>
      <c r="Z1219" s="67"/>
      <c r="AA1219" s="1" t="str">
        <f>IFERROR(VLOOKUP(D:D,[1]Габариты!$A:$I,9,0),"")</f>
        <v>Вакансия</v>
      </c>
      <c r="AB1219" s="6" t="str">
        <f>IFERROR(VLOOKUP(D:D,[1]Габариты!$A:$D,4,0),"")</f>
        <v>СТЕЛЛАЖИ</v>
      </c>
      <c r="AC1219" s="39" t="str">
        <f>D1219</f>
        <v>MK2430101</v>
      </c>
      <c r="AD1219" s="13" t="str">
        <f>C1219</f>
        <v>FBO</v>
      </c>
    </row>
    <row r="1220" spans="1:30" s="1" customFormat="1" ht="20.100000000000001" customHeight="1" outlineLevel="1" x14ac:dyDescent="0.2">
      <c r="A1220" s="754" t="s">
        <v>440</v>
      </c>
      <c r="B1220" s="754" t="s">
        <v>3846</v>
      </c>
      <c r="C1220" s="13"/>
      <c r="D1220" s="42"/>
      <c r="E1220" s="4"/>
      <c r="F1220" s="101"/>
      <c r="G1220" s="57"/>
      <c r="H1220" s="4"/>
      <c r="I1220" s="4"/>
      <c r="J1220" s="4"/>
      <c r="K1220" s="54"/>
      <c r="L1220" s="57"/>
      <c r="M1220" s="57"/>
      <c r="N1220" s="766"/>
      <c r="O1220" s="4"/>
      <c r="P1220" s="4"/>
      <c r="Q1220" s="767"/>
      <c r="R1220" s="767"/>
      <c r="S1220" s="4"/>
      <c r="T1220" s="4"/>
      <c r="U1220" s="4"/>
      <c r="V1220" s="4"/>
      <c r="W1220" s="4"/>
      <c r="X1220" s="4"/>
      <c r="Y1220" s="4" t="s">
        <v>4066</v>
      </c>
      <c r="Z1220" s="35"/>
      <c r="AA1220" s="1" t="str">
        <f>IFERROR(VLOOKUP(D:D,[1]Габариты!$A:$I,9,0),"")</f>
        <v/>
      </c>
      <c r="AB1220" s="6" t="str">
        <f>IFERROR(VLOOKUP(D:D,[1]Габариты!$A:$D,4,0),"")</f>
        <v/>
      </c>
      <c r="AC1220" s="39"/>
      <c r="AD1220" s="3"/>
    </row>
    <row r="1221" spans="1:30" s="6" customFormat="1" ht="20.100000000000001" customHeight="1" outlineLevel="1" x14ac:dyDescent="0.25">
      <c r="A1221" s="635" t="s">
        <v>115</v>
      </c>
      <c r="B1221" s="3"/>
      <c r="C1221" s="13" t="s">
        <v>2581</v>
      </c>
      <c r="D1221" s="39">
        <v>2850</v>
      </c>
      <c r="E1221" s="4">
        <v>28</v>
      </c>
      <c r="F1221" s="101">
        <v>2850</v>
      </c>
      <c r="G1221" s="57" t="s">
        <v>4882</v>
      </c>
      <c r="H1221" s="4"/>
      <c r="I1221" s="4"/>
      <c r="J1221" s="4"/>
      <c r="K1221" s="54" t="s">
        <v>2308</v>
      </c>
      <c r="L1221" s="57">
        <v>1348871092</v>
      </c>
      <c r="M1221" s="57">
        <v>1348871092</v>
      </c>
      <c r="N1221" s="766"/>
      <c r="O1221" s="4"/>
      <c r="P1221" s="4"/>
      <c r="Q1221" s="767"/>
      <c r="R1221" s="767"/>
      <c r="S1221" s="4"/>
      <c r="T1221" s="4"/>
      <c r="U1221" s="4"/>
      <c r="V1221" s="4"/>
      <c r="W1221" s="4" t="s">
        <v>2308</v>
      </c>
      <c r="X1221" s="4"/>
      <c r="Y1221" s="4" t="s">
        <v>4066</v>
      </c>
      <c r="Z1221" s="35"/>
      <c r="AA1221" s="1" t="str">
        <f>IFERROR(VLOOKUP(D:D,[1]Габариты!$A:$I,9,0),"")</f>
        <v>Вакансия</v>
      </c>
      <c r="AB1221" s="6" t="str">
        <f>IFERROR(VLOOKUP(D:D,[1]Габариты!$A:$D,4,0),"")</f>
        <v>СТОЛИКИ ЖУРНАЛЬНЫЕ</v>
      </c>
      <c r="AC1221" s="39">
        <f t="shared" si="186"/>
        <v>2850</v>
      </c>
      <c r="AD1221" s="13" t="str">
        <f t="shared" si="184"/>
        <v>FBS</v>
      </c>
    </row>
    <row r="1222" spans="1:30" s="6" customFormat="1" ht="20.100000000000001" customHeight="1" outlineLevel="1" x14ac:dyDescent="0.25">
      <c r="A1222" s="635" t="s">
        <v>492</v>
      </c>
      <c r="B1222" s="25"/>
      <c r="C1222" s="13" t="s">
        <v>2581</v>
      </c>
      <c r="D1222" s="39">
        <v>2622</v>
      </c>
      <c r="E1222" s="4">
        <v>28</v>
      </c>
      <c r="F1222" s="101">
        <v>2622</v>
      </c>
      <c r="G1222" s="57" t="s">
        <v>4840</v>
      </c>
      <c r="H1222" s="4"/>
      <c r="I1222" s="4"/>
      <c r="J1222" s="4"/>
      <c r="K1222" s="54" t="s">
        <v>2309</v>
      </c>
      <c r="L1222" s="57">
        <v>208839283</v>
      </c>
      <c r="M1222" s="57">
        <v>208839283</v>
      </c>
      <c r="N1222" s="766"/>
      <c r="O1222" s="4"/>
      <c r="P1222" s="4"/>
      <c r="Q1222" s="767"/>
      <c r="R1222" s="767"/>
      <c r="S1222" s="4"/>
      <c r="T1222" s="4"/>
      <c r="U1222" s="4"/>
      <c r="V1222" s="4"/>
      <c r="W1222" s="4" t="s">
        <v>2309</v>
      </c>
      <c r="X1222" s="4"/>
      <c r="Y1222" s="4" t="s">
        <v>4066</v>
      </c>
      <c r="Z1222" s="35"/>
      <c r="AA1222" s="1" t="str">
        <f>IFERROR(VLOOKUP(D:D,[1]Габариты!$A:$I,9,0),"")</f>
        <v>Вакансия</v>
      </c>
      <c r="AB1222" s="6" t="str">
        <f>IFERROR(VLOOKUP(D:D,[1]Габариты!$A:$D,4,0),"")</f>
        <v>СТОЛИКИ ЖУРНАЛЬНЫЕ</v>
      </c>
      <c r="AC1222" s="39">
        <f t="shared" si="186"/>
        <v>2622</v>
      </c>
      <c r="AD1222" s="13" t="str">
        <f t="shared" si="184"/>
        <v>FBS</v>
      </c>
    </row>
    <row r="1223" spans="1:30" s="6" customFormat="1" ht="20.100000000000001" customHeight="1" outlineLevel="1" x14ac:dyDescent="0.25">
      <c r="A1223" s="635" t="s">
        <v>60</v>
      </c>
      <c r="B1223" s="3"/>
      <c r="C1223" s="13" t="s">
        <v>2582</v>
      </c>
      <c r="D1223" s="39">
        <v>2464</v>
      </c>
      <c r="E1223" s="4">
        <v>30</v>
      </c>
      <c r="F1223" s="101">
        <v>2464</v>
      </c>
      <c r="G1223" s="57" t="s">
        <v>4783</v>
      </c>
      <c r="H1223" s="4"/>
      <c r="I1223" s="4"/>
      <c r="J1223" s="4"/>
      <c r="K1223" s="54" t="s">
        <v>2310</v>
      </c>
      <c r="L1223" s="57">
        <v>174770370</v>
      </c>
      <c r="M1223" s="57">
        <v>174770370</v>
      </c>
      <c r="N1223" s="4" t="s">
        <v>3769</v>
      </c>
      <c r="O1223" s="4">
        <v>267849641</v>
      </c>
      <c r="P1223" s="4">
        <v>267849645</v>
      </c>
      <c r="Q1223" s="767" t="s">
        <v>2820</v>
      </c>
      <c r="R1223" s="767">
        <v>357352100</v>
      </c>
      <c r="S1223" s="4">
        <v>357352101</v>
      </c>
      <c r="T1223" s="4"/>
      <c r="U1223" s="4"/>
      <c r="V1223" s="4"/>
      <c r="W1223" s="4" t="s">
        <v>2310</v>
      </c>
      <c r="X1223" s="4"/>
      <c r="Y1223" s="4" t="s">
        <v>4066</v>
      </c>
      <c r="Z1223" s="35"/>
      <c r="AA1223" s="1" t="str">
        <f>IFERROR(VLOOKUP(D:D,[1]Габариты!$A:$I,9,0),"")</f>
        <v>Вакансия</v>
      </c>
      <c r="AB1223" s="6" t="str">
        <f>IFERROR(VLOOKUP(D:D,[1]Габариты!$A:$D,4,0),"")</f>
        <v>СТОЛИКИ ЖУРНАЛЬНЫЕ</v>
      </c>
      <c r="AC1223" s="39">
        <f t="shared" si="186"/>
        <v>2464</v>
      </c>
      <c r="AD1223" s="13" t="str">
        <f t="shared" si="184"/>
        <v>FBO</v>
      </c>
    </row>
    <row r="1224" spans="1:30" s="6" customFormat="1" ht="20.100000000000001" customHeight="1" outlineLevel="1" x14ac:dyDescent="0.25">
      <c r="A1224" s="635" t="s">
        <v>139</v>
      </c>
      <c r="B1224" s="3"/>
      <c r="C1224" s="13" t="s">
        <v>2582</v>
      </c>
      <c r="D1224" s="39">
        <v>2554</v>
      </c>
      <c r="E1224" s="4">
        <v>30</v>
      </c>
      <c r="F1224" s="101">
        <v>2554</v>
      </c>
      <c r="G1224" s="57"/>
      <c r="H1224" s="4"/>
      <c r="I1224" s="4"/>
      <c r="J1224" s="4"/>
      <c r="K1224" s="54" t="s">
        <v>2314</v>
      </c>
      <c r="L1224" s="57">
        <v>172462376</v>
      </c>
      <c r="M1224" s="57">
        <v>172462376</v>
      </c>
      <c r="N1224" s="4" t="s">
        <v>2623</v>
      </c>
      <c r="O1224" s="4">
        <v>305448690</v>
      </c>
      <c r="P1224" s="4">
        <v>305448719</v>
      </c>
      <c r="Q1224" s="767" t="s">
        <v>2824</v>
      </c>
      <c r="R1224" s="767">
        <v>358464663</v>
      </c>
      <c r="S1224" s="4">
        <v>358464662</v>
      </c>
      <c r="T1224" s="4"/>
      <c r="U1224" s="4"/>
      <c r="V1224" s="4"/>
      <c r="W1224" s="4" t="s">
        <v>2314</v>
      </c>
      <c r="X1224" s="4"/>
      <c r="Y1224" s="4" t="s">
        <v>4066</v>
      </c>
      <c r="Z1224" s="35"/>
      <c r="AA1224" s="1" t="str">
        <f>IFERROR(VLOOKUP(D:D,[1]Габариты!$A:$I,9,0),"")</f>
        <v>Вакансия</v>
      </c>
      <c r="AB1224" s="6" t="str">
        <f>IFERROR(VLOOKUP(D:D,[1]Габариты!$A:$D,4,0),"")</f>
        <v>СТОЛИКИ ЖУРНАЛЬНЫЕ</v>
      </c>
      <c r="AC1224" s="39">
        <f t="shared" si="186"/>
        <v>2554</v>
      </c>
      <c r="AD1224" s="13" t="str">
        <f t="shared" si="184"/>
        <v>FBO</v>
      </c>
    </row>
    <row r="1225" spans="1:30" s="6" customFormat="1" ht="20.100000000000001" customHeight="1" outlineLevel="1" x14ac:dyDescent="0.25">
      <c r="A1225" s="635" t="s">
        <v>513</v>
      </c>
      <c r="B1225" s="3"/>
      <c r="C1225" s="13" t="s">
        <v>2582</v>
      </c>
      <c r="D1225" s="39">
        <v>2567</v>
      </c>
      <c r="E1225" s="4">
        <v>30</v>
      </c>
      <c r="F1225" s="101">
        <v>2567</v>
      </c>
      <c r="G1225" s="57" t="s">
        <v>4817</v>
      </c>
      <c r="H1225" s="4"/>
      <c r="I1225" s="4"/>
      <c r="J1225" s="4"/>
      <c r="K1225" s="54" t="s">
        <v>2315</v>
      </c>
      <c r="L1225" s="57">
        <v>177833680</v>
      </c>
      <c r="M1225" s="57">
        <v>177833680</v>
      </c>
      <c r="N1225" s="766"/>
      <c r="O1225" s="4"/>
      <c r="P1225" s="4"/>
      <c r="Q1225" s="767"/>
      <c r="R1225" s="767"/>
      <c r="S1225" s="4"/>
      <c r="T1225" s="4"/>
      <c r="U1225" s="4"/>
      <c r="V1225" s="4"/>
      <c r="W1225" s="4" t="s">
        <v>2315</v>
      </c>
      <c r="X1225" s="4"/>
      <c r="Y1225" s="4" t="s">
        <v>4066</v>
      </c>
      <c r="Z1225" s="35"/>
      <c r="AA1225" s="1" t="str">
        <f>IFERROR(VLOOKUP(D:D,[1]Габариты!$A:$I,9,0),"")</f>
        <v>Вакансия</v>
      </c>
      <c r="AB1225" s="6" t="str">
        <f>IFERROR(VLOOKUP(D:D,[1]Габариты!$A:$D,4,0),"")</f>
        <v>СТОЛИКИ ЖУРНАЛЬНЫЕ</v>
      </c>
      <c r="AC1225" s="39">
        <f t="shared" si="186"/>
        <v>2567</v>
      </c>
      <c r="AD1225" s="13" t="str">
        <f t="shared" si="184"/>
        <v>FBO</v>
      </c>
    </row>
    <row r="1226" spans="1:30" s="6" customFormat="1" ht="20.100000000000001" customHeight="1" outlineLevel="1" x14ac:dyDescent="0.25">
      <c r="A1226" s="635" t="s">
        <v>135</v>
      </c>
      <c r="B1226" s="3"/>
      <c r="C1226" s="13" t="s">
        <v>2582</v>
      </c>
      <c r="D1226" s="39">
        <v>2459</v>
      </c>
      <c r="E1226" s="4">
        <v>63</v>
      </c>
      <c r="F1226" s="101">
        <v>2459</v>
      </c>
      <c r="G1226" s="57" t="s">
        <v>4780</v>
      </c>
      <c r="H1226" s="4"/>
      <c r="I1226" s="4"/>
      <c r="J1226" s="4"/>
      <c r="K1226" s="54"/>
      <c r="L1226" s="57"/>
      <c r="M1226" s="57"/>
      <c r="N1226" s="4" t="s">
        <v>573</v>
      </c>
      <c r="O1226" s="4">
        <v>298430638</v>
      </c>
      <c r="P1226" s="4">
        <v>298430661</v>
      </c>
      <c r="Q1226" s="767" t="s">
        <v>2825</v>
      </c>
      <c r="R1226" s="767">
        <v>364423116</v>
      </c>
      <c r="S1226" s="4">
        <v>364423115</v>
      </c>
      <c r="T1226" s="4"/>
      <c r="U1226" s="4"/>
      <c r="V1226" s="4"/>
      <c r="W1226" s="4" t="s">
        <v>2317</v>
      </c>
      <c r="X1226" s="4" t="s">
        <v>573</v>
      </c>
      <c r="Y1226" s="4" t="s">
        <v>4066</v>
      </c>
      <c r="Z1226" s="35"/>
      <c r="AA1226" s="1" t="str">
        <f>IFERROR(VLOOKUP(D:D,[1]Габариты!$A:$I,9,0),"")</f>
        <v>Вакансия</v>
      </c>
      <c r="AB1226" s="6" t="str">
        <f>IFERROR(VLOOKUP(D:D,[1]Габариты!$A:$D,4,0),"")</f>
        <v>СТОЛИКИ ЖУРНАЛЬНЫЕ</v>
      </c>
      <c r="AC1226" s="39">
        <f t="shared" si="186"/>
        <v>2459</v>
      </c>
      <c r="AD1226" s="13" t="str">
        <f t="shared" si="184"/>
        <v>FBO</v>
      </c>
    </row>
    <row r="1227" spans="1:30" s="6" customFormat="1" ht="20.100000000000001" customHeight="1" outlineLevel="1" x14ac:dyDescent="0.25">
      <c r="A1227" s="635" t="s">
        <v>68</v>
      </c>
      <c r="B1227" s="3"/>
      <c r="C1227" s="13" t="s">
        <v>2581</v>
      </c>
      <c r="D1227" s="39">
        <v>2483</v>
      </c>
      <c r="E1227" s="4">
        <v>29</v>
      </c>
      <c r="F1227" s="101">
        <v>2483</v>
      </c>
      <c r="G1227" s="57"/>
      <c r="H1227" s="4" t="s">
        <v>7208</v>
      </c>
      <c r="I1227" s="4"/>
      <c r="J1227" s="4"/>
      <c r="K1227" s="54"/>
      <c r="L1227" s="57"/>
      <c r="M1227" s="57"/>
      <c r="N1227" s="766"/>
      <c r="O1227" s="4"/>
      <c r="P1227" s="4"/>
      <c r="Q1227" s="767" t="s">
        <v>2826</v>
      </c>
      <c r="R1227" s="767">
        <v>347736574</v>
      </c>
      <c r="S1227" s="4">
        <v>347736590</v>
      </c>
      <c r="T1227" s="4"/>
      <c r="U1227" s="4"/>
      <c r="V1227" s="4"/>
      <c r="W1227" s="4" t="s">
        <v>2318</v>
      </c>
      <c r="X1227" s="4"/>
      <c r="Y1227" s="4" t="s">
        <v>4066</v>
      </c>
      <c r="Z1227" s="35"/>
      <c r="AA1227" s="1" t="str">
        <f>IFERROR(VLOOKUP(D:D,[1]Габариты!$A:$I,9,0),"")</f>
        <v>Вакансия</v>
      </c>
      <c r="AB1227" s="6" t="str">
        <f>IFERROR(VLOOKUP(D:D,[1]Габариты!$A:$D,4,0),"")</f>
        <v>СТОЛИКИ ЖУРНАЛЬНЫЕ</v>
      </c>
      <c r="AC1227" s="39">
        <f t="shared" si="186"/>
        <v>2483</v>
      </c>
      <c r="AD1227" s="13" t="str">
        <f t="shared" si="184"/>
        <v>FBS</v>
      </c>
    </row>
    <row r="1228" spans="1:30" s="6" customFormat="1" ht="20.100000000000001" customHeight="1" outlineLevel="1" x14ac:dyDescent="0.25">
      <c r="A1228" s="635" t="s">
        <v>70</v>
      </c>
      <c r="B1228" s="3"/>
      <c r="C1228" s="13" t="s">
        <v>2582</v>
      </c>
      <c r="D1228" s="39">
        <v>2474</v>
      </c>
      <c r="E1228" s="4">
        <v>42</v>
      </c>
      <c r="F1228" s="101">
        <v>2474</v>
      </c>
      <c r="G1228" s="57" t="s">
        <v>4787</v>
      </c>
      <c r="H1228" s="4" t="s">
        <v>7209</v>
      </c>
      <c r="I1228" s="4"/>
      <c r="J1228" s="4"/>
      <c r="K1228" s="54" t="s">
        <v>2322</v>
      </c>
      <c r="L1228" s="57">
        <v>181828130</v>
      </c>
      <c r="M1228" s="57">
        <v>181828130</v>
      </c>
      <c r="N1228" s="4" t="s">
        <v>578</v>
      </c>
      <c r="O1228" s="4">
        <v>266953960</v>
      </c>
      <c r="P1228" s="4">
        <v>266953965</v>
      </c>
      <c r="Q1228" s="767" t="s">
        <v>2829</v>
      </c>
      <c r="R1228" s="767">
        <v>347827023</v>
      </c>
      <c r="S1228" s="4">
        <v>347827044</v>
      </c>
      <c r="T1228" s="4"/>
      <c r="U1228" s="4"/>
      <c r="V1228" s="4"/>
      <c r="W1228" s="4" t="s">
        <v>2322</v>
      </c>
      <c r="X1228" s="4" t="s">
        <v>578</v>
      </c>
      <c r="Y1228" s="4" t="s">
        <v>4066</v>
      </c>
      <c r="Z1228" s="35"/>
      <c r="AA1228" s="1" t="str">
        <f>IFERROR(VLOOKUP(D:D,[1]Габариты!$A:$I,9,0),"")</f>
        <v>Вакансия</v>
      </c>
      <c r="AB1228" s="6" t="str">
        <f>IFERROR(VLOOKUP(D:D,[1]Габариты!$A:$D,4,0),"")</f>
        <v>СТОЛИКИ ЖУРНАЛЬНЫЕ</v>
      </c>
      <c r="AC1228" s="39">
        <f t="shared" si="186"/>
        <v>2474</v>
      </c>
      <c r="AD1228" s="13" t="str">
        <f t="shared" si="184"/>
        <v>FBO</v>
      </c>
    </row>
    <row r="1229" spans="1:30" s="6" customFormat="1" ht="20.100000000000001" customHeight="1" outlineLevel="1" x14ac:dyDescent="0.25">
      <c r="A1229" s="635" t="s">
        <v>501</v>
      </c>
      <c r="B1229" s="24"/>
      <c r="C1229" s="13" t="s">
        <v>2581</v>
      </c>
      <c r="D1229" s="40">
        <v>3156</v>
      </c>
      <c r="E1229" s="4">
        <v>17</v>
      </c>
      <c r="F1229" s="101">
        <v>3156</v>
      </c>
      <c r="G1229" s="57" t="s">
        <v>5030</v>
      </c>
      <c r="H1229" s="4"/>
      <c r="I1229" s="4"/>
      <c r="J1229" s="4"/>
      <c r="K1229" s="54"/>
      <c r="L1229" s="57"/>
      <c r="M1229" s="57"/>
      <c r="N1229" s="766"/>
      <c r="O1229" s="4"/>
      <c r="P1229" s="4"/>
      <c r="Q1229" s="767"/>
      <c r="R1229" s="767"/>
      <c r="S1229" s="4"/>
      <c r="T1229" s="4"/>
      <c r="U1229" s="4"/>
      <c r="V1229" s="4"/>
      <c r="W1229" s="4" t="s">
        <v>2326</v>
      </c>
      <c r="X1229" s="4"/>
      <c r="Y1229" s="4" t="s">
        <v>4066</v>
      </c>
      <c r="Z1229" s="35"/>
      <c r="AA1229" s="1" t="str">
        <f>IFERROR(VLOOKUP(D:D,[1]Габариты!$A:$I,9,0),"")</f>
        <v>Вакансия</v>
      </c>
      <c r="AB1229" s="6" t="str">
        <f>IFERROR(VLOOKUP(D:D,[1]Габариты!$A:$D,4,0),"")</f>
        <v>СТОЛИКИ ЖУРНАЛЬНЫЕ</v>
      </c>
      <c r="AC1229" s="39">
        <f t="shared" si="186"/>
        <v>3156</v>
      </c>
      <c r="AD1229" s="13" t="str">
        <f t="shared" si="184"/>
        <v>FBS</v>
      </c>
    </row>
    <row r="1230" spans="1:30" s="6" customFormat="1" ht="20.100000000000001" customHeight="1" outlineLevel="1" x14ac:dyDescent="0.25">
      <c r="A1230" s="635" t="s">
        <v>502</v>
      </c>
      <c r="B1230" s="24"/>
      <c r="C1230" s="13" t="s">
        <v>2582</v>
      </c>
      <c r="D1230" s="40">
        <v>3158</v>
      </c>
      <c r="E1230" s="4">
        <v>18</v>
      </c>
      <c r="F1230" s="101">
        <v>3158</v>
      </c>
      <c r="G1230" s="57" t="s">
        <v>5032</v>
      </c>
      <c r="H1230" s="4" t="s">
        <v>7210</v>
      </c>
      <c r="I1230" s="4"/>
      <c r="J1230" s="4"/>
      <c r="K1230" s="54"/>
      <c r="L1230" s="57"/>
      <c r="M1230" s="57"/>
      <c r="N1230" s="766"/>
      <c r="O1230" s="4"/>
      <c r="P1230" s="4"/>
      <c r="Q1230" s="767"/>
      <c r="R1230" s="767"/>
      <c r="S1230" s="4"/>
      <c r="T1230" s="4"/>
      <c r="U1230" s="4"/>
      <c r="V1230" s="4"/>
      <c r="W1230" s="4" t="s">
        <v>2327</v>
      </c>
      <c r="X1230" s="4"/>
      <c r="Y1230" s="4" t="s">
        <v>4066</v>
      </c>
      <c r="Z1230" s="35"/>
      <c r="AA1230" s="1" t="str">
        <f>IFERROR(VLOOKUP(D:D,[1]Габариты!$A:$I,9,0),"")</f>
        <v>Вакансия</v>
      </c>
      <c r="AB1230" s="6" t="str">
        <f>IFERROR(VLOOKUP(D:D,[1]Габариты!$A:$D,4,0),"")</f>
        <v>СТОЛИКИ ЖУРНАЛЬНЫЕ</v>
      </c>
      <c r="AC1230" s="39">
        <f t="shared" si="186"/>
        <v>3158</v>
      </c>
      <c r="AD1230" s="13" t="str">
        <f t="shared" si="184"/>
        <v>FBO</v>
      </c>
    </row>
    <row r="1231" spans="1:30" s="6" customFormat="1" ht="20.100000000000001" customHeight="1" outlineLevel="1" x14ac:dyDescent="0.25">
      <c r="A1231" s="635" t="s">
        <v>1724</v>
      </c>
      <c r="B1231" s="24"/>
      <c r="C1231" s="13" t="s">
        <v>2581</v>
      </c>
      <c r="D1231" s="40">
        <v>135560</v>
      </c>
      <c r="E1231" s="4">
        <v>36</v>
      </c>
      <c r="F1231" s="101">
        <v>135560</v>
      </c>
      <c r="G1231" s="57"/>
      <c r="H1231" s="4" t="s">
        <v>7211</v>
      </c>
      <c r="I1231" s="4" t="s">
        <v>2567</v>
      </c>
      <c r="J1231" s="4" t="s">
        <v>1953</v>
      </c>
      <c r="K1231" s="54"/>
      <c r="L1231" s="57"/>
      <c r="M1231" s="57"/>
      <c r="N1231" s="4" t="s">
        <v>2624</v>
      </c>
      <c r="O1231" s="4">
        <v>849772157</v>
      </c>
      <c r="P1231" s="4">
        <v>849772158</v>
      </c>
      <c r="Q1231" s="767"/>
      <c r="R1231" s="767"/>
      <c r="S1231" s="4"/>
      <c r="T1231" s="4"/>
      <c r="U1231" s="4"/>
      <c r="V1231" s="4"/>
      <c r="W1231" s="4"/>
      <c r="X1231" s="4"/>
      <c r="Y1231" s="4" t="s">
        <v>4066</v>
      </c>
      <c r="Z1231" s="35"/>
      <c r="AA1231" s="1" t="str">
        <f>IFERROR(VLOOKUP(D:D,[1]Габариты!$A:$I,9,0),"")</f>
        <v>Вакансия</v>
      </c>
      <c r="AB1231" s="6" t="str">
        <f>IFERROR(VLOOKUP(D:D,[1]Габариты!$A:$D,4,0),"")</f>
        <v>СТОЛИКИ ЖУРНАЛЬНЫЕ</v>
      </c>
      <c r="AC1231" s="39">
        <f t="shared" si="186"/>
        <v>135560</v>
      </c>
      <c r="AD1231" s="13" t="str">
        <f t="shared" si="184"/>
        <v>FBS</v>
      </c>
    </row>
    <row r="1232" spans="1:30" s="6" customFormat="1" ht="20.100000000000001" customHeight="1" outlineLevel="1" x14ac:dyDescent="0.25">
      <c r="A1232" s="635" t="s">
        <v>1819</v>
      </c>
      <c r="B1232" s="24"/>
      <c r="C1232" s="13" t="s">
        <v>2581</v>
      </c>
      <c r="D1232" s="40">
        <v>135562</v>
      </c>
      <c r="E1232" s="4">
        <v>36</v>
      </c>
      <c r="F1232" s="101">
        <v>135562</v>
      </c>
      <c r="G1232" s="57"/>
      <c r="H1232" s="4" t="s">
        <v>7212</v>
      </c>
      <c r="I1232" s="4" t="s">
        <v>2568</v>
      </c>
      <c r="J1232" s="4" t="s">
        <v>1954</v>
      </c>
      <c r="K1232" s="54"/>
      <c r="L1232" s="57"/>
      <c r="M1232" s="57"/>
      <c r="N1232" s="4" t="s">
        <v>2625</v>
      </c>
      <c r="O1232" s="4">
        <v>907708704</v>
      </c>
      <c r="P1232" s="4">
        <v>907708705</v>
      </c>
      <c r="Q1232" s="767"/>
      <c r="R1232" s="767"/>
      <c r="S1232" s="4"/>
      <c r="T1232" s="4"/>
      <c r="U1232" s="4"/>
      <c r="V1232" s="4"/>
      <c r="W1232" s="4"/>
      <c r="X1232" s="4"/>
      <c r="Y1232" s="4" t="s">
        <v>4066</v>
      </c>
      <c r="Z1232" s="35"/>
      <c r="AA1232" s="1" t="str">
        <f>IFERROR(VLOOKUP(D:D,[1]Габариты!$A:$I,9,0),"")</f>
        <v>Вакансия</v>
      </c>
      <c r="AB1232" s="6" t="str">
        <f>IFERROR(VLOOKUP(D:D,[1]Габариты!$A:$D,4,0),"")</f>
        <v>СТОЛИКИ ЖУРНАЛЬНЫЕ</v>
      </c>
      <c r="AC1232" s="39">
        <f t="shared" si="186"/>
        <v>135562</v>
      </c>
      <c r="AD1232" s="13" t="str">
        <f t="shared" si="184"/>
        <v>FBS</v>
      </c>
    </row>
    <row r="1233" spans="1:30" s="6" customFormat="1" ht="20.100000000000001" customHeight="1" outlineLevel="1" x14ac:dyDescent="0.25">
      <c r="A1233" s="635" t="s">
        <v>1820</v>
      </c>
      <c r="B1233" s="24"/>
      <c r="C1233" s="13" t="s">
        <v>2581</v>
      </c>
      <c r="D1233" s="40">
        <v>135561</v>
      </c>
      <c r="E1233" s="4">
        <v>36</v>
      </c>
      <c r="F1233" s="101">
        <v>135561</v>
      </c>
      <c r="G1233" s="57"/>
      <c r="H1233" s="4" t="s">
        <v>7213</v>
      </c>
      <c r="I1233" s="4" t="s">
        <v>2569</v>
      </c>
      <c r="J1233" s="4" t="s">
        <v>1955</v>
      </c>
      <c r="K1233" s="54"/>
      <c r="L1233" s="57"/>
      <c r="M1233" s="57"/>
      <c r="N1233" s="4" t="s">
        <v>2626</v>
      </c>
      <c r="O1233" s="4">
        <v>907742564</v>
      </c>
      <c r="P1233" s="4">
        <v>907742568</v>
      </c>
      <c r="Q1233" s="767"/>
      <c r="R1233" s="767"/>
      <c r="S1233" s="4"/>
      <c r="T1233" s="4"/>
      <c r="U1233" s="4"/>
      <c r="V1233" s="4"/>
      <c r="W1233" s="4"/>
      <c r="X1233" s="4"/>
      <c r="Y1233" s="4" t="s">
        <v>4066</v>
      </c>
      <c r="Z1233" s="35"/>
      <c r="AA1233" s="1" t="str">
        <f>IFERROR(VLOOKUP(D:D,[1]Габариты!$A:$I,9,0),"")</f>
        <v>Вакансия</v>
      </c>
      <c r="AB1233" s="6" t="str">
        <f>IFERROR(VLOOKUP(D:D,[1]Габариты!$A:$D,4,0),"")</f>
        <v>СТОЛИКИ ЖУРНАЛЬНЫЕ</v>
      </c>
      <c r="AC1233" s="39">
        <f t="shared" si="186"/>
        <v>135561</v>
      </c>
      <c r="AD1233" s="13" t="str">
        <f t="shared" si="184"/>
        <v>FBS</v>
      </c>
    </row>
    <row r="1234" spans="1:30" s="6" customFormat="1" ht="20.100000000000001" customHeight="1" outlineLevel="1" x14ac:dyDescent="0.25">
      <c r="A1234" s="635" t="s">
        <v>106</v>
      </c>
      <c r="B1234" s="3"/>
      <c r="C1234" s="13" t="s">
        <v>2581</v>
      </c>
      <c r="D1234" s="39">
        <v>2626</v>
      </c>
      <c r="E1234" s="4">
        <v>24</v>
      </c>
      <c r="F1234" s="101">
        <v>2626</v>
      </c>
      <c r="G1234" s="57" t="s">
        <v>4844</v>
      </c>
      <c r="H1234" s="4" t="s">
        <v>7214</v>
      </c>
      <c r="I1234" s="4"/>
      <c r="J1234" s="4"/>
      <c r="K1234" s="54" t="s">
        <v>2319</v>
      </c>
      <c r="L1234" s="57">
        <v>200047767</v>
      </c>
      <c r="M1234" s="57">
        <v>200047767</v>
      </c>
      <c r="N1234" s="766"/>
      <c r="O1234" s="4"/>
      <c r="P1234" s="4"/>
      <c r="Q1234" s="767"/>
      <c r="R1234" s="767"/>
      <c r="S1234" s="4"/>
      <c r="T1234" s="4"/>
      <c r="U1234" s="4"/>
      <c r="V1234" s="4"/>
      <c r="W1234" s="4" t="s">
        <v>2319</v>
      </c>
      <c r="X1234" s="4"/>
      <c r="Y1234" s="4">
        <v>2626</v>
      </c>
      <c r="Z1234" s="35"/>
      <c r="AA1234" s="1" t="str">
        <f>IFERROR(VLOOKUP(D:D,[1]Габариты!$A:$I,9,0),"")</f>
        <v>Вакансия</v>
      </c>
      <c r="AB1234" s="6" t="str">
        <f>IFERROR(VLOOKUP(D:D,[1]Габариты!$A:$D,4,0),"")</f>
        <v>СТОЛИКИ ЖУРНАЛЬНЫЕ</v>
      </c>
      <c r="AC1234" s="39">
        <f t="shared" si="186"/>
        <v>2626</v>
      </c>
      <c r="AD1234" s="13" t="str">
        <f t="shared" si="184"/>
        <v>FBS</v>
      </c>
    </row>
    <row r="1235" spans="1:30" s="6" customFormat="1" ht="20.100000000000001" customHeight="1" outlineLevel="1" x14ac:dyDescent="0.25">
      <c r="A1235" s="635" t="s">
        <v>69</v>
      </c>
      <c r="B1235" s="3"/>
      <c r="C1235" s="13" t="s">
        <v>2581</v>
      </c>
      <c r="D1235" s="39">
        <v>2484</v>
      </c>
      <c r="E1235" s="4">
        <v>24</v>
      </c>
      <c r="F1235" s="101">
        <v>2484</v>
      </c>
      <c r="G1235" s="57" t="s">
        <v>4794</v>
      </c>
      <c r="H1235" s="4" t="s">
        <v>7215</v>
      </c>
      <c r="I1235" s="4"/>
      <c r="J1235" s="4"/>
      <c r="K1235" s="54" t="s">
        <v>2320</v>
      </c>
      <c r="L1235" s="57">
        <v>182457949</v>
      </c>
      <c r="M1235" s="57">
        <v>182457949</v>
      </c>
      <c r="N1235" s="766" t="s">
        <v>582</v>
      </c>
      <c r="O1235" s="4">
        <v>266976740</v>
      </c>
      <c r="P1235" s="4">
        <v>266976748</v>
      </c>
      <c r="Q1235" s="767" t="s">
        <v>2827</v>
      </c>
      <c r="R1235" s="767">
        <v>356022687</v>
      </c>
      <c r="S1235" s="4">
        <v>356022688</v>
      </c>
      <c r="T1235" s="4"/>
      <c r="U1235" s="4"/>
      <c r="V1235" s="4"/>
      <c r="W1235" s="4" t="s">
        <v>2320</v>
      </c>
      <c r="X1235" s="4" t="s">
        <v>582</v>
      </c>
      <c r="Y1235" s="4">
        <v>2484</v>
      </c>
      <c r="Z1235" s="35"/>
      <c r="AA1235" s="1" t="str">
        <f>IFERROR(VLOOKUP(D:D,[1]Габариты!$A:$I,9,0),"")</f>
        <v>Вакансия</v>
      </c>
      <c r="AB1235" s="6" t="str">
        <f>IFERROR(VLOOKUP(D:D,[1]Габариты!$A:$D,4,0),"")</f>
        <v>СТОЛИКИ ЖУРНАЛЬНЫЕ</v>
      </c>
      <c r="AC1235" s="39">
        <f t="shared" si="186"/>
        <v>2484</v>
      </c>
      <c r="AD1235" s="13" t="str">
        <f t="shared" si="184"/>
        <v>FBS</v>
      </c>
    </row>
    <row r="1236" spans="1:30" s="6" customFormat="1" ht="20.100000000000001" customHeight="1" outlineLevel="1" x14ac:dyDescent="0.25">
      <c r="A1236" s="665" t="s">
        <v>273</v>
      </c>
      <c r="B1236" s="9"/>
      <c r="C1236" s="13" t="s">
        <v>2582</v>
      </c>
      <c r="D1236" s="39">
        <v>3034</v>
      </c>
      <c r="E1236" s="4">
        <v>36</v>
      </c>
      <c r="F1236" s="101">
        <v>3034</v>
      </c>
      <c r="G1236" s="57" t="s">
        <v>4969</v>
      </c>
      <c r="H1236" s="4" t="s">
        <v>7216</v>
      </c>
      <c r="I1236" s="4"/>
      <c r="J1236" s="4"/>
      <c r="K1236" s="54"/>
      <c r="L1236" s="57"/>
      <c r="M1236" s="57"/>
      <c r="N1236" s="4" t="s">
        <v>753</v>
      </c>
      <c r="O1236" s="4">
        <v>276375725</v>
      </c>
      <c r="P1236" s="4">
        <v>276375760</v>
      </c>
      <c r="Q1236" s="767" t="s">
        <v>2828</v>
      </c>
      <c r="R1236" s="767">
        <v>357099983</v>
      </c>
      <c r="S1236" s="4">
        <v>357099982</v>
      </c>
      <c r="T1236" s="4"/>
      <c r="U1236" s="4"/>
      <c r="V1236" s="4"/>
      <c r="W1236" s="4" t="s">
        <v>2321</v>
      </c>
      <c r="X1236" s="4" t="s">
        <v>753</v>
      </c>
      <c r="Y1236" s="4">
        <v>3034</v>
      </c>
      <c r="Z1236" s="35"/>
      <c r="AA1236" s="1" t="str">
        <f>IFERROR(VLOOKUP(D:D,[1]Габариты!$A:$I,9,0),"")</f>
        <v>Вакансия</v>
      </c>
      <c r="AB1236" s="6" t="str">
        <f>IFERROR(VLOOKUP(D:D,[1]Габариты!$A:$D,4,0),"")</f>
        <v>СТОЛИКИ ЖУРНАЛЬНЫЕ</v>
      </c>
      <c r="AC1236" s="39">
        <f t="shared" si="186"/>
        <v>3034</v>
      </c>
      <c r="AD1236" s="13" t="str">
        <f t="shared" si="184"/>
        <v>FBO</v>
      </c>
    </row>
    <row r="1237" spans="1:30" s="6" customFormat="1" ht="20.100000000000001" customHeight="1" outlineLevel="1" x14ac:dyDescent="0.25">
      <c r="A1237" s="665" t="s">
        <v>285</v>
      </c>
      <c r="B1237" s="2"/>
      <c r="C1237" s="13" t="s">
        <v>2582</v>
      </c>
      <c r="D1237" s="39">
        <v>3053</v>
      </c>
      <c r="E1237" s="4">
        <v>30</v>
      </c>
      <c r="F1237" s="101">
        <v>3053</v>
      </c>
      <c r="G1237" s="57" t="s">
        <v>4978</v>
      </c>
      <c r="H1237" s="4" t="s">
        <v>7217</v>
      </c>
      <c r="I1237" s="4"/>
      <c r="J1237" s="4"/>
      <c r="K1237" s="54"/>
      <c r="L1237" s="57"/>
      <c r="M1237" s="57"/>
      <c r="N1237" s="806" t="s">
        <v>7678</v>
      </c>
      <c r="O1237" s="4">
        <v>286656403</v>
      </c>
      <c r="P1237" s="4">
        <v>286656437</v>
      </c>
      <c r="Q1237" s="767"/>
      <c r="R1237" s="767"/>
      <c r="S1237" s="4"/>
      <c r="T1237" s="4"/>
      <c r="U1237" s="4"/>
      <c r="V1237" s="4"/>
      <c r="W1237" s="4" t="s">
        <v>2316</v>
      </c>
      <c r="X1237" s="4"/>
      <c r="Y1237" s="4">
        <v>3053</v>
      </c>
      <c r="Z1237" s="35"/>
      <c r="AA1237" s="1" t="str">
        <f>IFERROR(VLOOKUP(D:D,[1]Габариты!$A:$I,9,0),"")</f>
        <v>Вакансия</v>
      </c>
      <c r="AB1237" s="6" t="str">
        <f>IFERROR(VLOOKUP(D:D,[1]Габариты!$A:$D,4,0),"")</f>
        <v>СТОЛИКИ ЖУРНАЛЬНЫЕ</v>
      </c>
      <c r="AC1237" s="39">
        <f t="shared" si="186"/>
        <v>3053</v>
      </c>
      <c r="AD1237" s="13" t="str">
        <f t="shared" si="184"/>
        <v>FBO</v>
      </c>
    </row>
    <row r="1238" spans="1:30" s="6" customFormat="1" ht="20.100000000000001" customHeight="1" outlineLevel="1" x14ac:dyDescent="0.25">
      <c r="A1238" s="635" t="s">
        <v>101</v>
      </c>
      <c r="B1238" s="3"/>
      <c r="C1238" s="13" t="s">
        <v>2582</v>
      </c>
      <c r="D1238" s="39">
        <v>2618</v>
      </c>
      <c r="E1238" s="4">
        <v>30</v>
      </c>
      <c r="F1238" s="101">
        <v>2618</v>
      </c>
      <c r="G1238" s="57" t="s">
        <v>4837</v>
      </c>
      <c r="H1238" s="4"/>
      <c r="I1238" s="4"/>
      <c r="J1238" s="4"/>
      <c r="K1238" s="54" t="s">
        <v>2311</v>
      </c>
      <c r="L1238" s="57">
        <v>208853477</v>
      </c>
      <c r="M1238" s="57">
        <v>208853477</v>
      </c>
      <c r="N1238" s="4"/>
      <c r="O1238" s="4">
        <v>267606208</v>
      </c>
      <c r="P1238" s="4">
        <v>267606241</v>
      </c>
      <c r="Q1238" s="767" t="s">
        <v>2821</v>
      </c>
      <c r="R1238" s="767">
        <v>348159072</v>
      </c>
      <c r="S1238" s="4">
        <v>348159072</v>
      </c>
      <c r="T1238" s="4"/>
      <c r="U1238" s="4"/>
      <c r="V1238" s="4"/>
      <c r="W1238" s="4" t="s">
        <v>2311</v>
      </c>
      <c r="X1238" s="4" t="s">
        <v>620</v>
      </c>
      <c r="Y1238" s="4" t="s">
        <v>4066</v>
      </c>
      <c r="Z1238" s="35"/>
      <c r="AA1238" s="1" t="str">
        <f>IFERROR(VLOOKUP(D:D,[1]Габариты!$A:$I,9,0),"")</f>
        <v>Вакансия</v>
      </c>
      <c r="AB1238" s="6" t="str">
        <f>IFERROR(VLOOKUP(D:D,[1]Габариты!$A:$D,4,0),"")</f>
        <v>СТОЛИКИ ЖУРНАЛЬНЫЕ</v>
      </c>
      <c r="AC1238" s="39">
        <f t="shared" si="186"/>
        <v>2618</v>
      </c>
      <c r="AD1238" s="13" t="str">
        <f t="shared" si="184"/>
        <v>FBO</v>
      </c>
    </row>
    <row r="1239" spans="1:30" s="6" customFormat="1" ht="20.100000000000001" customHeight="1" outlineLevel="1" x14ac:dyDescent="0.25">
      <c r="A1239" s="635" t="s">
        <v>61</v>
      </c>
      <c r="B1239" s="3"/>
      <c r="C1239" s="13" t="s">
        <v>2582</v>
      </c>
      <c r="D1239" s="39">
        <v>2465</v>
      </c>
      <c r="E1239" s="4">
        <v>30</v>
      </c>
      <c r="F1239" s="101">
        <v>2465</v>
      </c>
      <c r="G1239" s="57" t="s">
        <v>4784</v>
      </c>
      <c r="H1239" s="4" t="s">
        <v>7218</v>
      </c>
      <c r="I1239" s="4"/>
      <c r="J1239" s="4"/>
      <c r="K1239" s="54" t="s">
        <v>2312</v>
      </c>
      <c r="L1239" s="57">
        <v>174770367</v>
      </c>
      <c r="M1239" s="57">
        <v>174770367</v>
      </c>
      <c r="N1239" s="4"/>
      <c r="O1239" s="4">
        <v>265823571</v>
      </c>
      <c r="P1239" s="4">
        <v>265823571</v>
      </c>
      <c r="Q1239" s="767" t="s">
        <v>2822</v>
      </c>
      <c r="R1239" s="767">
        <v>675900708</v>
      </c>
      <c r="S1239" s="4">
        <v>675900707</v>
      </c>
      <c r="T1239" s="4"/>
      <c r="U1239" s="4"/>
      <c r="V1239" s="4"/>
      <c r="W1239" s="4" t="s">
        <v>2312</v>
      </c>
      <c r="X1239" s="4"/>
      <c r="Y1239" s="4" t="s">
        <v>4066</v>
      </c>
      <c r="Z1239" s="35"/>
      <c r="AA1239" s="1" t="str">
        <f>IFERROR(VLOOKUP(D:D,[1]Габариты!$A:$I,9,0),"")</f>
        <v>Вакансия</v>
      </c>
      <c r="AB1239" s="6" t="str">
        <f>IFERROR(VLOOKUP(D:D,[1]Габариты!$A:$D,4,0),"")</f>
        <v>СТОЛИКИ ЖУРНАЛЬНЫЕ</v>
      </c>
      <c r="AC1239" s="39">
        <f t="shared" si="186"/>
        <v>2465</v>
      </c>
      <c r="AD1239" s="13" t="str">
        <f t="shared" si="184"/>
        <v>FBO</v>
      </c>
    </row>
    <row r="1240" spans="1:30" s="6" customFormat="1" ht="20.100000000000001" customHeight="1" outlineLevel="1" x14ac:dyDescent="0.25">
      <c r="A1240" s="635" t="s">
        <v>49</v>
      </c>
      <c r="B1240" s="3"/>
      <c r="C1240" s="13" t="s">
        <v>2582</v>
      </c>
      <c r="D1240" s="39">
        <v>2541</v>
      </c>
      <c r="E1240" s="4">
        <v>30</v>
      </c>
      <c r="F1240" s="101">
        <v>2541</v>
      </c>
      <c r="G1240" s="57" t="s">
        <v>4810</v>
      </c>
      <c r="H1240" s="4" t="s">
        <v>7219</v>
      </c>
      <c r="I1240" s="4"/>
      <c r="J1240" s="4"/>
      <c r="K1240" s="54"/>
      <c r="L1240" s="57"/>
      <c r="M1240" s="57"/>
      <c r="N1240" s="4"/>
      <c r="O1240" s="818">
        <v>262886447</v>
      </c>
      <c r="P1240" s="818">
        <v>262886469</v>
      </c>
      <c r="Q1240" s="767" t="s">
        <v>2823</v>
      </c>
      <c r="R1240" s="767">
        <v>346551201</v>
      </c>
      <c r="S1240" s="4">
        <v>346551239</v>
      </c>
      <c r="T1240" s="4"/>
      <c r="U1240" s="4"/>
      <c r="V1240" s="4"/>
      <c r="W1240" s="4" t="s">
        <v>2313</v>
      </c>
      <c r="X1240" s="4" t="s">
        <v>598</v>
      </c>
      <c r="Y1240" s="4">
        <v>2541</v>
      </c>
      <c r="Z1240" s="35"/>
      <c r="AA1240" s="1" t="str">
        <f>IFERROR(VLOOKUP(D:D,[1]Габариты!$A:$I,9,0),"")</f>
        <v>Вакансия</v>
      </c>
      <c r="AB1240" s="6" t="str">
        <f>IFERROR(VLOOKUP(D:D,[1]Габариты!$A:$D,4,0),"")</f>
        <v>СТОЛИКИ ЖУРНАЛЬНЫЕ</v>
      </c>
      <c r="AC1240" s="39">
        <f t="shared" si="186"/>
        <v>2541</v>
      </c>
      <c r="AD1240" s="13" t="str">
        <f t="shared" si="184"/>
        <v>FBO</v>
      </c>
    </row>
    <row r="1241" spans="1:30" s="6" customFormat="1" ht="20.100000000000001" customHeight="1" outlineLevel="1" x14ac:dyDescent="0.25">
      <c r="A1241" s="635" t="s">
        <v>459</v>
      </c>
      <c r="B1241" s="24"/>
      <c r="C1241" s="13" t="s">
        <v>2582</v>
      </c>
      <c r="D1241" s="40">
        <v>3113</v>
      </c>
      <c r="E1241" s="4">
        <v>28</v>
      </c>
      <c r="F1241" s="101">
        <v>3113</v>
      </c>
      <c r="G1241" s="57" t="s">
        <v>5010</v>
      </c>
      <c r="H1241" s="4" t="s">
        <v>7220</v>
      </c>
      <c r="I1241" s="4"/>
      <c r="J1241" s="4"/>
      <c r="K1241" s="54" t="s">
        <v>2397</v>
      </c>
      <c r="L1241" s="57">
        <v>405383266</v>
      </c>
      <c r="M1241" s="57">
        <v>405383266</v>
      </c>
      <c r="N1241" s="4"/>
      <c r="O1241" s="4"/>
      <c r="P1241" s="4"/>
      <c r="Q1241" s="767"/>
      <c r="R1241" s="767"/>
      <c r="S1241" s="4"/>
      <c r="T1241" s="4"/>
      <c r="U1241" s="4"/>
      <c r="V1241" s="4"/>
      <c r="W1241" s="4" t="s">
        <v>2397</v>
      </c>
      <c r="X1241" s="4"/>
      <c r="Y1241" s="4">
        <v>3113</v>
      </c>
      <c r="Z1241" s="35"/>
      <c r="AA1241" s="1" t="str">
        <f>IFERROR(VLOOKUP(D:D,[1]Габариты!$A:$I,9,0),"")</f>
        <v>Вакансия</v>
      </c>
      <c r="AB1241" s="6" t="str">
        <f>IFERROR(VLOOKUP(D:D,[1]Габариты!$A:$D,4,0),"")</f>
        <v>СТОЛЫ МАНИКЮРНЫЕ</v>
      </c>
      <c r="AC1241" s="39">
        <f t="shared" si="186"/>
        <v>3113</v>
      </c>
      <c r="AD1241" s="13" t="str">
        <f t="shared" si="184"/>
        <v>FBO</v>
      </c>
    </row>
    <row r="1242" spans="1:30" s="6" customFormat="1" ht="20.100000000000001" customHeight="1" outlineLevel="1" x14ac:dyDescent="0.25">
      <c r="A1242" s="635" t="s">
        <v>1442</v>
      </c>
      <c r="B1242" s="25"/>
      <c r="C1242" s="13" t="s">
        <v>2582</v>
      </c>
      <c r="D1242" s="40">
        <v>3400</v>
      </c>
      <c r="E1242" s="4">
        <v>18</v>
      </c>
      <c r="F1242" s="101">
        <v>3400</v>
      </c>
      <c r="G1242" s="57" t="s">
        <v>5071</v>
      </c>
      <c r="H1242" s="4" t="s">
        <v>7221</v>
      </c>
      <c r="I1242" s="4"/>
      <c r="J1242" s="4"/>
      <c r="K1242" s="54" t="s">
        <v>7870</v>
      </c>
      <c r="L1242" s="57">
        <v>943081352</v>
      </c>
      <c r="M1242" s="57">
        <v>943081352</v>
      </c>
      <c r="N1242" s="4" t="s">
        <v>1574</v>
      </c>
      <c r="O1242" s="4">
        <v>723601118</v>
      </c>
      <c r="P1242" s="4">
        <v>723601117</v>
      </c>
      <c r="Q1242" s="767"/>
      <c r="R1242" s="767"/>
      <c r="S1242" s="4"/>
      <c r="T1242" s="4"/>
      <c r="U1242" s="4"/>
      <c r="V1242" s="4"/>
      <c r="W1242" s="4"/>
      <c r="X1242" s="4" t="s">
        <v>1574</v>
      </c>
      <c r="Y1242" s="4">
        <v>3400</v>
      </c>
      <c r="Z1242" s="35"/>
      <c r="AA1242" s="1" t="str">
        <f>IFERROR(VLOOKUP(D:D,[1]Габариты!$A:$I,9,0),"")</f>
        <v>Вакансия</v>
      </c>
      <c r="AB1242" s="6" t="str">
        <f>IFERROR(VLOOKUP(D:D,[1]Габариты!$A:$D,4,0),"")</f>
        <v>СТОЛЫ МАНИКЮРНЫЕ</v>
      </c>
      <c r="AC1242" s="39">
        <f t="shared" si="186"/>
        <v>3400</v>
      </c>
      <c r="AD1242" s="13" t="str">
        <f t="shared" si="184"/>
        <v>FBO</v>
      </c>
    </row>
    <row r="1243" spans="1:30" s="6" customFormat="1" ht="20.100000000000001" customHeight="1" outlineLevel="1" x14ac:dyDescent="0.25">
      <c r="A1243" s="635" t="s">
        <v>1824</v>
      </c>
      <c r="B1243" s="24"/>
      <c r="C1243" s="13" t="s">
        <v>2581</v>
      </c>
      <c r="D1243" s="40">
        <v>33330</v>
      </c>
      <c r="E1243" s="4">
        <v>12</v>
      </c>
      <c r="F1243" s="101"/>
      <c r="G1243" s="57"/>
      <c r="H1243" s="4" t="s">
        <v>6744</v>
      </c>
      <c r="I1243" s="4" t="s">
        <v>3694</v>
      </c>
      <c r="J1243" s="4"/>
      <c r="K1243" s="54"/>
      <c r="L1243" s="57"/>
      <c r="M1243" s="57"/>
      <c r="N1243" s="4" t="s">
        <v>4379</v>
      </c>
      <c r="O1243" s="4">
        <v>1626393945</v>
      </c>
      <c r="P1243" s="4">
        <v>1626393945</v>
      </c>
      <c r="Q1243" s="767" t="s">
        <v>3736</v>
      </c>
      <c r="R1243" s="767">
        <v>1199712788</v>
      </c>
      <c r="S1243" s="4">
        <v>1199712787</v>
      </c>
      <c r="T1243" s="4"/>
      <c r="U1243" s="4"/>
      <c r="V1243" s="4"/>
      <c r="W1243" s="4"/>
      <c r="X1243" s="4"/>
      <c r="Y1243" s="4" t="s">
        <v>4066</v>
      </c>
      <c r="Z1243" s="35"/>
      <c r="AA1243" s="1" t="str">
        <f>IFERROR(VLOOKUP(D:D,[1]Габариты!$A:$I,9,0),"")</f>
        <v>Вакансия</v>
      </c>
      <c r="AB1243" s="6" t="str">
        <f>IFERROR(VLOOKUP(D:D,[1]Габариты!$A:$D,4,0),"")</f>
        <v>СТОЛИКИ ЖУРНАЛЬНЫЕ</v>
      </c>
      <c r="AC1243" s="39">
        <f t="shared" si="186"/>
        <v>33330</v>
      </c>
      <c r="AD1243" s="13" t="str">
        <f t="shared" si="184"/>
        <v>FBS</v>
      </c>
    </row>
    <row r="1244" spans="1:30" s="6" customFormat="1" ht="20.100000000000001" customHeight="1" outlineLevel="1" x14ac:dyDescent="0.25">
      <c r="A1244" s="635" t="s">
        <v>1825</v>
      </c>
      <c r="B1244" s="24"/>
      <c r="C1244" s="13" t="s">
        <v>2581</v>
      </c>
      <c r="D1244" s="40">
        <v>33331</v>
      </c>
      <c r="E1244" s="4">
        <v>12</v>
      </c>
      <c r="F1244" s="101"/>
      <c r="G1244" s="57"/>
      <c r="H1244" s="4" t="s">
        <v>6745</v>
      </c>
      <c r="I1244" s="4" t="s">
        <v>3695</v>
      </c>
      <c r="J1244" s="4"/>
      <c r="K1244" s="54"/>
      <c r="L1244" s="57"/>
      <c r="M1244" s="57"/>
      <c r="N1244" s="4" t="s">
        <v>4381</v>
      </c>
      <c r="O1244" s="4">
        <v>1626398680</v>
      </c>
      <c r="P1244" s="4">
        <v>1626398680</v>
      </c>
      <c r="Q1244" s="767" t="s">
        <v>3737</v>
      </c>
      <c r="R1244" s="767">
        <v>1199762701</v>
      </c>
      <c r="S1244" s="4">
        <v>1199762700</v>
      </c>
      <c r="T1244" s="4"/>
      <c r="U1244" s="4"/>
      <c r="V1244" s="4"/>
      <c r="W1244" s="4"/>
      <c r="X1244" s="4"/>
      <c r="Y1244" s="4" t="s">
        <v>4066</v>
      </c>
      <c r="Z1244" s="35"/>
      <c r="AA1244" s="1" t="str">
        <f>IFERROR(VLOOKUP(D:D,[1]Габариты!$A:$I,9,0),"")</f>
        <v>Вакансия</v>
      </c>
      <c r="AB1244" s="6" t="str">
        <f>IFERROR(VLOOKUP(D:D,[1]Габариты!$A:$D,4,0),"")</f>
        <v>СТОЛИКИ ЖУРНАЛЬНЫЕ</v>
      </c>
      <c r="AC1244" s="39">
        <f t="shared" si="186"/>
        <v>33331</v>
      </c>
      <c r="AD1244" s="13" t="str">
        <f t="shared" si="184"/>
        <v>FBS</v>
      </c>
    </row>
    <row r="1245" spans="1:30" s="6" customFormat="1" ht="20.100000000000001" customHeight="1" outlineLevel="1" x14ac:dyDescent="0.25">
      <c r="A1245" s="635" t="s">
        <v>3676</v>
      </c>
      <c r="B1245" s="24"/>
      <c r="C1245" s="13" t="s">
        <v>2581</v>
      </c>
      <c r="D1245" s="40">
        <v>33332</v>
      </c>
      <c r="E1245" s="4">
        <v>12</v>
      </c>
      <c r="F1245" s="101"/>
      <c r="G1245" s="57"/>
      <c r="H1245" s="4" t="s">
        <v>6746</v>
      </c>
      <c r="I1245" s="4" t="s">
        <v>3696</v>
      </c>
      <c r="J1245" s="4"/>
      <c r="K1245" s="54"/>
      <c r="L1245" s="57"/>
      <c r="M1245" s="57"/>
      <c r="N1245" s="4" t="s">
        <v>4380</v>
      </c>
      <c r="O1245" s="4">
        <v>1626411869</v>
      </c>
      <c r="P1245" s="4">
        <v>1626411869</v>
      </c>
      <c r="Q1245" s="767" t="s">
        <v>3738</v>
      </c>
      <c r="R1245" s="767">
        <v>1199797009</v>
      </c>
      <c r="S1245" s="4">
        <v>1199797008</v>
      </c>
      <c r="T1245" s="4"/>
      <c r="U1245" s="4"/>
      <c r="V1245" s="4"/>
      <c r="W1245" s="4"/>
      <c r="X1245" s="4" t="s">
        <v>4380</v>
      </c>
      <c r="Y1245" s="4" t="s">
        <v>4066</v>
      </c>
      <c r="Z1245" s="35"/>
      <c r="AA1245" s="1" t="str">
        <f>IFERROR(VLOOKUP(D:D,[1]Габариты!$A:$I,9,0),"")</f>
        <v>Вакансия</v>
      </c>
      <c r="AB1245" s="6" t="str">
        <f>IFERROR(VLOOKUP(D:D,[1]Габариты!$A:$D,4,0),"")</f>
        <v>СТОЛИКИ ЖУРНАЛЬНЫЕ</v>
      </c>
      <c r="AC1245" s="39">
        <f t="shared" si="186"/>
        <v>33332</v>
      </c>
      <c r="AD1245" s="13" t="str">
        <f t="shared" si="184"/>
        <v>FBS</v>
      </c>
    </row>
    <row r="1246" spans="1:30" s="6" customFormat="1" ht="20.100000000000001" customHeight="1" outlineLevel="1" x14ac:dyDescent="0.25">
      <c r="A1246" s="635" t="s">
        <v>3677</v>
      </c>
      <c r="B1246" s="24"/>
      <c r="C1246" s="13" t="s">
        <v>2581</v>
      </c>
      <c r="D1246" s="40">
        <v>33333</v>
      </c>
      <c r="E1246" s="4">
        <v>12</v>
      </c>
      <c r="F1246" s="101"/>
      <c r="G1246" s="57"/>
      <c r="H1246" s="4"/>
      <c r="I1246" s="4" t="s">
        <v>3697</v>
      </c>
      <c r="J1246" s="4"/>
      <c r="K1246" s="54"/>
      <c r="L1246" s="57"/>
      <c r="M1246" s="57"/>
      <c r="N1246" s="766"/>
      <c r="O1246" s="4"/>
      <c r="P1246" s="4"/>
      <c r="Q1246" s="767" t="s">
        <v>3739</v>
      </c>
      <c r="R1246" s="767">
        <v>1199818374</v>
      </c>
      <c r="S1246" s="4">
        <v>1199818375</v>
      </c>
      <c r="T1246" s="4"/>
      <c r="U1246" s="4"/>
      <c r="V1246" s="4"/>
      <c r="W1246" s="4"/>
      <c r="X1246" s="4"/>
      <c r="Y1246" s="4" t="s">
        <v>4066</v>
      </c>
      <c r="Z1246" s="35"/>
      <c r="AA1246" s="1" t="str">
        <f>IFERROR(VLOOKUP(D:D,[1]Габариты!$A:$I,9,0),"")</f>
        <v>Вакансия</v>
      </c>
      <c r="AB1246" s="6" t="str">
        <f>IFERROR(VLOOKUP(D:D,[1]Габариты!$A:$D,4,0),"")</f>
        <v>СТОЛИКИ ЖУРНАЛЬНЫЕ</v>
      </c>
      <c r="AC1246" s="39">
        <f t="shared" si="186"/>
        <v>33333</v>
      </c>
      <c r="AD1246" s="13" t="str">
        <f t="shared" si="184"/>
        <v>FBS</v>
      </c>
    </row>
    <row r="1247" spans="1:30" s="6" customFormat="1" ht="20.100000000000001" customHeight="1" outlineLevel="1" x14ac:dyDescent="0.25">
      <c r="A1247" s="635" t="s">
        <v>1824</v>
      </c>
      <c r="B1247" s="24"/>
      <c r="C1247" s="13" t="s">
        <v>2581</v>
      </c>
      <c r="D1247" s="40">
        <v>33560</v>
      </c>
      <c r="E1247" s="4">
        <v>4</v>
      </c>
      <c r="F1247" s="101"/>
      <c r="G1247" s="57"/>
      <c r="H1247" s="4"/>
      <c r="I1247" s="4" t="s">
        <v>1917</v>
      </c>
      <c r="J1247" s="4"/>
      <c r="K1247" s="54"/>
      <c r="L1247" s="57"/>
      <c r="M1247" s="57"/>
      <c r="N1247" s="766"/>
      <c r="O1247" s="4"/>
      <c r="P1247" s="4"/>
      <c r="Q1247" s="767" t="s">
        <v>2833</v>
      </c>
      <c r="R1247" s="767">
        <v>912053278</v>
      </c>
      <c r="S1247" s="4">
        <v>912053277</v>
      </c>
      <c r="T1247" s="4"/>
      <c r="U1247" s="4"/>
      <c r="V1247" s="4"/>
      <c r="W1247" s="4"/>
      <c r="X1247" s="4"/>
      <c r="Y1247" s="4" t="s">
        <v>4066</v>
      </c>
      <c r="Z1247" s="35"/>
      <c r="AA1247" s="1" t="str">
        <f>IFERROR(VLOOKUP(D:D,[1]Габариты!$A:$I,9,0),"")</f>
        <v>Вакансия</v>
      </c>
      <c r="AB1247" s="6" t="str">
        <f>IFERROR(VLOOKUP(D:D,[1]Габариты!$A:$D,4,0),"")</f>
        <v>СТОЛИКИ ЖУРНАЛЬНЫЕ</v>
      </c>
      <c r="AC1247" s="39">
        <f t="shared" si="186"/>
        <v>33560</v>
      </c>
      <c r="AD1247" s="13" t="str">
        <f t="shared" si="184"/>
        <v>FBS</v>
      </c>
    </row>
    <row r="1248" spans="1:30" s="6" customFormat="1" ht="20.100000000000001" customHeight="1" outlineLevel="1" x14ac:dyDescent="0.25">
      <c r="A1248" s="635" t="s">
        <v>1825</v>
      </c>
      <c r="B1248" s="24"/>
      <c r="C1248" s="13" t="s">
        <v>2581</v>
      </c>
      <c r="D1248" s="40">
        <v>33561</v>
      </c>
      <c r="E1248" s="4">
        <v>4</v>
      </c>
      <c r="F1248" s="101"/>
      <c r="G1248" s="57"/>
      <c r="H1248" s="4"/>
      <c r="I1248" s="4" t="s">
        <v>1918</v>
      </c>
      <c r="J1248" s="4"/>
      <c r="K1248" s="54"/>
      <c r="L1248" s="57"/>
      <c r="M1248" s="57"/>
      <c r="N1248" s="766"/>
      <c r="O1248" s="4"/>
      <c r="P1248" s="4"/>
      <c r="Q1248" s="767" t="s">
        <v>2834</v>
      </c>
      <c r="R1248" s="767">
        <v>911069924</v>
      </c>
      <c r="S1248" s="4">
        <v>911069918</v>
      </c>
      <c r="T1248" s="4"/>
      <c r="U1248" s="4"/>
      <c r="V1248" s="4"/>
      <c r="W1248" s="4"/>
      <c r="X1248" s="4"/>
      <c r="Y1248" s="4" t="s">
        <v>4066</v>
      </c>
      <c r="Z1248" s="35"/>
      <c r="AA1248" s="1" t="str">
        <f>IFERROR(VLOOKUP(D:D,[1]Габариты!$A:$I,9,0),"")</f>
        <v>Вакансия</v>
      </c>
      <c r="AB1248" s="6" t="str">
        <f>IFERROR(VLOOKUP(D:D,[1]Габариты!$A:$D,4,0),"")</f>
        <v>СТОЛИКИ ЖУРНАЛЬНЫЕ</v>
      </c>
      <c r="AC1248" s="39">
        <f t="shared" si="186"/>
        <v>33561</v>
      </c>
      <c r="AD1248" s="13" t="str">
        <f t="shared" si="184"/>
        <v>FBS</v>
      </c>
    </row>
    <row r="1249" spans="1:30" s="6" customFormat="1" ht="20.100000000000001" customHeight="1" outlineLevel="1" x14ac:dyDescent="0.25">
      <c r="A1249" s="633" t="s">
        <v>1824</v>
      </c>
      <c r="B1249" s="24"/>
      <c r="C1249" s="13" t="s">
        <v>2582</v>
      </c>
      <c r="D1249" s="40">
        <v>43330</v>
      </c>
      <c r="E1249" s="4">
        <v>8</v>
      </c>
      <c r="F1249" s="101"/>
      <c r="G1249" s="57"/>
      <c r="H1249" s="4" t="s">
        <v>6747</v>
      </c>
      <c r="I1249" s="813" t="s">
        <v>3783</v>
      </c>
      <c r="J1249" s="4"/>
      <c r="K1249" s="54"/>
      <c r="L1249" s="57"/>
      <c r="M1249" s="57"/>
      <c r="N1249" s="4" t="s">
        <v>4372</v>
      </c>
      <c r="O1249" s="4">
        <v>1626309068</v>
      </c>
      <c r="P1249" s="4">
        <v>1626309068</v>
      </c>
      <c r="Q1249" s="767" t="s">
        <v>3847</v>
      </c>
      <c r="R1249" s="767">
        <v>1387132259</v>
      </c>
      <c r="S1249" s="4">
        <v>1387132259</v>
      </c>
      <c r="T1249" s="4"/>
      <c r="U1249" s="4"/>
      <c r="V1249" s="4"/>
      <c r="W1249" s="4"/>
      <c r="X1249" s="4"/>
      <c r="Y1249" s="4" t="s">
        <v>4066</v>
      </c>
      <c r="Z1249" s="35"/>
      <c r="AA1249" s="1" t="str">
        <f>IFERROR(VLOOKUP(D:D,[1]Габариты!$A:$I,9,0),"")</f>
        <v>Вакансия</v>
      </c>
      <c r="AB1249" s="6" t="str">
        <f>IFERROR(VLOOKUP(D:D,[1]Габариты!$A:$D,4,0),"")</f>
        <v>СТОЛИКИ ЖУРНАЛЬНЫЕ</v>
      </c>
      <c r="AC1249" s="39">
        <f t="shared" si="186"/>
        <v>43330</v>
      </c>
      <c r="AD1249" s="13" t="str">
        <f t="shared" si="184"/>
        <v>FBO</v>
      </c>
    </row>
    <row r="1250" spans="1:30" s="6" customFormat="1" ht="20.100000000000001" customHeight="1" outlineLevel="1" x14ac:dyDescent="0.25">
      <c r="A1250" s="633" t="s">
        <v>1825</v>
      </c>
      <c r="B1250" s="24"/>
      <c r="C1250" s="13" t="s">
        <v>2582</v>
      </c>
      <c r="D1250" s="40">
        <v>43331</v>
      </c>
      <c r="E1250" s="4">
        <v>8</v>
      </c>
      <c r="F1250" s="101"/>
      <c r="G1250" s="57"/>
      <c r="H1250" s="4" t="s">
        <v>6748</v>
      </c>
      <c r="I1250" s="813" t="s">
        <v>3784</v>
      </c>
      <c r="J1250" s="4"/>
      <c r="K1250" s="54"/>
      <c r="L1250" s="57"/>
      <c r="M1250" s="57"/>
      <c r="N1250" s="767" t="s">
        <v>4373</v>
      </c>
      <c r="O1250" s="4">
        <v>1626369113</v>
      </c>
      <c r="P1250" s="4">
        <v>1626369113</v>
      </c>
      <c r="Q1250" s="767" t="s">
        <v>3848</v>
      </c>
      <c r="R1250" s="767">
        <v>1387110892</v>
      </c>
      <c r="S1250" s="4">
        <v>1387110892</v>
      </c>
      <c r="T1250" s="4"/>
      <c r="U1250" s="4"/>
      <c r="V1250" s="4"/>
      <c r="W1250" s="4"/>
      <c r="X1250" s="4"/>
      <c r="Y1250" s="4" t="s">
        <v>4066</v>
      </c>
      <c r="Z1250" s="35"/>
      <c r="AA1250" s="1" t="str">
        <f>IFERROR(VLOOKUP(D:D,[1]Габариты!$A:$I,9,0),"")</f>
        <v>Вакансия</v>
      </c>
      <c r="AB1250" s="6" t="str">
        <f>IFERROR(VLOOKUP(D:D,[1]Габариты!$A:$D,4,0),"")</f>
        <v>СТОЛИКИ ЖУРНАЛЬНЫЕ</v>
      </c>
      <c r="AC1250" s="39">
        <f t="shared" si="186"/>
        <v>43331</v>
      </c>
      <c r="AD1250" s="13" t="str">
        <f t="shared" si="184"/>
        <v>FBO</v>
      </c>
    </row>
    <row r="1251" spans="1:30" s="6" customFormat="1" ht="20.100000000000001" customHeight="1" outlineLevel="1" x14ac:dyDescent="0.25">
      <c r="A1251" s="633" t="s">
        <v>3676</v>
      </c>
      <c r="B1251" s="24"/>
      <c r="C1251" s="13" t="s">
        <v>2582</v>
      </c>
      <c r="D1251" s="40">
        <v>43332</v>
      </c>
      <c r="E1251" s="4">
        <v>8</v>
      </c>
      <c r="F1251" s="101"/>
      <c r="G1251" s="57"/>
      <c r="H1251" s="4" t="s">
        <v>6749</v>
      </c>
      <c r="I1251" s="813" t="s">
        <v>3782</v>
      </c>
      <c r="J1251" s="4"/>
      <c r="K1251" s="54"/>
      <c r="L1251" s="57"/>
      <c r="M1251" s="57"/>
      <c r="N1251" s="4" t="s">
        <v>4374</v>
      </c>
      <c r="O1251" s="4">
        <v>1626378547</v>
      </c>
      <c r="P1251" s="4">
        <v>1626378547</v>
      </c>
      <c r="Q1251" s="767"/>
      <c r="R1251" s="767"/>
      <c r="S1251" s="4"/>
      <c r="T1251" s="4"/>
      <c r="U1251" s="4"/>
      <c r="V1251" s="4"/>
      <c r="W1251" s="4"/>
      <c r="X1251" s="4"/>
      <c r="Y1251" s="4" t="s">
        <v>4066</v>
      </c>
      <c r="Z1251" s="35"/>
      <c r="AA1251" s="1" t="str">
        <f>IFERROR(VLOOKUP(D:D,[1]Габариты!$A:$I,9,0),"")</f>
        <v>Вакансия</v>
      </c>
      <c r="AB1251" s="6" t="str">
        <f>IFERROR(VLOOKUP(D:D,[1]Габариты!$A:$D,4,0),"")</f>
        <v>СТОЛИКИ ЖУРНАЛЬНЫЕ</v>
      </c>
      <c r="AC1251" s="39">
        <f t="shared" si="186"/>
        <v>43332</v>
      </c>
      <c r="AD1251" s="13" t="str">
        <f t="shared" si="184"/>
        <v>FBO</v>
      </c>
    </row>
    <row r="1252" spans="1:30" s="6" customFormat="1" ht="20.100000000000001" customHeight="1" outlineLevel="1" x14ac:dyDescent="0.25">
      <c r="A1252" s="633" t="s">
        <v>3677</v>
      </c>
      <c r="B1252" s="24"/>
      <c r="C1252" s="13" t="s">
        <v>2582</v>
      </c>
      <c r="D1252" s="40">
        <v>43333</v>
      </c>
      <c r="E1252" s="4">
        <v>8</v>
      </c>
      <c r="F1252" s="101"/>
      <c r="G1252" s="57"/>
      <c r="H1252" s="4" t="s">
        <v>6750</v>
      </c>
      <c r="I1252" s="813" t="s">
        <v>3781</v>
      </c>
      <c r="J1252" s="4"/>
      <c r="K1252" s="54"/>
      <c r="L1252" s="57"/>
      <c r="M1252" s="57"/>
      <c r="N1252" s="4" t="s">
        <v>4378</v>
      </c>
      <c r="O1252" s="4">
        <v>1626385370</v>
      </c>
      <c r="P1252" s="4">
        <v>1626385370</v>
      </c>
      <c r="Q1252" s="767" t="s">
        <v>3849</v>
      </c>
      <c r="R1252" s="767">
        <v>1386585747</v>
      </c>
      <c r="S1252" s="4">
        <v>1386585747</v>
      </c>
      <c r="T1252" s="4"/>
      <c r="U1252" s="4"/>
      <c r="V1252" s="4"/>
      <c r="W1252" s="4"/>
      <c r="X1252" s="4"/>
      <c r="Y1252" s="4" t="s">
        <v>4066</v>
      </c>
      <c r="Z1252" s="35"/>
      <c r="AA1252" s="1" t="str">
        <f>IFERROR(VLOOKUP(D:D,[1]Габариты!$A:$I,9,0),"")</f>
        <v>Вакансия</v>
      </c>
      <c r="AB1252" s="6" t="str">
        <f>IFERROR(VLOOKUP(D:D,[1]Габариты!$A:$D,4,0),"")</f>
        <v>СТОЛИКИ ЖУРНАЛЬНЫЕ</v>
      </c>
      <c r="AC1252" s="39">
        <f t="shared" si="186"/>
        <v>43333</v>
      </c>
      <c r="AD1252" s="13" t="str">
        <f t="shared" si="184"/>
        <v>FBO</v>
      </c>
    </row>
    <row r="1253" spans="1:30" s="6" customFormat="1" ht="20.100000000000001" customHeight="1" outlineLevel="1" x14ac:dyDescent="0.25">
      <c r="A1253" s="635" t="s">
        <v>1826</v>
      </c>
      <c r="B1253" s="24"/>
      <c r="C1253" s="13" t="s">
        <v>2581</v>
      </c>
      <c r="D1253" s="40">
        <v>33562</v>
      </c>
      <c r="E1253" s="4">
        <v>4</v>
      </c>
      <c r="F1253" s="101"/>
      <c r="G1253" s="57"/>
      <c r="H1253" s="4"/>
      <c r="I1253" s="4" t="s">
        <v>1919</v>
      </c>
      <c r="J1253" s="4" t="s">
        <v>1956</v>
      </c>
      <c r="K1253" s="54"/>
      <c r="L1253" s="57"/>
      <c r="M1253" s="57"/>
      <c r="N1253" s="766"/>
      <c r="O1253" s="4"/>
      <c r="P1253" s="4"/>
      <c r="Q1253" s="767" t="s">
        <v>2835</v>
      </c>
      <c r="R1253" s="767">
        <v>911025794</v>
      </c>
      <c r="S1253" s="4">
        <v>911025795</v>
      </c>
      <c r="T1253" s="4"/>
      <c r="U1253" s="4"/>
      <c r="V1253" s="4"/>
      <c r="W1253" s="4"/>
      <c r="X1253" s="4"/>
      <c r="Y1253" s="4" t="s">
        <v>4066</v>
      </c>
      <c r="Z1253" s="35"/>
      <c r="AA1253" s="1" t="str">
        <f>IFERROR(VLOOKUP(D:D,[1]Габариты!$A:$I,9,0),"")</f>
        <v>Вакансия</v>
      </c>
      <c r="AB1253" s="6" t="str">
        <f>IFERROR(VLOOKUP(D:D,[1]Габариты!$A:$D,4,0),"")</f>
        <v>СТОЛИКИ ЖУРНАЛЬНЫЕ</v>
      </c>
      <c r="AC1253" s="39">
        <f t="shared" si="186"/>
        <v>33562</v>
      </c>
      <c r="AD1253" s="13" t="str">
        <f t="shared" ref="AD1253:AD1259" si="193">C1253</f>
        <v>FBS</v>
      </c>
    </row>
    <row r="1254" spans="1:30" s="6" customFormat="1" ht="20.100000000000001" customHeight="1" outlineLevel="1" x14ac:dyDescent="0.25">
      <c r="A1254" s="633" t="s">
        <v>3837</v>
      </c>
      <c r="B1254" s="24"/>
      <c r="C1254" s="13" t="s">
        <v>2582</v>
      </c>
      <c r="D1254" s="40">
        <v>26200</v>
      </c>
      <c r="E1254" s="4">
        <v>38</v>
      </c>
      <c r="F1254" s="101"/>
      <c r="G1254" s="57"/>
      <c r="H1254" s="4" t="s">
        <v>6751</v>
      </c>
      <c r="I1254" s="813"/>
      <c r="J1254" s="4" t="s">
        <v>3874</v>
      </c>
      <c r="K1254" s="54"/>
      <c r="L1254" s="57"/>
      <c r="M1254" s="57"/>
      <c r="N1254" s="4" t="s">
        <v>3859</v>
      </c>
      <c r="O1254" s="4">
        <v>1393070636</v>
      </c>
      <c r="P1254" s="4">
        <v>1393070636</v>
      </c>
      <c r="Q1254" s="767"/>
      <c r="R1254" s="767"/>
      <c r="S1254" s="4"/>
      <c r="T1254" s="4"/>
      <c r="U1254" s="4"/>
      <c r="V1254" s="4"/>
      <c r="W1254" s="4"/>
      <c r="X1254" s="4" t="s">
        <v>3859</v>
      </c>
      <c r="Y1254" s="4">
        <v>26200</v>
      </c>
      <c r="Z1254" s="35"/>
      <c r="AA1254" s="1" t="str">
        <f>IFERROR(VLOOKUP(D:D,[1]Габариты!$A:$I,9,0),"")</f>
        <v>Вакансия</v>
      </c>
      <c r="AB1254" s="6" t="str">
        <f>IFERROR(VLOOKUP(D:D,[1]Габариты!$A:$D,4,0),"")</f>
        <v>СТОЛИКИ ЖУРНАЛЬНЫЕ</v>
      </c>
      <c r="AC1254" s="39">
        <f t="shared" si="186"/>
        <v>26200</v>
      </c>
      <c r="AD1254" s="13" t="str">
        <f t="shared" si="193"/>
        <v>FBO</v>
      </c>
    </row>
    <row r="1255" spans="1:30" s="6" customFormat="1" ht="20.100000000000001" customHeight="1" outlineLevel="1" x14ac:dyDescent="0.25">
      <c r="A1255" s="633" t="s">
        <v>3838</v>
      </c>
      <c r="B1255" s="24"/>
      <c r="C1255" s="13" t="s">
        <v>2582</v>
      </c>
      <c r="D1255" s="40">
        <v>26201</v>
      </c>
      <c r="E1255" s="4">
        <v>38</v>
      </c>
      <c r="F1255" s="101"/>
      <c r="G1255" s="57"/>
      <c r="H1255" s="4" t="s">
        <v>6752</v>
      </c>
      <c r="I1255" s="813"/>
      <c r="J1255" s="4" t="s">
        <v>3875</v>
      </c>
      <c r="K1255" s="54"/>
      <c r="L1255" s="57"/>
      <c r="M1255" s="57"/>
      <c r="N1255" s="4" t="s">
        <v>3860</v>
      </c>
      <c r="O1255" s="4">
        <v>1394135006</v>
      </c>
      <c r="P1255" s="4">
        <v>1394135006</v>
      </c>
      <c r="Q1255" s="767"/>
      <c r="R1255" s="767"/>
      <c r="S1255" s="4"/>
      <c r="T1255" s="4"/>
      <c r="U1255" s="4"/>
      <c r="V1255" s="4"/>
      <c r="W1255" s="4"/>
      <c r="X1255" s="4" t="s">
        <v>3860</v>
      </c>
      <c r="Y1255" s="4">
        <v>26201</v>
      </c>
      <c r="Z1255" s="35"/>
      <c r="AA1255" s="1" t="str">
        <f>IFERROR(VLOOKUP(D:D,[1]Габариты!$A:$I,9,0),"")</f>
        <v>Вакансия</v>
      </c>
      <c r="AB1255" s="6" t="str">
        <f>IFERROR(VLOOKUP(D:D,[1]Габариты!$A:$D,4,0),"")</f>
        <v>СТОЛИКИ ЖУРНАЛЬНЫЕ</v>
      </c>
      <c r="AC1255" s="39">
        <f t="shared" si="186"/>
        <v>26201</v>
      </c>
      <c r="AD1255" s="13" t="str">
        <f t="shared" si="193"/>
        <v>FBO</v>
      </c>
    </row>
    <row r="1256" spans="1:30" s="6" customFormat="1" ht="20.100000000000001" customHeight="1" outlineLevel="1" x14ac:dyDescent="0.25">
      <c r="A1256" s="633" t="s">
        <v>3839</v>
      </c>
      <c r="B1256" s="24"/>
      <c r="C1256" s="13" t="s">
        <v>2582</v>
      </c>
      <c r="D1256" s="40">
        <v>26202</v>
      </c>
      <c r="E1256" s="4">
        <v>38</v>
      </c>
      <c r="F1256" s="101"/>
      <c r="G1256" s="57"/>
      <c r="H1256" s="4" t="s">
        <v>6753</v>
      </c>
      <c r="I1256" s="813"/>
      <c r="J1256" s="4" t="s">
        <v>3876</v>
      </c>
      <c r="K1256" s="54"/>
      <c r="L1256" s="57"/>
      <c r="M1256" s="57"/>
      <c r="N1256" s="4" t="s">
        <v>3861</v>
      </c>
      <c r="O1256" s="4">
        <v>1394202199</v>
      </c>
      <c r="P1256" s="4">
        <v>1394202199</v>
      </c>
      <c r="Q1256" s="767"/>
      <c r="R1256" s="767"/>
      <c r="S1256" s="4"/>
      <c r="T1256" s="4"/>
      <c r="U1256" s="4"/>
      <c r="V1256" s="4"/>
      <c r="W1256" s="4"/>
      <c r="X1256" s="4" t="s">
        <v>3861</v>
      </c>
      <c r="Y1256" s="4">
        <v>26202</v>
      </c>
      <c r="Z1256" s="35"/>
      <c r="AA1256" s="1" t="str">
        <f>IFERROR(VLOOKUP(D:D,[1]Габариты!$A:$I,9,0),"")</f>
        <v>Вакансия</v>
      </c>
      <c r="AB1256" s="6" t="str">
        <f>IFERROR(VLOOKUP(D:D,[1]Габариты!$A:$D,4,0),"")</f>
        <v>СТОЛИКИ ЖУРНАЛЬНЫЕ</v>
      </c>
      <c r="AC1256" s="39">
        <f t="shared" si="186"/>
        <v>26202</v>
      </c>
      <c r="AD1256" s="13" t="str">
        <f t="shared" si="193"/>
        <v>FBO</v>
      </c>
    </row>
    <row r="1257" spans="1:30" s="6" customFormat="1" ht="20.100000000000001" customHeight="1" outlineLevel="1" x14ac:dyDescent="0.25">
      <c r="A1257" s="635" t="s">
        <v>983</v>
      </c>
      <c r="B1257" s="3"/>
      <c r="C1257" s="13" t="s">
        <v>2581</v>
      </c>
      <c r="D1257" s="39" t="s">
        <v>1499</v>
      </c>
      <c r="E1257" s="4">
        <v>22</v>
      </c>
      <c r="F1257" s="101" t="s">
        <v>7908</v>
      </c>
      <c r="G1257" s="57" t="s">
        <v>5160</v>
      </c>
      <c r="H1257" s="4" t="s">
        <v>6734</v>
      </c>
      <c r="I1257" s="4"/>
      <c r="J1257" s="4"/>
      <c r="K1257" s="54" t="s">
        <v>7908</v>
      </c>
      <c r="L1257" s="57">
        <v>946678733</v>
      </c>
      <c r="M1257" s="57">
        <v>946678733</v>
      </c>
      <c r="N1257" s="4" t="s">
        <v>1422</v>
      </c>
      <c r="O1257" s="4">
        <v>578301687</v>
      </c>
      <c r="P1257" s="4">
        <v>578301688</v>
      </c>
      <c r="Q1257" s="767"/>
      <c r="R1257" s="767"/>
      <c r="S1257" s="4"/>
      <c r="T1257" s="4"/>
      <c r="U1257" s="4"/>
      <c r="V1257" s="4"/>
      <c r="W1257" s="4"/>
      <c r="X1257" s="4" t="s">
        <v>1422</v>
      </c>
      <c r="Y1257" s="4" t="s">
        <v>1499</v>
      </c>
      <c r="Z1257" s="35"/>
      <c r="AA1257" s="1" t="str">
        <f>IFERROR(VLOOKUP(D:D,[1]Габариты!$A:$I,9,0),"")</f>
        <v>Вакансия</v>
      </c>
      <c r="AB1257" s="6" t="str">
        <f>IFERROR(VLOOKUP(D:D,[1]Габариты!$A:$D,4,0),"")</f>
        <v>СТОЛИКИ ЖУРНАЛЬНЫЕ</v>
      </c>
      <c r="AC1257" s="39" t="str">
        <f t="shared" si="186"/>
        <v>MK00003</v>
      </c>
      <c r="AD1257" s="13" t="str">
        <f t="shared" si="193"/>
        <v>FBS</v>
      </c>
    </row>
    <row r="1258" spans="1:30" s="6" customFormat="1" ht="20.100000000000001" customHeight="1" outlineLevel="1" x14ac:dyDescent="0.25">
      <c r="A1258" s="635" t="s">
        <v>1068</v>
      </c>
      <c r="B1258" s="3"/>
      <c r="C1258" s="13" t="s">
        <v>2581</v>
      </c>
      <c r="D1258" s="39" t="s">
        <v>1404</v>
      </c>
      <c r="E1258" s="4">
        <v>22</v>
      </c>
      <c r="F1258" s="101" t="s">
        <v>7909</v>
      </c>
      <c r="G1258" s="57" t="s">
        <v>5174</v>
      </c>
      <c r="H1258" s="4" t="s">
        <v>6735</v>
      </c>
      <c r="I1258" s="4"/>
      <c r="J1258" s="4"/>
      <c r="K1258" s="54" t="s">
        <v>7909</v>
      </c>
      <c r="L1258" s="57">
        <v>880813822</v>
      </c>
      <c r="M1258" s="57">
        <v>880813822</v>
      </c>
      <c r="N1258" s="4" t="s">
        <v>1423</v>
      </c>
      <c r="O1258" s="4">
        <v>621180473</v>
      </c>
      <c r="P1258" s="4">
        <v>621180474</v>
      </c>
      <c r="Q1258" s="767"/>
      <c r="R1258" s="767"/>
      <c r="S1258" s="4"/>
      <c r="T1258" s="4"/>
      <c r="U1258" s="4"/>
      <c r="V1258" s="4"/>
      <c r="W1258" s="4"/>
      <c r="X1258" s="4" t="s">
        <v>1423</v>
      </c>
      <c r="Y1258" s="4" t="s">
        <v>1404</v>
      </c>
      <c r="Z1258" s="35"/>
      <c r="AA1258" s="1" t="str">
        <f>IFERROR(VLOOKUP(D:D,[1]Габариты!$A:$I,9,0),"")</f>
        <v>Вакансия</v>
      </c>
      <c r="AB1258" s="6" t="str">
        <f>IFERROR(VLOOKUP(D:D,[1]Габариты!$A:$D,4,0),"")</f>
        <v>СТОЛИКИ ЖУРНАЛЬНЫЕ</v>
      </c>
      <c r="AC1258" s="39" t="str">
        <f t="shared" si="186"/>
        <v>MK00032</v>
      </c>
      <c r="AD1258" s="13" t="str">
        <f t="shared" si="193"/>
        <v>FBS</v>
      </c>
    </row>
    <row r="1259" spans="1:30" s="6" customFormat="1" ht="20.100000000000001" customHeight="1" outlineLevel="1" x14ac:dyDescent="0.25">
      <c r="A1259" s="635" t="s">
        <v>1067</v>
      </c>
      <c r="B1259" s="3"/>
      <c r="C1259" s="13" t="s">
        <v>2582</v>
      </c>
      <c r="D1259" s="39" t="s">
        <v>1500</v>
      </c>
      <c r="E1259" s="4">
        <v>40</v>
      </c>
      <c r="F1259" s="101" t="s">
        <v>4720</v>
      </c>
      <c r="G1259" s="57" t="s">
        <v>5189</v>
      </c>
      <c r="H1259" s="4" t="s">
        <v>6736</v>
      </c>
      <c r="I1259" s="4"/>
      <c r="J1259" s="4"/>
      <c r="K1259" s="54"/>
      <c r="L1259" s="57"/>
      <c r="M1259" s="57"/>
      <c r="N1259" s="4" t="s">
        <v>1424</v>
      </c>
      <c r="O1259" s="4">
        <v>702012110</v>
      </c>
      <c r="P1259" s="4">
        <v>702012109</v>
      </c>
      <c r="Q1259" s="767"/>
      <c r="R1259" s="767"/>
      <c r="S1259" s="4"/>
      <c r="T1259" s="4"/>
      <c r="U1259" s="4"/>
      <c r="V1259" s="4"/>
      <c r="W1259" s="4"/>
      <c r="X1259" s="4" t="s">
        <v>1424</v>
      </c>
      <c r="Y1259" s="4" t="s">
        <v>4066</v>
      </c>
      <c r="Z1259" s="35"/>
      <c r="AA1259" s="1" t="str">
        <f>IFERROR(VLOOKUP(D:D,[1]Габариты!$A:$I,9,0),"")</f>
        <v>Вакансия</v>
      </c>
      <c r="AB1259" s="6" t="str">
        <f>IFERROR(VLOOKUP(D:D,[1]Габариты!$A:$D,4,0),"")</f>
        <v>СТОЛИКИ ЖУРНАЛЬНЫЕ</v>
      </c>
      <c r="AC1259" s="39" t="str">
        <f t="shared" si="186"/>
        <v>MK1040101</v>
      </c>
      <c r="AD1259" s="13" t="str">
        <f t="shared" si="193"/>
        <v>FBO</v>
      </c>
    </row>
    <row r="1260" spans="1:30" s="6" customFormat="1" ht="20.100000000000001" customHeight="1" outlineLevel="1" x14ac:dyDescent="0.25">
      <c r="A1260" s="635" t="s">
        <v>1147</v>
      </c>
      <c r="B1260" s="3"/>
      <c r="C1260" s="13" t="s">
        <v>2581</v>
      </c>
      <c r="D1260" s="39" t="s">
        <v>1166</v>
      </c>
      <c r="E1260" s="4">
        <v>16</v>
      </c>
      <c r="F1260" s="101" t="s">
        <v>4719</v>
      </c>
      <c r="G1260" s="57" t="s">
        <v>5204</v>
      </c>
      <c r="H1260" s="4" t="s">
        <v>6738</v>
      </c>
      <c r="I1260" s="4"/>
      <c r="J1260" s="4"/>
      <c r="K1260" s="54" t="s">
        <v>4719</v>
      </c>
      <c r="L1260" s="57">
        <v>1422166106</v>
      </c>
      <c r="M1260" s="57">
        <v>1422166106</v>
      </c>
      <c r="N1260" s="4" t="s">
        <v>1813</v>
      </c>
      <c r="O1260" s="4">
        <v>677974293</v>
      </c>
      <c r="P1260" s="4">
        <v>677974296</v>
      </c>
      <c r="Q1260" s="767"/>
      <c r="R1260" s="767"/>
      <c r="S1260" s="4"/>
      <c r="T1260" s="4"/>
      <c r="U1260" s="4"/>
      <c r="V1260" s="4"/>
      <c r="W1260" s="4"/>
      <c r="X1260" s="4" t="s">
        <v>1813</v>
      </c>
      <c r="Y1260" s="4" t="s">
        <v>4066</v>
      </c>
      <c r="Z1260" s="35"/>
      <c r="AA1260" s="1" t="str">
        <f>IFERROR(VLOOKUP(D:D,[1]Габариты!$A:$I,9,0),"")</f>
        <v>Вакансия</v>
      </c>
      <c r="AB1260" s="6" t="str">
        <f>IFERROR(VLOOKUP(D:D,[1]Габариты!$A:$D,4,0),"")</f>
        <v>СТОЛИКИ ЖУРНАЛЬНЫЕ</v>
      </c>
      <c r="AC1260" s="39" t="str">
        <f>D1260</f>
        <v>MK1280101</v>
      </c>
      <c r="AD1260" s="13" t="str">
        <f>C1260</f>
        <v>FBS</v>
      </c>
    </row>
    <row r="1261" spans="1:30" s="6" customFormat="1" ht="20.100000000000001" customHeight="1" outlineLevel="1" x14ac:dyDescent="0.25">
      <c r="A1261" s="635" t="s">
        <v>1097</v>
      </c>
      <c r="B1261" s="3"/>
      <c r="C1261" s="13" t="s">
        <v>2582</v>
      </c>
      <c r="D1261" s="39" t="s">
        <v>1501</v>
      </c>
      <c r="E1261" s="4">
        <v>60</v>
      </c>
      <c r="F1261" s="101" t="s">
        <v>4704</v>
      </c>
      <c r="G1261" s="57" t="s">
        <v>5163</v>
      </c>
      <c r="H1261" s="4" t="s">
        <v>6737</v>
      </c>
      <c r="I1261" s="4"/>
      <c r="J1261" s="4"/>
      <c r="K1261" s="54" t="s">
        <v>4704</v>
      </c>
      <c r="L1261" s="57">
        <v>1284465495</v>
      </c>
      <c r="M1261" s="57">
        <v>1284465495</v>
      </c>
      <c r="N1261" s="4" t="s">
        <v>1425</v>
      </c>
      <c r="O1261" s="4">
        <v>661146040</v>
      </c>
      <c r="P1261" s="4">
        <v>661146039</v>
      </c>
      <c r="Q1261" s="767"/>
      <c r="R1261" s="767"/>
      <c r="S1261" s="4"/>
      <c r="T1261" s="4"/>
      <c r="U1261" s="4"/>
      <c r="V1261" s="4"/>
      <c r="W1261" s="4"/>
      <c r="X1261" s="4" t="s">
        <v>1425</v>
      </c>
      <c r="Y1261" s="4" t="s">
        <v>4066</v>
      </c>
      <c r="Z1261" s="35"/>
      <c r="AA1261" s="1" t="str">
        <f>IFERROR(VLOOKUP(D:D,[1]Габариты!$A:$I,9,0),"")</f>
        <v>Вакансия</v>
      </c>
      <c r="AB1261" s="6" t="str">
        <f>IFERROR(VLOOKUP(D:D,[1]Габариты!$A:$D,4,0),"")</f>
        <v>СТОЛИКИ ЖУРНАЛЬНЫЕ</v>
      </c>
      <c r="AC1261" s="39" t="str">
        <f>D1261</f>
        <v>MK00016</v>
      </c>
      <c r="AD1261" s="13" t="str">
        <f>C1261</f>
        <v>FBO</v>
      </c>
    </row>
    <row r="1262" spans="1:30" s="1" customFormat="1" ht="20.100000000000001" customHeight="1" outlineLevel="1" x14ac:dyDescent="0.2">
      <c r="A1262" s="754" t="s">
        <v>435</v>
      </c>
      <c r="B1262" s="754" t="s">
        <v>3846</v>
      </c>
      <c r="C1262" s="13"/>
      <c r="D1262" s="42"/>
      <c r="E1262" s="4"/>
      <c r="F1262" s="101"/>
      <c r="G1262" s="57"/>
      <c r="H1262" s="4"/>
      <c r="I1262" s="4"/>
      <c r="J1262" s="4"/>
      <c r="K1262" s="54"/>
      <c r="L1262" s="57"/>
      <c r="M1262" s="57"/>
      <c r="N1262" s="4"/>
      <c r="O1262" s="4"/>
      <c r="P1262" s="4"/>
      <c r="Q1262" s="767"/>
      <c r="R1262" s="767"/>
      <c r="S1262" s="4"/>
      <c r="T1262" s="4"/>
      <c r="U1262" s="4"/>
      <c r="V1262" s="4"/>
      <c r="W1262" s="4"/>
      <c r="X1262" s="4"/>
      <c r="Y1262" s="4" t="s">
        <v>4066</v>
      </c>
      <c r="Z1262" s="35"/>
      <c r="AA1262" s="1" t="str">
        <f>IFERROR(VLOOKUP(D:D,[1]Габариты!$A:$I,9,0),"")</f>
        <v/>
      </c>
      <c r="AB1262" s="6" t="str">
        <f>IFERROR(VLOOKUP(D:D,[1]Габариты!$A:$D,4,0),"")</f>
        <v/>
      </c>
      <c r="AC1262" s="39"/>
      <c r="AD1262" s="3"/>
    </row>
    <row r="1263" spans="1:30" s="6" customFormat="1" ht="20.100000000000001" customHeight="1" outlineLevel="1" x14ac:dyDescent="0.25">
      <c r="A1263" s="665" t="s">
        <v>278</v>
      </c>
      <c r="B1263" s="16"/>
      <c r="C1263" s="13" t="s">
        <v>2581</v>
      </c>
      <c r="D1263" s="39">
        <v>3039</v>
      </c>
      <c r="E1263" s="4">
        <v>21</v>
      </c>
      <c r="F1263" s="101">
        <v>3039</v>
      </c>
      <c r="G1263" s="57" t="s">
        <v>4973</v>
      </c>
      <c r="H1263" s="4" t="s">
        <v>7222</v>
      </c>
      <c r="I1263" s="4"/>
      <c r="J1263" s="4"/>
      <c r="K1263" s="54"/>
      <c r="L1263" s="57"/>
      <c r="M1263" s="57"/>
      <c r="N1263" s="4"/>
      <c r="O1263" s="4">
        <v>283049504</v>
      </c>
      <c r="P1263" s="4">
        <v>283049507</v>
      </c>
      <c r="Q1263" s="767" t="s">
        <v>2836</v>
      </c>
      <c r="R1263" s="767">
        <v>359744886</v>
      </c>
      <c r="S1263" s="4">
        <v>359744885</v>
      </c>
      <c r="T1263" s="4"/>
      <c r="U1263" s="4"/>
      <c r="V1263" s="4"/>
      <c r="W1263" s="4" t="s">
        <v>2328</v>
      </c>
      <c r="X1263" s="4" t="s">
        <v>756</v>
      </c>
      <c r="Y1263" s="4" t="s">
        <v>4066</v>
      </c>
      <c r="Z1263" s="35"/>
      <c r="AA1263" s="1" t="str">
        <f>IFERROR(VLOOKUP(D:D,[1]Габариты!$A:$I,9,0),"")</f>
        <v>Вакансия</v>
      </c>
      <c r="AB1263" s="6" t="str">
        <f>IFERROR(VLOOKUP(D:D,[1]Габариты!$A:$D,4,0),"")</f>
        <v>СТОЛЫ</v>
      </c>
      <c r="AC1263" s="39">
        <f t="shared" si="186"/>
        <v>3039</v>
      </c>
      <c r="AD1263" s="13" t="str">
        <f t="shared" si="184"/>
        <v>FBS</v>
      </c>
    </row>
    <row r="1264" spans="1:30" s="6" customFormat="1" ht="20.100000000000001" customHeight="1" outlineLevel="1" x14ac:dyDescent="0.25">
      <c r="A1264" s="665" t="s">
        <v>280</v>
      </c>
      <c r="B1264" s="16"/>
      <c r="C1264" s="13" t="s">
        <v>2581</v>
      </c>
      <c r="D1264" s="39">
        <v>3041</v>
      </c>
      <c r="E1264" s="4">
        <v>21</v>
      </c>
      <c r="F1264" s="101">
        <v>3041</v>
      </c>
      <c r="G1264" s="57" t="s">
        <v>4975</v>
      </c>
      <c r="H1264" s="4" t="s">
        <v>7223</v>
      </c>
      <c r="I1264" s="4"/>
      <c r="J1264" s="4"/>
      <c r="K1264" s="54"/>
      <c r="L1264" s="57"/>
      <c r="M1264" s="57"/>
      <c r="N1264" s="4"/>
      <c r="O1264" s="4">
        <v>282747888</v>
      </c>
      <c r="P1264" s="4">
        <v>282747894</v>
      </c>
      <c r="Q1264" s="767"/>
      <c r="R1264" s="767"/>
      <c r="S1264" s="4"/>
      <c r="T1264" s="4"/>
      <c r="U1264" s="4"/>
      <c r="V1264" s="4"/>
      <c r="W1264" s="4" t="s">
        <v>2330</v>
      </c>
      <c r="X1264" s="4" t="s">
        <v>758</v>
      </c>
      <c r="Y1264" s="4" t="s">
        <v>4066</v>
      </c>
      <c r="Z1264" s="35"/>
      <c r="AA1264" s="1" t="str">
        <f>IFERROR(VLOOKUP(D:D,[1]Габариты!$A:$I,9,0),"")</f>
        <v>Вакансия</v>
      </c>
      <c r="AB1264" s="6" t="str">
        <f>IFERROR(VLOOKUP(D:D,[1]Габариты!$A:$D,4,0),"")</f>
        <v>СТОЛЫ</v>
      </c>
      <c r="AC1264" s="39">
        <f t="shared" si="186"/>
        <v>3041</v>
      </c>
      <c r="AD1264" s="13" t="str">
        <f t="shared" ref="AD1264:AD1327" si="194">C1264</f>
        <v>FBS</v>
      </c>
    </row>
    <row r="1265" spans="1:30" s="6" customFormat="1" ht="20.100000000000001" customHeight="1" outlineLevel="1" x14ac:dyDescent="0.25">
      <c r="A1265" s="635" t="s">
        <v>1749</v>
      </c>
      <c r="B1265" s="24"/>
      <c r="C1265" s="13" t="s">
        <v>2582</v>
      </c>
      <c r="D1265" s="40">
        <v>9485</v>
      </c>
      <c r="E1265" s="4">
        <v>18</v>
      </c>
      <c r="F1265" s="101">
        <v>9485</v>
      </c>
      <c r="G1265" s="57"/>
      <c r="H1265" s="4" t="s">
        <v>7224</v>
      </c>
      <c r="I1265" s="4"/>
      <c r="J1265" s="4"/>
      <c r="K1265" s="54"/>
      <c r="L1265" s="57"/>
      <c r="M1265" s="57"/>
      <c r="N1265" s="4"/>
      <c r="O1265" s="4">
        <v>866069154</v>
      </c>
      <c r="P1265" s="4">
        <v>866069155</v>
      </c>
      <c r="Q1265" s="767"/>
      <c r="R1265" s="767"/>
      <c r="S1265" s="4"/>
      <c r="T1265" s="4"/>
      <c r="U1265" s="4"/>
      <c r="V1265" s="4"/>
      <c r="W1265" s="4"/>
      <c r="X1265" s="4"/>
      <c r="Y1265" s="4">
        <v>9485</v>
      </c>
      <c r="Z1265" s="35"/>
      <c r="AA1265" s="1" t="str">
        <f>IFERROR(VLOOKUP(D:D,[1]Габариты!$A:$I,9,0),"")</f>
        <v>Вакансия</v>
      </c>
      <c r="AB1265" s="6" t="str">
        <f>IFERROR(VLOOKUP(D:D,[1]Габариты!$A:$D,4,0),"")</f>
        <v>СТОЛЫ</v>
      </c>
      <c r="AC1265" s="39">
        <f t="shared" si="186"/>
        <v>9485</v>
      </c>
      <c r="AD1265" s="13" t="str">
        <f t="shared" si="194"/>
        <v>FBO</v>
      </c>
    </row>
    <row r="1266" spans="1:30" s="6" customFormat="1" ht="20.100000000000001" customHeight="1" outlineLevel="1" x14ac:dyDescent="0.25">
      <c r="A1266" s="635" t="s">
        <v>1675</v>
      </c>
      <c r="B1266" s="25"/>
      <c r="C1266" s="13" t="s">
        <v>2581</v>
      </c>
      <c r="D1266" s="40">
        <v>3546</v>
      </c>
      <c r="E1266" s="4">
        <v>15</v>
      </c>
      <c r="F1266" s="101">
        <v>3546</v>
      </c>
      <c r="G1266" s="57" t="s">
        <v>5079</v>
      </c>
      <c r="H1266" s="4" t="s">
        <v>7225</v>
      </c>
      <c r="I1266" s="4"/>
      <c r="J1266" s="4"/>
      <c r="K1266" s="54" t="s">
        <v>7868</v>
      </c>
      <c r="L1266" s="57">
        <v>933378239</v>
      </c>
      <c r="M1266" s="57">
        <v>933378239</v>
      </c>
      <c r="N1266" s="4"/>
      <c r="O1266" s="4">
        <v>819812498</v>
      </c>
      <c r="P1266" s="4">
        <v>819812497</v>
      </c>
      <c r="Q1266" s="767"/>
      <c r="R1266" s="767"/>
      <c r="S1266" s="4"/>
      <c r="T1266" s="4"/>
      <c r="U1266" s="4"/>
      <c r="V1266" s="4"/>
      <c r="W1266" s="4"/>
      <c r="X1266" s="4" t="s">
        <v>1699</v>
      </c>
      <c r="Y1266" s="4" t="s">
        <v>4066</v>
      </c>
      <c r="Z1266" s="35"/>
      <c r="AA1266" s="1" t="str">
        <f>IFERROR(VLOOKUP(D:D,[1]Габариты!$A:$I,9,0),"")</f>
        <v>Вакансия</v>
      </c>
      <c r="AB1266" s="6" t="str">
        <f>IFERROR(VLOOKUP(D:D,[1]Габариты!$A:$D,4,0),"")</f>
        <v>СТОЛЫ</v>
      </c>
      <c r="AC1266" s="39">
        <f t="shared" si="186"/>
        <v>3546</v>
      </c>
      <c r="AD1266" s="13" t="str">
        <f t="shared" si="194"/>
        <v>FBS</v>
      </c>
    </row>
    <row r="1267" spans="1:30" s="6" customFormat="1" ht="20.100000000000001" customHeight="1" outlineLevel="1" x14ac:dyDescent="0.25">
      <c r="A1267" s="635" t="s">
        <v>1656</v>
      </c>
      <c r="B1267" s="25"/>
      <c r="C1267" s="13" t="s">
        <v>3172</v>
      </c>
      <c r="D1267" s="40">
        <v>3545</v>
      </c>
      <c r="E1267" s="4">
        <v>18</v>
      </c>
      <c r="F1267" s="101">
        <v>3545</v>
      </c>
      <c r="G1267" s="57" t="s">
        <v>5078</v>
      </c>
      <c r="H1267" s="4" t="s">
        <v>7226</v>
      </c>
      <c r="I1267" s="4"/>
      <c r="J1267" s="4"/>
      <c r="K1267" s="54" t="s">
        <v>7869</v>
      </c>
      <c r="L1267" s="57">
        <v>1032273980</v>
      </c>
      <c r="M1267" s="57">
        <v>1032273980</v>
      </c>
      <c r="N1267" s="4"/>
      <c r="O1267" s="4">
        <v>807126965</v>
      </c>
      <c r="P1267" s="4">
        <v>807126966</v>
      </c>
      <c r="Q1267" s="767"/>
      <c r="R1267" s="767"/>
      <c r="S1267" s="4"/>
      <c r="T1267" s="4"/>
      <c r="U1267" s="4"/>
      <c r="V1267" s="4"/>
      <c r="W1267" s="4"/>
      <c r="X1267" s="4"/>
      <c r="Y1267" s="4" t="s">
        <v>4066</v>
      </c>
      <c r="Z1267" s="35"/>
      <c r="AA1267" s="1" t="str">
        <f>IFERROR(VLOOKUP(D:D,[1]Габариты!$A:$I,9,0),"")</f>
        <v>Вакансия</v>
      </c>
      <c r="AB1267" s="6" t="str">
        <f>IFERROR(VLOOKUP(D:D,[1]Габариты!$A:$D,4,0),"")</f>
        <v>СТОЛЫ</v>
      </c>
      <c r="AC1267" s="39">
        <f t="shared" ref="AC1267:AC1330" si="195">D1267</f>
        <v>3545</v>
      </c>
      <c r="AD1267" s="13" t="str">
        <f t="shared" si="194"/>
        <v xml:space="preserve">СКГТ </v>
      </c>
    </row>
    <row r="1268" spans="1:30" s="6" customFormat="1" ht="20.100000000000001" customHeight="1" outlineLevel="1" x14ac:dyDescent="0.25">
      <c r="A1268" s="635" t="s">
        <v>1558</v>
      </c>
      <c r="B1268" s="25"/>
      <c r="C1268" s="13" t="s">
        <v>2581</v>
      </c>
      <c r="D1268" s="40">
        <v>9577</v>
      </c>
      <c r="E1268" s="4">
        <v>18</v>
      </c>
      <c r="F1268" s="101">
        <v>9577</v>
      </c>
      <c r="G1268" s="57"/>
      <c r="H1268" s="4" t="s">
        <v>7227</v>
      </c>
      <c r="I1268" s="4"/>
      <c r="J1268" s="4"/>
      <c r="K1268" s="54"/>
      <c r="L1268" s="57"/>
      <c r="M1268" s="57"/>
      <c r="N1268" s="4"/>
      <c r="O1268" s="4">
        <v>789884192</v>
      </c>
      <c r="P1268" s="4">
        <v>789884191</v>
      </c>
      <c r="Q1268" s="767"/>
      <c r="R1268" s="767"/>
      <c r="S1268" s="4"/>
      <c r="T1268" s="4"/>
      <c r="U1268" s="4"/>
      <c r="V1268" s="4"/>
      <c r="W1268" s="4"/>
      <c r="X1268" s="4" t="s">
        <v>1630</v>
      </c>
      <c r="Y1268" s="4" t="s">
        <v>4066</v>
      </c>
      <c r="Z1268" s="35"/>
      <c r="AA1268" s="1" t="str">
        <f>IFERROR(VLOOKUP(D:D,[1]Габариты!$A:$I,9,0),"")</f>
        <v>Вакансия</v>
      </c>
      <c r="AB1268" s="6" t="str">
        <f>IFERROR(VLOOKUP(D:D,[1]Габариты!$A:$D,4,0),"")</f>
        <v>СТОЛЫ</v>
      </c>
      <c r="AC1268" s="39">
        <f t="shared" si="195"/>
        <v>9577</v>
      </c>
      <c r="AD1268" s="13" t="str">
        <f t="shared" si="194"/>
        <v>FBS</v>
      </c>
    </row>
    <row r="1269" spans="1:30" s="6" customFormat="1" ht="20.100000000000001" customHeight="1" outlineLevel="1" x14ac:dyDescent="0.25">
      <c r="A1269" s="635" t="s">
        <v>1559</v>
      </c>
      <c r="B1269" s="25"/>
      <c r="C1269" s="13" t="s">
        <v>2581</v>
      </c>
      <c r="D1269" s="40">
        <v>9580</v>
      </c>
      <c r="E1269" s="4">
        <v>18</v>
      </c>
      <c r="F1269" s="101">
        <v>9580</v>
      </c>
      <c r="G1269" s="57"/>
      <c r="H1269" s="4" t="s">
        <v>7228</v>
      </c>
      <c r="I1269" s="4"/>
      <c r="J1269" s="4"/>
      <c r="K1269" s="54"/>
      <c r="L1269" s="57"/>
      <c r="M1269" s="57"/>
      <c r="N1269" s="4"/>
      <c r="O1269" s="4">
        <v>790147124</v>
      </c>
      <c r="P1269" s="4">
        <v>790147123</v>
      </c>
      <c r="Q1269" s="767"/>
      <c r="R1269" s="767"/>
      <c r="S1269" s="4"/>
      <c r="T1269" s="4"/>
      <c r="U1269" s="4"/>
      <c r="V1269" s="4"/>
      <c r="W1269" s="4"/>
      <c r="X1269" s="4" t="s">
        <v>1631</v>
      </c>
      <c r="Y1269" s="4">
        <v>9580</v>
      </c>
      <c r="Z1269" s="35"/>
      <c r="AA1269" s="1" t="str">
        <f>IFERROR(VLOOKUP(D:D,[1]Габариты!$A:$I,9,0),"")</f>
        <v>Вакансия</v>
      </c>
      <c r="AB1269" s="6" t="str">
        <f>IFERROR(VLOOKUP(D:D,[1]Габариты!$A:$D,4,0),"")</f>
        <v>СТОЛЫ</v>
      </c>
      <c r="AC1269" s="39">
        <f t="shared" si="195"/>
        <v>9580</v>
      </c>
      <c r="AD1269" s="13" t="str">
        <f t="shared" si="194"/>
        <v>FBS</v>
      </c>
    </row>
    <row r="1270" spans="1:30" s="6" customFormat="1" ht="20.100000000000001" customHeight="1" outlineLevel="1" x14ac:dyDescent="0.25">
      <c r="A1270" s="635" t="s">
        <v>1560</v>
      </c>
      <c r="B1270" s="25"/>
      <c r="C1270" s="13" t="s">
        <v>2581</v>
      </c>
      <c r="D1270" s="40">
        <v>9581</v>
      </c>
      <c r="E1270" s="4">
        <v>18</v>
      </c>
      <c r="F1270" s="101">
        <v>9581</v>
      </c>
      <c r="G1270" s="57"/>
      <c r="H1270" s="4" t="s">
        <v>7229</v>
      </c>
      <c r="I1270" s="4"/>
      <c r="J1270" s="4"/>
      <c r="K1270" s="54"/>
      <c r="L1270" s="57"/>
      <c r="M1270" s="57"/>
      <c r="N1270" s="4"/>
      <c r="O1270" s="4">
        <v>790278211</v>
      </c>
      <c r="P1270" s="4">
        <v>790278210</v>
      </c>
      <c r="Q1270" s="767"/>
      <c r="R1270" s="767"/>
      <c r="S1270" s="4"/>
      <c r="T1270" s="4"/>
      <c r="U1270" s="4"/>
      <c r="V1270" s="4"/>
      <c r="W1270" s="4"/>
      <c r="X1270" s="4" t="s">
        <v>1632</v>
      </c>
      <c r="Y1270" s="4" t="s">
        <v>4066</v>
      </c>
      <c r="Z1270" s="35"/>
      <c r="AA1270" s="1" t="str">
        <f>IFERROR(VLOOKUP(D:D,[1]Габариты!$A:$I,9,0),"")</f>
        <v>Вакансия</v>
      </c>
      <c r="AB1270" s="6" t="str">
        <f>IFERROR(VLOOKUP(D:D,[1]Габариты!$A:$D,4,0),"")</f>
        <v>СТОЛЫ</v>
      </c>
      <c r="AC1270" s="39">
        <f t="shared" si="195"/>
        <v>9581</v>
      </c>
      <c r="AD1270" s="13" t="str">
        <f t="shared" si="194"/>
        <v>FBS</v>
      </c>
    </row>
    <row r="1271" spans="1:30" s="6" customFormat="1" ht="20.100000000000001" customHeight="1" outlineLevel="1" x14ac:dyDescent="0.25">
      <c r="A1271" s="635" t="s">
        <v>145</v>
      </c>
      <c r="B1271" s="16"/>
      <c r="C1271" s="13" t="s">
        <v>2581</v>
      </c>
      <c r="D1271" s="39">
        <v>2633</v>
      </c>
      <c r="E1271" s="4">
        <v>18</v>
      </c>
      <c r="F1271" s="101">
        <v>2633</v>
      </c>
      <c r="G1271" s="57" t="s">
        <v>4848</v>
      </c>
      <c r="H1271" s="4" t="s">
        <v>7230</v>
      </c>
      <c r="I1271" s="4"/>
      <c r="J1271" s="4"/>
      <c r="K1271" s="54" t="s">
        <v>2339</v>
      </c>
      <c r="L1271" s="57">
        <v>248791035</v>
      </c>
      <c r="M1271" s="57">
        <v>248791035</v>
      </c>
      <c r="N1271" s="4"/>
      <c r="O1271" s="4">
        <v>266750514</v>
      </c>
      <c r="P1271" s="4">
        <v>266750522</v>
      </c>
      <c r="Q1271" s="767" t="s">
        <v>2844</v>
      </c>
      <c r="R1271" s="767">
        <v>357610137</v>
      </c>
      <c r="S1271" s="4">
        <v>357610138</v>
      </c>
      <c r="T1271" s="4"/>
      <c r="U1271" s="4"/>
      <c r="V1271" s="4"/>
      <c r="W1271" s="4" t="s">
        <v>2339</v>
      </c>
      <c r="X1271" s="4" t="s">
        <v>628</v>
      </c>
      <c r="Y1271" s="4">
        <v>2633</v>
      </c>
      <c r="Z1271" s="35"/>
      <c r="AA1271" s="1" t="str">
        <f>IFERROR(VLOOKUP(D:D,[1]Габариты!$A:$I,9,0),"")</f>
        <v>Вакансия</v>
      </c>
      <c r="AB1271" s="6" t="str">
        <f>IFERROR(VLOOKUP(D:D,[1]Габариты!$A:$D,4,0),"")</f>
        <v>СТОЛЫ</v>
      </c>
      <c r="AC1271" s="39">
        <f t="shared" si="195"/>
        <v>2633</v>
      </c>
      <c r="AD1271" s="13" t="str">
        <f t="shared" si="194"/>
        <v>FBS</v>
      </c>
    </row>
    <row r="1272" spans="1:30" s="6" customFormat="1" ht="20.100000000000001" customHeight="1" outlineLevel="1" x14ac:dyDescent="0.25">
      <c r="A1272" s="635" t="s">
        <v>170</v>
      </c>
      <c r="B1272" s="16"/>
      <c r="C1272" s="13" t="s">
        <v>2581</v>
      </c>
      <c r="D1272" s="39">
        <v>2675</v>
      </c>
      <c r="E1272" s="4">
        <v>18</v>
      </c>
      <c r="F1272" s="101">
        <v>2675</v>
      </c>
      <c r="G1272" s="57" t="s">
        <v>4866</v>
      </c>
      <c r="H1272" s="4" t="s">
        <v>7231</v>
      </c>
      <c r="I1272" s="4"/>
      <c r="J1272" s="4"/>
      <c r="K1272" s="54"/>
      <c r="L1272" s="57"/>
      <c r="M1272" s="57"/>
      <c r="N1272" s="4"/>
      <c r="O1272" s="4">
        <v>265833224</v>
      </c>
      <c r="P1272" s="4">
        <v>265833227</v>
      </c>
      <c r="Q1272" s="767" t="s">
        <v>2845</v>
      </c>
      <c r="R1272" s="767">
        <v>346923784</v>
      </c>
      <c r="S1272" s="4">
        <v>346923832</v>
      </c>
      <c r="T1272" s="4"/>
      <c r="U1272" s="4"/>
      <c r="V1272" s="4"/>
      <c r="W1272" s="4" t="s">
        <v>2340</v>
      </c>
      <c r="X1272" s="4" t="s">
        <v>645</v>
      </c>
      <c r="Y1272" s="4" t="s">
        <v>4066</v>
      </c>
      <c r="Z1272" s="35"/>
      <c r="AA1272" s="1" t="str">
        <f>IFERROR(VLOOKUP(D:D,[1]Габариты!$A:$I,9,0),"")</f>
        <v>Вакансия</v>
      </c>
      <c r="AB1272" s="6" t="str">
        <f>IFERROR(VLOOKUP(D:D,[1]Габариты!$A:$D,4,0),"")</f>
        <v>СТОЛЫ</v>
      </c>
      <c r="AC1272" s="39">
        <f t="shared" si="195"/>
        <v>2675</v>
      </c>
      <c r="AD1272" s="13" t="str">
        <f t="shared" si="194"/>
        <v>FBS</v>
      </c>
    </row>
    <row r="1273" spans="1:30" s="6" customFormat="1" ht="20.100000000000001" customHeight="1" outlineLevel="1" x14ac:dyDescent="0.25">
      <c r="A1273" s="635" t="s">
        <v>112</v>
      </c>
      <c r="B1273" s="16"/>
      <c r="C1273" s="13" t="s">
        <v>2581</v>
      </c>
      <c r="D1273" s="39">
        <v>2631</v>
      </c>
      <c r="E1273" s="4">
        <v>20</v>
      </c>
      <c r="F1273" s="101">
        <v>2631</v>
      </c>
      <c r="G1273" s="57" t="s">
        <v>4846</v>
      </c>
      <c r="H1273" s="4" t="s">
        <v>7232</v>
      </c>
      <c r="I1273" s="4" t="s">
        <v>1270</v>
      </c>
      <c r="J1273" s="4"/>
      <c r="K1273" s="54" t="s">
        <v>2341</v>
      </c>
      <c r="L1273" s="57">
        <v>219430422</v>
      </c>
      <c r="M1273" s="57">
        <v>219430422</v>
      </c>
      <c r="N1273" s="4" t="s">
        <v>626</v>
      </c>
      <c r="O1273" s="4">
        <v>265227193</v>
      </c>
      <c r="P1273" s="4">
        <v>265227201</v>
      </c>
      <c r="Q1273" s="767" t="s">
        <v>2846</v>
      </c>
      <c r="R1273" s="767">
        <v>323260757</v>
      </c>
      <c r="S1273" s="4">
        <v>323260787</v>
      </c>
      <c r="T1273" s="4"/>
      <c r="U1273" s="4"/>
      <c r="V1273" s="4"/>
      <c r="W1273" s="4" t="s">
        <v>2341</v>
      </c>
      <c r="X1273" s="4" t="s">
        <v>626</v>
      </c>
      <c r="Y1273" s="4">
        <v>2631</v>
      </c>
      <c r="Z1273" s="35"/>
      <c r="AA1273" s="1" t="str">
        <f>IFERROR(VLOOKUP(D:D,[1]Габариты!$A:$I,9,0),"")</f>
        <v>Вакансия</v>
      </c>
      <c r="AB1273" s="6" t="str">
        <f>IFERROR(VLOOKUP(D:D,[1]Габариты!$A:$D,4,0),"")</f>
        <v>СТОЛЫ</v>
      </c>
      <c r="AC1273" s="39">
        <f t="shared" si="195"/>
        <v>2631</v>
      </c>
      <c r="AD1273" s="13" t="str">
        <f t="shared" si="194"/>
        <v>FBS</v>
      </c>
    </row>
    <row r="1274" spans="1:30" s="6" customFormat="1" ht="20.100000000000001" customHeight="1" outlineLevel="1" x14ac:dyDescent="0.25">
      <c r="A1274" s="635" t="s">
        <v>143</v>
      </c>
      <c r="B1274" s="16"/>
      <c r="C1274" s="13" t="s">
        <v>4050</v>
      </c>
      <c r="D1274" s="39">
        <v>2629</v>
      </c>
      <c r="E1274" s="4">
        <v>12</v>
      </c>
      <c r="F1274" s="101">
        <v>2629</v>
      </c>
      <c r="G1274" s="57"/>
      <c r="H1274" s="4" t="s">
        <v>7233</v>
      </c>
      <c r="I1274" s="4"/>
      <c r="J1274" s="4"/>
      <c r="K1274" s="54" t="s">
        <v>2342</v>
      </c>
      <c r="L1274" s="57">
        <v>279098165</v>
      </c>
      <c r="M1274" s="57">
        <v>279098165</v>
      </c>
      <c r="N1274" s="4" t="s">
        <v>2628</v>
      </c>
      <c r="O1274" s="4">
        <v>267067252</v>
      </c>
      <c r="P1274" s="4">
        <v>267067269</v>
      </c>
      <c r="Q1274" s="767"/>
      <c r="R1274" s="767"/>
      <c r="S1274" s="4"/>
      <c r="T1274" s="4"/>
      <c r="U1274" s="4"/>
      <c r="V1274" s="4"/>
      <c r="W1274" s="4" t="s">
        <v>2342</v>
      </c>
      <c r="X1274" s="4"/>
      <c r="Y1274" s="4" t="s">
        <v>4066</v>
      </c>
      <c r="Z1274" s="35"/>
      <c r="AA1274" s="1" t="str">
        <f>IFERROR(VLOOKUP(D:D,[1]Габариты!$A:$I,9,0),"")</f>
        <v>Вакансия</v>
      </c>
      <c r="AB1274" s="6" t="str">
        <f>IFERROR(VLOOKUP(D:D,[1]Габариты!$A:$D,4,0),"")</f>
        <v>СТОЛЫ</v>
      </c>
      <c r="AC1274" s="39">
        <f t="shared" si="195"/>
        <v>2629</v>
      </c>
      <c r="AD1274" s="13" t="str">
        <f t="shared" si="194"/>
        <v>СКГТ (ОЗОН)</v>
      </c>
    </row>
    <row r="1275" spans="1:30" s="6" customFormat="1" ht="20.100000000000001" customHeight="1" outlineLevel="1" x14ac:dyDescent="0.25">
      <c r="A1275" s="635" t="s">
        <v>50</v>
      </c>
      <c r="B1275" s="3"/>
      <c r="C1275" s="13" t="s">
        <v>2582</v>
      </c>
      <c r="D1275" s="39">
        <v>2569</v>
      </c>
      <c r="E1275" s="4">
        <v>30</v>
      </c>
      <c r="F1275" s="101">
        <v>2569</v>
      </c>
      <c r="G1275" s="57" t="s">
        <v>4818</v>
      </c>
      <c r="H1275" s="4" t="s">
        <v>7437</v>
      </c>
      <c r="I1275" s="4"/>
      <c r="J1275" s="4"/>
      <c r="K1275" s="54" t="s">
        <v>2366</v>
      </c>
      <c r="L1275" s="57">
        <v>177833678</v>
      </c>
      <c r="M1275" s="57">
        <v>177833678</v>
      </c>
      <c r="N1275" s="4" t="s">
        <v>601</v>
      </c>
      <c r="O1275" s="4">
        <v>262985459</v>
      </c>
      <c r="P1275" s="4">
        <v>262985460</v>
      </c>
      <c r="Q1275" s="767" t="s">
        <v>2866</v>
      </c>
      <c r="R1275" s="767">
        <v>370785091</v>
      </c>
      <c r="S1275" s="4">
        <v>370785092</v>
      </c>
      <c r="T1275" s="4"/>
      <c r="U1275" s="4"/>
      <c r="V1275" s="4"/>
      <c r="W1275" s="4" t="s">
        <v>2366</v>
      </c>
      <c r="X1275" s="4" t="s">
        <v>601</v>
      </c>
      <c r="Y1275" s="4" t="s">
        <v>4066</v>
      </c>
      <c r="Z1275" s="35"/>
      <c r="AA1275" s="1" t="str">
        <f>IFERROR(VLOOKUP(D:D,[1]Габариты!$A:$I,9,0),"")</f>
        <v>Вакансия</v>
      </c>
      <c r="AB1275" s="6" t="str">
        <f>IFERROR(VLOOKUP(D:D,[1]Габариты!$A:$D,4,0),"")</f>
        <v>СТОЛЫ</v>
      </c>
      <c r="AC1275" s="39">
        <f t="shared" si="195"/>
        <v>2569</v>
      </c>
      <c r="AD1275" s="13" t="str">
        <f t="shared" si="194"/>
        <v>FBO</v>
      </c>
    </row>
    <row r="1276" spans="1:30" s="6" customFormat="1" ht="20.100000000000001" customHeight="1" outlineLevel="1" x14ac:dyDescent="0.25">
      <c r="A1276" s="635" t="s">
        <v>51</v>
      </c>
      <c r="B1276" s="3"/>
      <c r="C1276" s="13" t="s">
        <v>2582</v>
      </c>
      <c r="D1276" s="39">
        <v>2543</v>
      </c>
      <c r="E1276" s="4">
        <v>30</v>
      </c>
      <c r="F1276" s="101">
        <v>2543</v>
      </c>
      <c r="G1276" s="57" t="s">
        <v>4811</v>
      </c>
      <c r="H1276" s="4" t="s">
        <v>7234</v>
      </c>
      <c r="I1276" s="4"/>
      <c r="J1276" s="4"/>
      <c r="K1276" s="54" t="s">
        <v>2367</v>
      </c>
      <c r="L1276" s="57">
        <v>173740373</v>
      </c>
      <c r="M1276" s="57">
        <v>173740373</v>
      </c>
      <c r="N1276" s="806" t="s">
        <v>7679</v>
      </c>
      <c r="O1276" s="4">
        <v>266228927</v>
      </c>
      <c r="P1276" s="4">
        <v>266228945</v>
      </c>
      <c r="Q1276" s="767" t="s">
        <v>2867</v>
      </c>
      <c r="R1276" s="767">
        <v>347721138</v>
      </c>
      <c r="S1276" s="4">
        <v>347721176</v>
      </c>
      <c r="T1276" s="4"/>
      <c r="U1276" s="4"/>
      <c r="V1276" s="4"/>
      <c r="W1276" s="4" t="s">
        <v>2367</v>
      </c>
      <c r="X1276" s="4"/>
      <c r="Y1276" s="4" t="s">
        <v>4066</v>
      </c>
      <c r="Z1276" s="35"/>
      <c r="AA1276" s="1" t="str">
        <f>IFERROR(VLOOKUP(D:D,[1]Габариты!$A:$I,9,0),"")</f>
        <v>Вакансия</v>
      </c>
      <c r="AB1276" s="6" t="str">
        <f>IFERROR(VLOOKUP(D:D,[1]Габариты!$A:$D,4,0),"")</f>
        <v>СТОЛЫ</v>
      </c>
      <c r="AC1276" s="39">
        <f t="shared" si="195"/>
        <v>2543</v>
      </c>
      <c r="AD1276" s="13" t="str">
        <f t="shared" si="194"/>
        <v>FBO</v>
      </c>
    </row>
    <row r="1277" spans="1:30" s="6" customFormat="1" ht="20.100000000000001" customHeight="1" outlineLevel="1" x14ac:dyDescent="0.25">
      <c r="A1277" s="635" t="s">
        <v>52</v>
      </c>
      <c r="B1277" s="3"/>
      <c r="C1277" s="13" t="s">
        <v>2582</v>
      </c>
      <c r="D1277" s="39">
        <v>2556</v>
      </c>
      <c r="E1277" s="4">
        <v>30</v>
      </c>
      <c r="F1277" s="101">
        <v>2556</v>
      </c>
      <c r="G1277" s="57" t="s">
        <v>4814</v>
      </c>
      <c r="H1277" s="4" t="s">
        <v>7235</v>
      </c>
      <c r="I1277" s="4"/>
      <c r="J1277" s="4"/>
      <c r="K1277" s="54" t="s">
        <v>2368</v>
      </c>
      <c r="L1277" s="57">
        <v>173740375</v>
      </c>
      <c r="M1277" s="57">
        <v>173740375</v>
      </c>
      <c r="N1277" s="4"/>
      <c r="O1277" s="4">
        <v>267064087</v>
      </c>
      <c r="P1277" s="4">
        <v>267064118</v>
      </c>
      <c r="Q1277" s="767" t="s">
        <v>2868</v>
      </c>
      <c r="R1277" s="767">
        <v>347730577</v>
      </c>
      <c r="S1277" s="4">
        <v>347730619</v>
      </c>
      <c r="T1277" s="4"/>
      <c r="U1277" s="4"/>
      <c r="V1277" s="4"/>
      <c r="W1277" s="4" t="s">
        <v>2368</v>
      </c>
      <c r="X1277" s="4"/>
      <c r="Y1277" s="4" t="s">
        <v>4066</v>
      </c>
      <c r="Z1277" s="35"/>
      <c r="AA1277" s="1" t="str">
        <f>IFERROR(VLOOKUP(D:D,[1]Габариты!$A:$I,9,0),"")</f>
        <v>Вакансия</v>
      </c>
      <c r="AB1277" s="6" t="str">
        <f>IFERROR(VLOOKUP(D:D,[1]Габариты!$A:$D,4,0),"")</f>
        <v>СТОЛЫ</v>
      </c>
      <c r="AC1277" s="39">
        <f t="shared" si="195"/>
        <v>2556</v>
      </c>
      <c r="AD1277" s="13" t="str">
        <f t="shared" si="194"/>
        <v>FBO</v>
      </c>
    </row>
    <row r="1278" spans="1:30" s="6" customFormat="1" ht="20.100000000000001" customHeight="1" outlineLevel="1" x14ac:dyDescent="0.25">
      <c r="A1278" s="635" t="s">
        <v>126</v>
      </c>
      <c r="B1278" s="3"/>
      <c r="C1278" s="13" t="s">
        <v>2581</v>
      </c>
      <c r="D1278" s="39">
        <v>2572</v>
      </c>
      <c r="E1278" s="4">
        <v>20</v>
      </c>
      <c r="F1278" s="101">
        <v>2572</v>
      </c>
      <c r="G1278" s="57" t="s">
        <v>4819</v>
      </c>
      <c r="H1278" s="4" t="s">
        <v>7236</v>
      </c>
      <c r="I1278" s="4" t="s">
        <v>1295</v>
      </c>
      <c r="J1278" s="4"/>
      <c r="K1278" s="54" t="s">
        <v>2369</v>
      </c>
      <c r="L1278" s="57">
        <v>248806495</v>
      </c>
      <c r="M1278" s="57">
        <v>248806495</v>
      </c>
      <c r="N1278" s="4"/>
      <c r="O1278" s="818">
        <v>265227506</v>
      </c>
      <c r="P1278" s="818">
        <v>265227535</v>
      </c>
      <c r="Q1278" s="767" t="s">
        <v>2869</v>
      </c>
      <c r="R1278" s="767">
        <v>323325770</v>
      </c>
      <c r="S1278" s="4">
        <v>323325808</v>
      </c>
      <c r="T1278" s="4"/>
      <c r="U1278" s="4"/>
      <c r="V1278" s="4"/>
      <c r="W1278" s="4" t="s">
        <v>2369</v>
      </c>
      <c r="X1278" s="4" t="s">
        <v>602</v>
      </c>
      <c r="Y1278" s="4">
        <v>2572</v>
      </c>
      <c r="Z1278" s="35"/>
      <c r="AA1278" s="1" t="str">
        <f>IFERROR(VLOOKUP(D:D,[1]Габариты!$A:$I,9,0),"")</f>
        <v>Вакансия</v>
      </c>
      <c r="AB1278" s="6" t="str">
        <f>IFERROR(VLOOKUP(D:D,[1]Габариты!$A:$D,4,0),"")</f>
        <v>СТОЛЫ</v>
      </c>
      <c r="AC1278" s="39">
        <f t="shared" si="195"/>
        <v>2572</v>
      </c>
      <c r="AD1278" s="13" t="str">
        <f t="shared" si="194"/>
        <v>FBS</v>
      </c>
    </row>
    <row r="1279" spans="1:30" s="6" customFormat="1" ht="20.100000000000001" customHeight="1" outlineLevel="1" x14ac:dyDescent="0.25">
      <c r="A1279" s="635" t="s">
        <v>141</v>
      </c>
      <c r="B1279" s="3"/>
      <c r="C1279" s="13" t="s">
        <v>2581</v>
      </c>
      <c r="D1279" s="39">
        <v>2573</v>
      </c>
      <c r="E1279" s="4">
        <v>20</v>
      </c>
      <c r="F1279" s="101">
        <v>2573</v>
      </c>
      <c r="G1279" s="57" t="s">
        <v>4820</v>
      </c>
      <c r="H1279" s="4" t="s">
        <v>7237</v>
      </c>
      <c r="I1279" s="4" t="s">
        <v>1296</v>
      </c>
      <c r="J1279" s="4"/>
      <c r="K1279" s="54" t="s">
        <v>2370</v>
      </c>
      <c r="L1279" s="57">
        <v>259835529</v>
      </c>
      <c r="M1279" s="57">
        <v>259835529</v>
      </c>
      <c r="N1279" s="4"/>
      <c r="O1279" s="4">
        <v>286523818</v>
      </c>
      <c r="P1279" s="4">
        <v>286523883</v>
      </c>
      <c r="Q1279" s="767" t="s">
        <v>2870</v>
      </c>
      <c r="R1279" s="767">
        <v>323338187</v>
      </c>
      <c r="S1279" s="4">
        <v>323338372</v>
      </c>
      <c r="T1279" s="4"/>
      <c r="U1279" s="4"/>
      <c r="V1279" s="4"/>
      <c r="W1279" s="4" t="s">
        <v>2370</v>
      </c>
      <c r="X1279" s="4" t="s">
        <v>603</v>
      </c>
      <c r="Y1279" s="4">
        <v>2573</v>
      </c>
      <c r="Z1279" s="35"/>
      <c r="AA1279" s="1" t="str">
        <f>IFERROR(VLOOKUP(D:D,[1]Габариты!$A:$I,9,0),"")</f>
        <v>Вакансия</v>
      </c>
      <c r="AB1279" s="6" t="str">
        <f>IFERROR(VLOOKUP(D:D,[1]Габариты!$A:$D,4,0),"")</f>
        <v>СТОЛЫ</v>
      </c>
      <c r="AC1279" s="39">
        <f t="shared" si="195"/>
        <v>2573</v>
      </c>
      <c r="AD1279" s="13" t="str">
        <f t="shared" si="194"/>
        <v>FBS</v>
      </c>
    </row>
    <row r="1280" spans="1:30" s="6" customFormat="1" ht="20.100000000000001" customHeight="1" outlineLevel="1" x14ac:dyDescent="0.25">
      <c r="A1280" s="635" t="s">
        <v>127</v>
      </c>
      <c r="B1280" s="3"/>
      <c r="C1280" s="13" t="s">
        <v>2581</v>
      </c>
      <c r="D1280" s="39">
        <v>2574</v>
      </c>
      <c r="E1280" s="4">
        <v>20</v>
      </c>
      <c r="F1280" s="101">
        <v>2574</v>
      </c>
      <c r="G1280" s="57" t="s">
        <v>4821</v>
      </c>
      <c r="H1280" s="4" t="s">
        <v>7238</v>
      </c>
      <c r="I1280" s="4" t="s">
        <v>1297</v>
      </c>
      <c r="J1280" s="4"/>
      <c r="K1280" s="54" t="s">
        <v>2371</v>
      </c>
      <c r="L1280" s="57">
        <v>248823495</v>
      </c>
      <c r="M1280" s="57">
        <v>248823495</v>
      </c>
      <c r="N1280" s="4"/>
      <c r="O1280" s="4">
        <v>265258685</v>
      </c>
      <c r="P1280" s="4">
        <v>265258694</v>
      </c>
      <c r="Q1280" s="767" t="s">
        <v>2871</v>
      </c>
      <c r="R1280" s="767">
        <v>323365189</v>
      </c>
      <c r="S1280" s="4">
        <v>323365217</v>
      </c>
      <c r="T1280" s="4"/>
      <c r="U1280" s="4"/>
      <c r="V1280" s="4"/>
      <c r="W1280" s="4" t="s">
        <v>2371</v>
      </c>
      <c r="X1280" s="4" t="s">
        <v>604</v>
      </c>
      <c r="Y1280" s="4">
        <v>2574</v>
      </c>
      <c r="Z1280" s="35"/>
      <c r="AA1280" s="1" t="str">
        <f>IFERROR(VLOOKUP(D:D,[1]Габариты!$A:$I,9,0),"")</f>
        <v>Вакансия</v>
      </c>
      <c r="AB1280" s="6" t="str">
        <f>IFERROR(VLOOKUP(D:D,[1]Габариты!$A:$D,4,0),"")</f>
        <v>СТОЛЫ</v>
      </c>
      <c r="AC1280" s="39">
        <f t="shared" si="195"/>
        <v>2574</v>
      </c>
      <c r="AD1280" s="13" t="str">
        <f t="shared" si="194"/>
        <v>FBS</v>
      </c>
    </row>
    <row r="1281" spans="1:30" s="6" customFormat="1" ht="20.100000000000001" customHeight="1" outlineLevel="1" x14ac:dyDescent="0.25">
      <c r="A1281" s="665" t="s">
        <v>271</v>
      </c>
      <c r="B1281" s="2"/>
      <c r="C1281" s="13" t="s">
        <v>2582</v>
      </c>
      <c r="D1281" s="39">
        <v>3032</v>
      </c>
      <c r="E1281" s="4">
        <v>60</v>
      </c>
      <c r="F1281" s="101">
        <v>3032</v>
      </c>
      <c r="G1281" s="57" t="s">
        <v>4968</v>
      </c>
      <c r="H1281" s="4" t="s">
        <v>7239</v>
      </c>
      <c r="I1281" s="4"/>
      <c r="J1281" s="4"/>
      <c r="K1281" s="54"/>
      <c r="L1281" s="57"/>
      <c r="M1281" s="57"/>
      <c r="N1281" s="4"/>
      <c r="O1281" s="4"/>
      <c r="P1281" s="4"/>
      <c r="Q1281" s="767" t="s">
        <v>2872</v>
      </c>
      <c r="R1281" s="767">
        <v>378134867</v>
      </c>
      <c r="S1281" s="4">
        <v>378134867</v>
      </c>
      <c r="T1281" s="4"/>
      <c r="U1281" s="4"/>
      <c r="V1281" s="4"/>
      <c r="W1281" s="4" t="s">
        <v>2372</v>
      </c>
      <c r="X1281" s="4" t="s">
        <v>751</v>
      </c>
      <c r="Y1281" s="4" t="s">
        <v>4066</v>
      </c>
      <c r="Z1281" s="35"/>
      <c r="AA1281" s="1" t="str">
        <f>IFERROR(VLOOKUP(D:D,[1]Габариты!$A:$I,9,0),"")</f>
        <v>Вакансия</v>
      </c>
      <c r="AB1281" s="6" t="str">
        <f>IFERROR(VLOOKUP(D:D,[1]Габариты!$A:$D,4,0),"")</f>
        <v>СТОЛЫ</v>
      </c>
      <c r="AC1281" s="39">
        <f t="shared" si="195"/>
        <v>3032</v>
      </c>
      <c r="AD1281" s="13" t="str">
        <f t="shared" si="194"/>
        <v>FBO</v>
      </c>
    </row>
    <row r="1282" spans="1:30" s="6" customFormat="1" ht="20.100000000000001" customHeight="1" outlineLevel="1" x14ac:dyDescent="0.25">
      <c r="A1282" s="665" t="s">
        <v>272</v>
      </c>
      <c r="B1282" s="2"/>
      <c r="C1282" s="13" t="s">
        <v>2582</v>
      </c>
      <c r="D1282" s="39">
        <v>3033</v>
      </c>
      <c r="E1282" s="4">
        <v>60</v>
      </c>
      <c r="F1282" s="101">
        <v>3033</v>
      </c>
      <c r="G1282" s="57" t="s">
        <v>6168</v>
      </c>
      <c r="H1282" s="4" t="s">
        <v>7240</v>
      </c>
      <c r="I1282" s="4"/>
      <c r="J1282" s="4"/>
      <c r="K1282" s="54"/>
      <c r="L1282" s="57"/>
      <c r="M1282" s="57"/>
      <c r="N1282" s="4"/>
      <c r="O1282" s="4"/>
      <c r="P1282" s="4"/>
      <c r="Q1282" s="767" t="s">
        <v>2873</v>
      </c>
      <c r="R1282" s="767">
        <v>352804483</v>
      </c>
      <c r="S1282" s="4">
        <v>352804482</v>
      </c>
      <c r="T1282" s="4"/>
      <c r="U1282" s="4"/>
      <c r="V1282" s="4"/>
      <c r="W1282" s="4" t="s">
        <v>2373</v>
      </c>
      <c r="X1282" s="4" t="s">
        <v>752</v>
      </c>
      <c r="Y1282" s="4" t="s">
        <v>4066</v>
      </c>
      <c r="Z1282" s="35"/>
      <c r="AA1282" s="1" t="str">
        <f>IFERROR(VLOOKUP(D:D,[1]Габариты!$A:$I,9,0),"")</f>
        <v>Вакансия</v>
      </c>
      <c r="AB1282" s="6" t="str">
        <f>IFERROR(VLOOKUP(D:D,[1]Габариты!$A:$D,4,0),"")</f>
        <v>СТОЛЫ</v>
      </c>
      <c r="AC1282" s="39">
        <f t="shared" si="195"/>
        <v>3033</v>
      </c>
      <c r="AD1282" s="13" t="str">
        <f t="shared" si="194"/>
        <v>FBO</v>
      </c>
    </row>
    <row r="1283" spans="1:30" s="6" customFormat="1" ht="20.100000000000001" customHeight="1" outlineLevel="1" x14ac:dyDescent="0.25">
      <c r="A1283" s="635" t="s">
        <v>66</v>
      </c>
      <c r="B1283" s="3"/>
      <c r="C1283" s="13" t="s">
        <v>2582</v>
      </c>
      <c r="D1283" s="39">
        <v>2473</v>
      </c>
      <c r="E1283" s="4">
        <v>60</v>
      </c>
      <c r="F1283" s="101">
        <v>2473</v>
      </c>
      <c r="G1283" s="57" t="s">
        <v>4786</v>
      </c>
      <c r="H1283" s="4" t="s">
        <v>7241</v>
      </c>
      <c r="I1283" s="4"/>
      <c r="J1283" s="4"/>
      <c r="K1283" s="54"/>
      <c r="L1283" s="57"/>
      <c r="M1283" s="57"/>
      <c r="N1283" s="4"/>
      <c r="O1283" s="4"/>
      <c r="P1283" s="4"/>
      <c r="Q1283" s="767" t="s">
        <v>2874</v>
      </c>
      <c r="R1283" s="767">
        <v>370860276</v>
      </c>
      <c r="S1283" s="4">
        <v>370860276</v>
      </c>
      <c r="T1283" s="4"/>
      <c r="U1283" s="4"/>
      <c r="V1283" s="4"/>
      <c r="W1283" s="4" t="s">
        <v>2374</v>
      </c>
      <c r="X1283" s="4" t="s">
        <v>577</v>
      </c>
      <c r="Y1283" s="4" t="s">
        <v>4066</v>
      </c>
      <c r="Z1283" s="35"/>
      <c r="AA1283" s="1" t="str">
        <f>IFERROR(VLOOKUP(D:D,[1]Габариты!$A:$I,9,0),"")</f>
        <v>Вакансия</v>
      </c>
      <c r="AB1283" s="6" t="str">
        <f>IFERROR(VLOOKUP(D:D,[1]Габариты!$A:$D,4,0),"")</f>
        <v>СТОЛЫ</v>
      </c>
      <c r="AC1283" s="39">
        <f t="shared" si="195"/>
        <v>2473</v>
      </c>
      <c r="AD1283" s="13" t="str">
        <f t="shared" si="194"/>
        <v>FBO</v>
      </c>
    </row>
    <row r="1284" spans="1:30" s="6" customFormat="1" ht="20.100000000000001" customHeight="1" outlineLevel="1" x14ac:dyDescent="0.25">
      <c r="A1284" s="635" t="s">
        <v>211</v>
      </c>
      <c r="B1284" s="3"/>
      <c r="C1284" s="13" t="s">
        <v>2581</v>
      </c>
      <c r="D1284" s="39">
        <v>2948</v>
      </c>
      <c r="E1284" s="4">
        <v>27</v>
      </c>
      <c r="F1284" s="101">
        <v>2948</v>
      </c>
      <c r="G1284" s="57" t="s">
        <v>4908</v>
      </c>
      <c r="H1284" s="4" t="s">
        <v>7242</v>
      </c>
      <c r="I1284" s="4" t="s">
        <v>1298</v>
      </c>
      <c r="J1284" s="4"/>
      <c r="K1284" s="54" t="s">
        <v>2375</v>
      </c>
      <c r="L1284" s="57">
        <v>254664783</v>
      </c>
      <c r="M1284" s="57">
        <v>254664783</v>
      </c>
      <c r="N1284" s="4"/>
      <c r="O1284" s="4">
        <v>267075994</v>
      </c>
      <c r="P1284" s="4">
        <v>267076000</v>
      </c>
      <c r="Q1284" s="767" t="s">
        <v>2875</v>
      </c>
      <c r="R1284" s="767">
        <v>323340712</v>
      </c>
      <c r="S1284" s="4">
        <v>323340734</v>
      </c>
      <c r="T1284" s="4"/>
      <c r="U1284" s="4"/>
      <c r="V1284" s="4"/>
      <c r="W1284" s="4" t="s">
        <v>2375</v>
      </c>
      <c r="X1284" s="4" t="s">
        <v>690</v>
      </c>
      <c r="Y1284" s="4">
        <v>2948</v>
      </c>
      <c r="Z1284" s="35"/>
      <c r="AA1284" s="1" t="str">
        <f>IFERROR(VLOOKUP(D:D,[1]Габариты!$A:$I,9,0),"")</f>
        <v>Вакансия</v>
      </c>
      <c r="AB1284" s="6" t="str">
        <f>IFERROR(VLOOKUP(D:D,[1]Габариты!$A:$D,4,0),"")</f>
        <v>СТОЛЫ</v>
      </c>
      <c r="AC1284" s="39">
        <f t="shared" si="195"/>
        <v>2948</v>
      </c>
      <c r="AD1284" s="13" t="str">
        <f t="shared" si="194"/>
        <v>FBS</v>
      </c>
    </row>
    <row r="1285" spans="1:30" s="6" customFormat="1" ht="20.100000000000001" customHeight="1" outlineLevel="1" x14ac:dyDescent="0.25">
      <c r="A1285" s="635" t="s">
        <v>212</v>
      </c>
      <c r="B1285" s="3"/>
      <c r="C1285" s="13" t="s">
        <v>2581</v>
      </c>
      <c r="D1285" s="39">
        <v>2949</v>
      </c>
      <c r="E1285" s="4">
        <v>27</v>
      </c>
      <c r="F1285" s="101">
        <v>2949</v>
      </c>
      <c r="G1285" s="57" t="s">
        <v>4909</v>
      </c>
      <c r="H1285" s="4" t="s">
        <v>7243</v>
      </c>
      <c r="I1285" s="4" t="s">
        <v>1299</v>
      </c>
      <c r="J1285" s="4"/>
      <c r="K1285" s="54"/>
      <c r="L1285" s="57"/>
      <c r="M1285" s="57"/>
      <c r="N1285" s="4"/>
      <c r="O1285" s="4">
        <v>267060720</v>
      </c>
      <c r="P1285" s="4">
        <v>267060723</v>
      </c>
      <c r="Q1285" s="767" t="s">
        <v>2876</v>
      </c>
      <c r="R1285" s="767">
        <v>323344736</v>
      </c>
      <c r="S1285" s="4">
        <v>323344753</v>
      </c>
      <c r="T1285" s="4"/>
      <c r="U1285" s="4"/>
      <c r="V1285" s="4"/>
      <c r="W1285" s="4" t="s">
        <v>2376</v>
      </c>
      <c r="X1285" s="4" t="s">
        <v>691</v>
      </c>
      <c r="Y1285" s="4">
        <v>2949</v>
      </c>
      <c r="Z1285" s="35"/>
      <c r="AA1285" s="1" t="str">
        <f>IFERROR(VLOOKUP(D:D,[1]Габариты!$A:$I,9,0),"")</f>
        <v>Вакансия</v>
      </c>
      <c r="AB1285" s="6" t="str">
        <f>IFERROR(VLOOKUP(D:D,[1]Габариты!$A:$D,4,0),"")</f>
        <v>СТОЛЫ</v>
      </c>
      <c r="AC1285" s="39">
        <f t="shared" si="195"/>
        <v>2949</v>
      </c>
      <c r="AD1285" s="13" t="str">
        <f t="shared" si="194"/>
        <v>FBS</v>
      </c>
    </row>
    <row r="1286" spans="1:30" s="6" customFormat="1" ht="20.100000000000001" customHeight="1" outlineLevel="1" x14ac:dyDescent="0.25">
      <c r="A1286" s="635" t="s">
        <v>213</v>
      </c>
      <c r="B1286" s="3"/>
      <c r="C1286" s="13" t="s">
        <v>2581</v>
      </c>
      <c r="D1286" s="39">
        <v>2950</v>
      </c>
      <c r="E1286" s="4">
        <v>27</v>
      </c>
      <c r="F1286" s="101">
        <v>2950</v>
      </c>
      <c r="G1286" s="57" t="s">
        <v>4910</v>
      </c>
      <c r="H1286" s="4" t="s">
        <v>7244</v>
      </c>
      <c r="I1286" s="4" t="s">
        <v>1300</v>
      </c>
      <c r="J1286" s="4"/>
      <c r="K1286" s="54"/>
      <c r="L1286" s="57"/>
      <c r="M1286" s="57"/>
      <c r="N1286" s="4" t="s">
        <v>692</v>
      </c>
      <c r="O1286" s="4">
        <v>267056882</v>
      </c>
      <c r="P1286" s="4">
        <v>267056895</v>
      </c>
      <c r="Q1286" s="767" t="s">
        <v>2877</v>
      </c>
      <c r="R1286" s="767">
        <v>323364420</v>
      </c>
      <c r="S1286" s="4">
        <v>323364446</v>
      </c>
      <c r="T1286" s="4"/>
      <c r="U1286" s="4"/>
      <c r="V1286" s="4"/>
      <c r="W1286" s="4" t="s">
        <v>2377</v>
      </c>
      <c r="X1286" s="4" t="s">
        <v>692</v>
      </c>
      <c r="Y1286" s="4">
        <v>2950</v>
      </c>
      <c r="Z1286" s="35"/>
      <c r="AA1286" s="1" t="str">
        <f>IFERROR(VLOOKUP(D:D,[1]Габариты!$A:$I,9,0),"")</f>
        <v>Вакансия</v>
      </c>
      <c r="AB1286" s="6" t="str">
        <f>IFERROR(VLOOKUP(D:D,[1]Габариты!$A:$D,4,0),"")</f>
        <v>СТОЛЫ</v>
      </c>
      <c r="AC1286" s="39">
        <f t="shared" si="195"/>
        <v>2950</v>
      </c>
      <c r="AD1286" s="13" t="str">
        <f t="shared" si="194"/>
        <v>FBS</v>
      </c>
    </row>
    <row r="1287" spans="1:30" s="6" customFormat="1" ht="20.100000000000001" customHeight="1" outlineLevel="1" x14ac:dyDescent="0.25">
      <c r="A1287" s="635" t="s">
        <v>221</v>
      </c>
      <c r="B1287" s="3"/>
      <c r="C1287" s="13" t="s">
        <v>2581</v>
      </c>
      <c r="D1287" s="39">
        <v>2961</v>
      </c>
      <c r="E1287" s="4">
        <v>31</v>
      </c>
      <c r="F1287" s="101">
        <v>2961</v>
      </c>
      <c r="G1287" s="57" t="s">
        <v>4917</v>
      </c>
      <c r="H1287" s="4" t="s">
        <v>7245</v>
      </c>
      <c r="I1287" s="4" t="s">
        <v>1301</v>
      </c>
      <c r="J1287" s="4" t="s">
        <v>1958</v>
      </c>
      <c r="K1287" s="54"/>
      <c r="L1287" s="57"/>
      <c r="M1287" s="57"/>
      <c r="N1287" s="4" t="s">
        <v>700</v>
      </c>
      <c r="O1287" s="4">
        <v>266238556</v>
      </c>
      <c r="P1287" s="4">
        <v>266238563</v>
      </c>
      <c r="Q1287" s="767" t="s">
        <v>2878</v>
      </c>
      <c r="R1287" s="767">
        <v>323353072</v>
      </c>
      <c r="S1287" s="4">
        <v>323353124</v>
      </c>
      <c r="T1287" s="4"/>
      <c r="U1287" s="4"/>
      <c r="V1287" s="4"/>
      <c r="W1287" s="4" t="s">
        <v>2378</v>
      </c>
      <c r="X1287" s="4" t="s">
        <v>700</v>
      </c>
      <c r="Y1287" s="4">
        <v>2961</v>
      </c>
      <c r="Z1287" s="35"/>
      <c r="AA1287" s="1" t="str">
        <f>IFERROR(VLOOKUP(D:D,[1]Габариты!$A:$I,9,0),"")</f>
        <v>Вакансия</v>
      </c>
      <c r="AB1287" s="6" t="str">
        <f>IFERROR(VLOOKUP(D:D,[1]Габариты!$A:$D,4,0),"")</f>
        <v>СТОЛЫ</v>
      </c>
      <c r="AC1287" s="39">
        <f t="shared" si="195"/>
        <v>2961</v>
      </c>
      <c r="AD1287" s="13" t="str">
        <f t="shared" si="194"/>
        <v>FBS</v>
      </c>
    </row>
    <row r="1288" spans="1:30" s="6" customFormat="1" ht="20.100000000000001" customHeight="1" outlineLevel="1" x14ac:dyDescent="0.25">
      <c r="A1288" s="635" t="s">
        <v>222</v>
      </c>
      <c r="B1288" s="3"/>
      <c r="C1288" s="13" t="s">
        <v>2581</v>
      </c>
      <c r="D1288" s="39">
        <v>2962</v>
      </c>
      <c r="E1288" s="4">
        <v>31</v>
      </c>
      <c r="F1288" s="101">
        <v>2962</v>
      </c>
      <c r="G1288" s="57" t="s">
        <v>4918</v>
      </c>
      <c r="H1288" s="4" t="s">
        <v>7246</v>
      </c>
      <c r="I1288" s="4" t="s">
        <v>1302</v>
      </c>
      <c r="J1288" s="4"/>
      <c r="K1288" s="54"/>
      <c r="L1288" s="57"/>
      <c r="M1288" s="57"/>
      <c r="N1288" s="4" t="s">
        <v>701</v>
      </c>
      <c r="O1288" s="4">
        <v>266992112</v>
      </c>
      <c r="P1288" s="4">
        <v>266992114</v>
      </c>
      <c r="Q1288" s="767" t="s">
        <v>2879</v>
      </c>
      <c r="R1288" s="767">
        <v>323360320</v>
      </c>
      <c r="S1288" s="4">
        <v>323360357</v>
      </c>
      <c r="T1288" s="4"/>
      <c r="U1288" s="4"/>
      <c r="V1288" s="4"/>
      <c r="W1288" s="4" t="s">
        <v>2379</v>
      </c>
      <c r="X1288" s="4" t="s">
        <v>701</v>
      </c>
      <c r="Y1288" s="4">
        <v>2962</v>
      </c>
      <c r="Z1288" s="35"/>
      <c r="AA1288" s="1" t="str">
        <f>IFERROR(VLOOKUP(D:D,[1]Габариты!$A:$I,9,0),"")</f>
        <v>Вакансия</v>
      </c>
      <c r="AB1288" s="6" t="str">
        <f>IFERROR(VLOOKUP(D:D,[1]Габариты!$A:$D,4,0),"")</f>
        <v>СТОЛЫ</v>
      </c>
      <c r="AC1288" s="39">
        <f t="shared" si="195"/>
        <v>2962</v>
      </c>
      <c r="AD1288" s="13" t="str">
        <f t="shared" si="194"/>
        <v>FBS</v>
      </c>
    </row>
    <row r="1289" spans="1:30" s="6" customFormat="1" ht="20.100000000000001" customHeight="1" outlineLevel="1" x14ac:dyDescent="0.25">
      <c r="A1289" s="635" t="s">
        <v>223</v>
      </c>
      <c r="B1289" s="3"/>
      <c r="C1289" s="13" t="s">
        <v>2581</v>
      </c>
      <c r="D1289" s="39">
        <v>2963</v>
      </c>
      <c r="E1289" s="4">
        <v>31</v>
      </c>
      <c r="F1289" s="101">
        <v>2963</v>
      </c>
      <c r="G1289" s="57" t="s">
        <v>4919</v>
      </c>
      <c r="H1289" s="4" t="s">
        <v>7247</v>
      </c>
      <c r="I1289" s="4" t="s">
        <v>1303</v>
      </c>
      <c r="J1289" s="4"/>
      <c r="K1289" s="54" t="s">
        <v>2380</v>
      </c>
      <c r="L1289" s="57">
        <v>256284353</v>
      </c>
      <c r="M1289" s="57">
        <v>256284353</v>
      </c>
      <c r="N1289" s="4" t="s">
        <v>702</v>
      </c>
      <c r="O1289" s="4">
        <v>266991809</v>
      </c>
      <c r="P1289" s="4">
        <v>266991817</v>
      </c>
      <c r="Q1289" s="767" t="s">
        <v>2880</v>
      </c>
      <c r="R1289" s="767">
        <v>323386359</v>
      </c>
      <c r="S1289" s="4">
        <v>323386362</v>
      </c>
      <c r="T1289" s="4"/>
      <c r="U1289" s="4"/>
      <c r="V1289" s="4"/>
      <c r="W1289" s="4" t="s">
        <v>2380</v>
      </c>
      <c r="X1289" s="4" t="s">
        <v>702</v>
      </c>
      <c r="Y1289" s="4">
        <v>2963</v>
      </c>
      <c r="Z1289" s="35"/>
      <c r="AA1289" s="1" t="str">
        <f>IFERROR(VLOOKUP(D:D,[1]Габариты!$A:$I,9,0),"")</f>
        <v>Вакансия</v>
      </c>
      <c r="AB1289" s="6" t="str">
        <f>IFERROR(VLOOKUP(D:D,[1]Габариты!$A:$D,4,0),"")</f>
        <v>СТОЛЫ</v>
      </c>
      <c r="AC1289" s="39">
        <f t="shared" si="195"/>
        <v>2963</v>
      </c>
      <c r="AD1289" s="13" t="str">
        <f t="shared" si="194"/>
        <v>FBS</v>
      </c>
    </row>
    <row r="1290" spans="1:30" s="6" customFormat="1" ht="20.100000000000001" customHeight="1" outlineLevel="1" x14ac:dyDescent="0.25">
      <c r="A1290" s="747" t="s">
        <v>441</v>
      </c>
      <c r="B1290" s="31"/>
      <c r="C1290" s="13" t="s">
        <v>2581</v>
      </c>
      <c r="D1290" s="39">
        <v>3116</v>
      </c>
      <c r="E1290" s="4">
        <v>21</v>
      </c>
      <c r="F1290" s="101">
        <v>3116</v>
      </c>
      <c r="G1290" s="57" t="s">
        <v>5011</v>
      </c>
      <c r="H1290" s="4"/>
      <c r="I1290" s="4"/>
      <c r="J1290" s="4"/>
      <c r="K1290" s="54"/>
      <c r="L1290" s="57"/>
      <c r="M1290" s="57"/>
      <c r="N1290" s="4" t="s">
        <v>778</v>
      </c>
      <c r="O1290" s="4">
        <v>340935371</v>
      </c>
      <c r="P1290" s="4">
        <v>340935399</v>
      </c>
      <c r="Q1290" s="767" t="s">
        <v>2881</v>
      </c>
      <c r="R1290" s="767">
        <v>341752991</v>
      </c>
      <c r="S1290" s="4">
        <v>341753050</v>
      </c>
      <c r="T1290" s="4"/>
      <c r="U1290" s="4"/>
      <c r="V1290" s="4"/>
      <c r="W1290" s="4" t="s">
        <v>2381</v>
      </c>
      <c r="X1290" s="4" t="s">
        <v>778</v>
      </c>
      <c r="Y1290" s="4" t="s">
        <v>4066</v>
      </c>
      <c r="Z1290" s="35"/>
      <c r="AA1290" s="1" t="str">
        <f>IFERROR(VLOOKUP(D:D,[1]Габариты!$A:$I,9,0),"")</f>
        <v>Вакансия</v>
      </c>
      <c r="AB1290" s="6" t="str">
        <f>IFERROR(VLOOKUP(D:D,[1]Габариты!$A:$D,4,0),"")</f>
        <v>СТОЛЫ</v>
      </c>
      <c r="AC1290" s="39">
        <f t="shared" si="195"/>
        <v>3116</v>
      </c>
      <c r="AD1290" s="13" t="str">
        <f t="shared" si="194"/>
        <v>FBS</v>
      </c>
    </row>
    <row r="1291" spans="1:30" s="6" customFormat="1" ht="20.100000000000001" customHeight="1" outlineLevel="1" x14ac:dyDescent="0.25">
      <c r="A1291" s="635" t="s">
        <v>144</v>
      </c>
      <c r="B1291" s="16"/>
      <c r="C1291" s="13" t="s">
        <v>3172</v>
      </c>
      <c r="D1291" s="39">
        <v>2630</v>
      </c>
      <c r="E1291" s="4">
        <v>14</v>
      </c>
      <c r="F1291" s="101">
        <v>2630</v>
      </c>
      <c r="G1291" s="57"/>
      <c r="H1291" s="4" t="s">
        <v>7248</v>
      </c>
      <c r="I1291" s="4" t="s">
        <v>1272</v>
      </c>
      <c r="J1291" s="4"/>
      <c r="K1291" s="54" t="s">
        <v>2344</v>
      </c>
      <c r="L1291" s="57">
        <v>256332469</v>
      </c>
      <c r="M1291" s="57">
        <v>256332469</v>
      </c>
      <c r="N1291" s="4" t="s">
        <v>2630</v>
      </c>
      <c r="O1291" s="4">
        <v>267530312</v>
      </c>
      <c r="P1291" s="4">
        <v>267530366</v>
      </c>
      <c r="Q1291" s="767" t="s">
        <v>2848</v>
      </c>
      <c r="R1291" s="767">
        <v>357682906</v>
      </c>
      <c r="S1291" s="4">
        <v>357682907</v>
      </c>
      <c r="T1291" s="4"/>
      <c r="U1291" s="4"/>
      <c r="V1291" s="4"/>
      <c r="W1291" s="4" t="s">
        <v>2344</v>
      </c>
      <c r="X1291" s="4"/>
      <c r="Y1291" s="4" t="s">
        <v>4066</v>
      </c>
      <c r="Z1291" s="35"/>
      <c r="AA1291" s="1" t="str">
        <f>IFERROR(VLOOKUP(D:D,[1]Габариты!$A:$I,9,0),"")</f>
        <v>Вакансия</v>
      </c>
      <c r="AB1291" s="6" t="str">
        <f>IFERROR(VLOOKUP(D:D,[1]Габариты!$A:$D,4,0),"")</f>
        <v>СТОЛЫ</v>
      </c>
      <c r="AC1291" s="39">
        <f t="shared" si="195"/>
        <v>2630</v>
      </c>
      <c r="AD1291" s="13" t="str">
        <f t="shared" si="194"/>
        <v xml:space="preserve">СКГТ </v>
      </c>
    </row>
    <row r="1292" spans="1:30" s="6" customFormat="1" ht="20.100000000000001" customHeight="1" outlineLevel="1" x14ac:dyDescent="0.25">
      <c r="A1292" s="635" t="s">
        <v>154</v>
      </c>
      <c r="B1292" s="16"/>
      <c r="C1292" s="13" t="s">
        <v>3172</v>
      </c>
      <c r="D1292" s="39">
        <v>2651</v>
      </c>
      <c r="E1292" s="4">
        <v>14</v>
      </c>
      <c r="F1292" s="101">
        <v>2651</v>
      </c>
      <c r="G1292" s="57"/>
      <c r="H1292" s="4" t="s">
        <v>7249</v>
      </c>
      <c r="I1292" s="4"/>
      <c r="J1292" s="4"/>
      <c r="K1292" s="54" t="s">
        <v>2345</v>
      </c>
      <c r="L1292" s="57">
        <v>256352530</v>
      </c>
      <c r="M1292" s="57">
        <v>256352530</v>
      </c>
      <c r="N1292" s="4" t="s">
        <v>2631</v>
      </c>
      <c r="O1292" s="4">
        <v>267354734</v>
      </c>
      <c r="P1292" s="4">
        <v>267354768</v>
      </c>
      <c r="Q1292" s="767" t="s">
        <v>2849</v>
      </c>
      <c r="R1292" s="767">
        <v>357744227</v>
      </c>
      <c r="S1292" s="4">
        <v>357744226</v>
      </c>
      <c r="T1292" s="4"/>
      <c r="U1292" s="4"/>
      <c r="V1292" s="4"/>
      <c r="W1292" s="4" t="s">
        <v>2345</v>
      </c>
      <c r="X1292" s="4"/>
      <c r="Y1292" s="4" t="s">
        <v>4066</v>
      </c>
      <c r="Z1292" s="35"/>
      <c r="AA1292" s="1" t="str">
        <f>IFERROR(VLOOKUP(D:D,[1]Габариты!$A:$I,9,0),"")</f>
        <v>Вакансия</v>
      </c>
      <c r="AB1292" s="6" t="str">
        <f>IFERROR(VLOOKUP(D:D,[1]Габариты!$A:$D,4,0),"")</f>
        <v>СТОЛЫ</v>
      </c>
      <c r="AC1292" s="39">
        <f t="shared" si="195"/>
        <v>2651</v>
      </c>
      <c r="AD1292" s="13" t="str">
        <f t="shared" si="194"/>
        <v xml:space="preserve">СКГТ </v>
      </c>
    </row>
    <row r="1293" spans="1:30" s="6" customFormat="1" ht="20.100000000000001" customHeight="1" outlineLevel="1" x14ac:dyDescent="0.25">
      <c r="A1293" s="635" t="s">
        <v>1134</v>
      </c>
      <c r="B1293" s="25"/>
      <c r="C1293" s="13" t="s">
        <v>2581</v>
      </c>
      <c r="D1293" s="40" t="s">
        <v>1504</v>
      </c>
      <c r="E1293" s="4">
        <v>32</v>
      </c>
      <c r="F1293" s="101" t="s">
        <v>6244</v>
      </c>
      <c r="G1293" s="57" t="s">
        <v>5209</v>
      </c>
      <c r="H1293" s="4" t="s">
        <v>7250</v>
      </c>
      <c r="I1293" s="4"/>
      <c r="J1293" s="4"/>
      <c r="K1293" s="54" t="s">
        <v>6244</v>
      </c>
      <c r="L1293" s="57">
        <v>964684462</v>
      </c>
      <c r="M1293" s="57">
        <v>964684462</v>
      </c>
      <c r="N1293" s="4" t="s">
        <v>1430</v>
      </c>
      <c r="O1293" s="4">
        <v>677980125</v>
      </c>
      <c r="P1293" s="4">
        <v>677980124</v>
      </c>
      <c r="Q1293" s="767"/>
      <c r="R1293" s="767"/>
      <c r="S1293" s="4"/>
      <c r="T1293" s="4"/>
      <c r="U1293" s="4"/>
      <c r="V1293" s="4"/>
      <c r="W1293" s="4"/>
      <c r="X1293" s="4" t="s">
        <v>1430</v>
      </c>
      <c r="Y1293" s="4" t="s">
        <v>4066</v>
      </c>
      <c r="Z1293" s="35"/>
      <c r="AA1293" s="1" t="str">
        <f>IFERROR(VLOOKUP(D:D,[1]Габариты!$A:$I,9,0),"")</f>
        <v>Вакансия</v>
      </c>
      <c r="AB1293" s="6" t="str">
        <f>IFERROR(VLOOKUP(D:D,[1]Габариты!$A:$D,4,0),"")</f>
        <v>СТОЛЫ</v>
      </c>
      <c r="AC1293" s="39" t="str">
        <f t="shared" si="195"/>
        <v>MK1340101</v>
      </c>
      <c r="AD1293" s="13" t="str">
        <f t="shared" si="194"/>
        <v>FBS</v>
      </c>
    </row>
    <row r="1294" spans="1:30" s="6" customFormat="1" ht="20.100000000000001" customHeight="1" outlineLevel="1" x14ac:dyDescent="0.25">
      <c r="A1294" s="635" t="s">
        <v>136</v>
      </c>
      <c r="B1294" s="3"/>
      <c r="C1294" s="13" t="s">
        <v>2582</v>
      </c>
      <c r="D1294" s="39">
        <v>2472</v>
      </c>
      <c r="E1294" s="4">
        <v>165</v>
      </c>
      <c r="F1294" s="101">
        <v>2472</v>
      </c>
      <c r="G1294" s="57"/>
      <c r="H1294" s="4" t="s">
        <v>7251</v>
      </c>
      <c r="I1294" s="4"/>
      <c r="J1294" s="4"/>
      <c r="K1294" s="54" t="s">
        <v>2425</v>
      </c>
      <c r="L1294" s="57">
        <v>179841477</v>
      </c>
      <c r="M1294" s="57">
        <v>179841477</v>
      </c>
      <c r="N1294" s="766"/>
      <c r="O1294" s="4"/>
      <c r="P1294" s="4"/>
      <c r="Q1294" s="767" t="s">
        <v>2898</v>
      </c>
      <c r="R1294" s="767">
        <v>669414623</v>
      </c>
      <c r="S1294" s="4">
        <v>669414623</v>
      </c>
      <c r="T1294" s="4"/>
      <c r="U1294" s="4"/>
      <c r="V1294" s="4"/>
      <c r="W1294" s="4" t="s">
        <v>2425</v>
      </c>
      <c r="X1294" s="4"/>
      <c r="Y1294" s="4" t="s">
        <v>4066</v>
      </c>
      <c r="Z1294" s="35"/>
      <c r="AA1294" s="1" t="str">
        <f>IFERROR(VLOOKUP(D:D,[1]Габариты!$A:$I,9,0),"")</f>
        <v>Вакансия</v>
      </c>
      <c r="AB1294" s="6" t="str">
        <f>IFERROR(VLOOKUP(D:D,[1]Габариты!$A:$D,4,0),"")</f>
        <v>СТОЛЫ</v>
      </c>
      <c r="AC1294" s="39">
        <f t="shared" si="195"/>
        <v>2472</v>
      </c>
      <c r="AD1294" s="13" t="str">
        <f t="shared" si="194"/>
        <v>FBO</v>
      </c>
    </row>
    <row r="1295" spans="1:30" s="6" customFormat="1" ht="20.100000000000001" customHeight="1" outlineLevel="1" x14ac:dyDescent="0.25">
      <c r="A1295" s="635" t="s">
        <v>990</v>
      </c>
      <c r="B1295" s="3"/>
      <c r="C1295" s="13" t="s">
        <v>2582</v>
      </c>
      <c r="D1295" s="39">
        <v>2471</v>
      </c>
      <c r="E1295" s="4">
        <v>165</v>
      </c>
      <c r="F1295" s="101">
        <v>2471</v>
      </c>
      <c r="G1295" s="57"/>
      <c r="H1295" s="4"/>
      <c r="I1295" s="4"/>
      <c r="J1295" s="4"/>
      <c r="K1295" s="54" t="s">
        <v>7867</v>
      </c>
      <c r="L1295" s="57">
        <v>179839859</v>
      </c>
      <c r="M1295" s="57">
        <v>179839859</v>
      </c>
      <c r="N1295" s="766"/>
      <c r="O1295" s="4"/>
      <c r="P1295" s="4"/>
      <c r="Q1295" s="767"/>
      <c r="R1295" s="767"/>
      <c r="S1295" s="4"/>
      <c r="T1295" s="4"/>
      <c r="U1295" s="4"/>
      <c r="V1295" s="4"/>
      <c r="W1295" s="4"/>
      <c r="X1295" s="4"/>
      <c r="Y1295" s="4" t="s">
        <v>4066</v>
      </c>
      <c r="Z1295" s="35"/>
      <c r="AA1295" s="1" t="str">
        <f>IFERROR(VLOOKUP(D:D,[1]Габариты!$A:$I,9,0),"")</f>
        <v>Вакансия</v>
      </c>
      <c r="AB1295" s="6" t="str">
        <f>IFERROR(VLOOKUP(D:D,[1]Габариты!$A:$D,4,0),"")</f>
        <v>СТОЛЫ</v>
      </c>
      <c r="AC1295" s="39">
        <f t="shared" si="195"/>
        <v>2471</v>
      </c>
      <c r="AD1295" s="13" t="str">
        <f t="shared" si="194"/>
        <v>FBO</v>
      </c>
    </row>
    <row r="1296" spans="1:30" s="6" customFormat="1" ht="20.100000000000001" customHeight="1" outlineLevel="1" x14ac:dyDescent="0.25">
      <c r="A1296" s="631" t="s">
        <v>523</v>
      </c>
      <c r="B1296" s="29"/>
      <c r="C1296" s="13" t="s">
        <v>2581</v>
      </c>
      <c r="D1296" s="40">
        <v>3173</v>
      </c>
      <c r="E1296" s="4">
        <v>18</v>
      </c>
      <c r="F1296" s="101">
        <v>3173</v>
      </c>
      <c r="G1296" s="57"/>
      <c r="H1296" s="4" t="s">
        <v>7252</v>
      </c>
      <c r="I1296" s="4"/>
      <c r="J1296" s="4"/>
      <c r="K1296" s="54"/>
      <c r="L1296" s="57"/>
      <c r="M1296" s="57"/>
      <c r="N1296" s="4" t="s">
        <v>928</v>
      </c>
      <c r="O1296" s="4">
        <v>469928906</v>
      </c>
      <c r="P1296" s="4">
        <v>469928907</v>
      </c>
      <c r="Q1296" s="767"/>
      <c r="R1296" s="767"/>
      <c r="S1296" s="4"/>
      <c r="T1296" s="4"/>
      <c r="U1296" s="4"/>
      <c r="V1296" s="4"/>
      <c r="W1296" s="4" t="s">
        <v>2412</v>
      </c>
      <c r="X1296" s="4" t="s">
        <v>928</v>
      </c>
      <c r="Y1296" s="4" t="s">
        <v>4066</v>
      </c>
      <c r="Z1296" s="35"/>
      <c r="AA1296" s="1" t="str">
        <f>IFERROR(VLOOKUP(D:D,[1]Габариты!$A:$I,9,0),"")</f>
        <v>Вакансия</v>
      </c>
      <c r="AB1296" s="6" t="str">
        <f>IFERROR(VLOOKUP(D:D,[1]Габариты!$A:$D,4,0),"")</f>
        <v>СТОЛЫ</v>
      </c>
      <c r="AC1296" s="39">
        <f t="shared" si="195"/>
        <v>3173</v>
      </c>
      <c r="AD1296" s="13" t="str">
        <f t="shared" si="194"/>
        <v>FBS</v>
      </c>
    </row>
    <row r="1297" spans="1:30" s="6" customFormat="1" ht="20.100000000000001" customHeight="1" outlineLevel="1" x14ac:dyDescent="0.25">
      <c r="A1297" s="631" t="s">
        <v>524</v>
      </c>
      <c r="B1297" s="29"/>
      <c r="C1297" s="13" t="s">
        <v>2581</v>
      </c>
      <c r="D1297" s="40">
        <v>3174</v>
      </c>
      <c r="E1297" s="4">
        <v>12</v>
      </c>
      <c r="F1297" s="101">
        <v>3174</v>
      </c>
      <c r="G1297" s="57"/>
      <c r="H1297" s="4"/>
      <c r="I1297" s="4"/>
      <c r="J1297" s="4"/>
      <c r="K1297" s="54"/>
      <c r="L1297" s="57"/>
      <c r="M1297" s="57"/>
      <c r="N1297" s="806" t="s">
        <v>7680</v>
      </c>
      <c r="O1297" s="4">
        <v>468918320</v>
      </c>
      <c r="P1297" s="4">
        <v>468918321</v>
      </c>
      <c r="Q1297" s="767"/>
      <c r="R1297" s="767"/>
      <c r="S1297" s="4"/>
      <c r="T1297" s="4"/>
      <c r="U1297" s="4"/>
      <c r="V1297" s="4"/>
      <c r="W1297" s="4" t="s">
        <v>2413</v>
      </c>
      <c r="X1297" s="4"/>
      <c r="Y1297" s="4" t="s">
        <v>4066</v>
      </c>
      <c r="Z1297" s="35"/>
      <c r="AA1297" s="1" t="str">
        <f>IFERROR(VLOOKUP(D:D,[1]Габариты!$A:$I,9,0),"")</f>
        <v>Вакансия</v>
      </c>
      <c r="AB1297" s="6" t="str">
        <f>IFERROR(VLOOKUP(D:D,[1]Габариты!$A:$D,4,0),"")</f>
        <v>СТОЛЫ</v>
      </c>
      <c r="AC1297" s="39">
        <f t="shared" si="195"/>
        <v>3174</v>
      </c>
      <c r="AD1297" s="13" t="str">
        <f t="shared" si="194"/>
        <v>FBS</v>
      </c>
    </row>
    <row r="1298" spans="1:30" s="6" customFormat="1" ht="20.100000000000001" customHeight="1" outlineLevel="1" x14ac:dyDescent="0.25">
      <c r="A1298" s="631" t="s">
        <v>528</v>
      </c>
      <c r="B1298" s="29"/>
      <c r="C1298" s="13" t="s">
        <v>4050</v>
      </c>
      <c r="D1298" s="40">
        <v>3178</v>
      </c>
      <c r="E1298" s="4">
        <v>12</v>
      </c>
      <c r="F1298" s="101">
        <v>3178</v>
      </c>
      <c r="G1298" s="57"/>
      <c r="H1298" s="4" t="s">
        <v>7253</v>
      </c>
      <c r="I1298" s="4"/>
      <c r="J1298" s="4"/>
      <c r="K1298" s="54"/>
      <c r="L1298" s="57"/>
      <c r="M1298" s="57"/>
      <c r="N1298" s="4"/>
      <c r="O1298" s="4">
        <v>468797712</v>
      </c>
      <c r="P1298" s="4">
        <v>468797711</v>
      </c>
      <c r="Q1298" s="767"/>
      <c r="R1298" s="767"/>
      <c r="S1298" s="4"/>
      <c r="T1298" s="4"/>
      <c r="U1298" s="4"/>
      <c r="V1298" s="4"/>
      <c r="W1298" s="4" t="s">
        <v>2414</v>
      </c>
      <c r="X1298" s="4" t="s">
        <v>929</v>
      </c>
      <c r="Y1298" s="4">
        <v>3178</v>
      </c>
      <c r="Z1298" s="35"/>
      <c r="AA1298" s="1" t="str">
        <f>IFERROR(VLOOKUP(D:D,[1]Габариты!$A:$I,9,0),"")</f>
        <v>Вакансия</v>
      </c>
      <c r="AB1298" s="6" t="str">
        <f>IFERROR(VLOOKUP(D:D,[1]Габариты!$A:$D,4,0),"")</f>
        <v>СТОЛЫ</v>
      </c>
      <c r="AC1298" s="39">
        <f t="shared" si="195"/>
        <v>3178</v>
      </c>
      <c r="AD1298" s="13" t="str">
        <f t="shared" si="194"/>
        <v>СКГТ (ОЗОН)</v>
      </c>
    </row>
    <row r="1299" spans="1:30" s="6" customFormat="1" ht="20.100000000000001" customHeight="1" outlineLevel="1" x14ac:dyDescent="0.25">
      <c r="A1299" s="631" t="s">
        <v>529</v>
      </c>
      <c r="B1299" s="29"/>
      <c r="C1299" s="13" t="s">
        <v>3172</v>
      </c>
      <c r="D1299" s="40">
        <v>3179</v>
      </c>
      <c r="E1299" s="4">
        <v>22</v>
      </c>
      <c r="F1299" s="101">
        <v>3179</v>
      </c>
      <c r="G1299" s="57" t="s">
        <v>5039</v>
      </c>
      <c r="H1299" s="4" t="s">
        <v>7254</v>
      </c>
      <c r="I1299" s="4"/>
      <c r="J1299" s="4"/>
      <c r="K1299" s="54" t="s">
        <v>2415</v>
      </c>
      <c r="L1299" s="57">
        <v>1345193409</v>
      </c>
      <c r="M1299" s="57">
        <v>1345193409</v>
      </c>
      <c r="N1299" s="4"/>
      <c r="O1299" s="4">
        <v>469028151</v>
      </c>
      <c r="P1299" s="4">
        <v>469028152</v>
      </c>
      <c r="Q1299" s="767"/>
      <c r="R1299" s="767"/>
      <c r="S1299" s="4"/>
      <c r="T1299" s="4"/>
      <c r="U1299" s="4"/>
      <c r="V1299" s="4"/>
      <c r="W1299" s="4" t="s">
        <v>2415</v>
      </c>
      <c r="X1299" s="4" t="s">
        <v>930</v>
      </c>
      <c r="Y1299" s="4" t="s">
        <v>4066</v>
      </c>
      <c r="Z1299" s="35"/>
      <c r="AA1299" s="1" t="str">
        <f>IFERROR(VLOOKUP(D:D,[1]Габариты!$A:$I,9,0),"")</f>
        <v>Вакансия</v>
      </c>
      <c r="AB1299" s="6" t="str">
        <f>IFERROR(VLOOKUP(D:D,[1]Габариты!$A:$D,4,0),"")</f>
        <v>СТОЛЫ</v>
      </c>
      <c r="AC1299" s="39">
        <f t="shared" si="195"/>
        <v>3179</v>
      </c>
      <c r="AD1299" s="13" t="str">
        <f t="shared" si="194"/>
        <v xml:space="preserve">СКГТ </v>
      </c>
    </row>
    <row r="1300" spans="1:30" s="6" customFormat="1" ht="20.100000000000001" customHeight="1" outlineLevel="1" x14ac:dyDescent="0.25">
      <c r="A1300" s="635" t="s">
        <v>536</v>
      </c>
      <c r="B1300" s="25"/>
      <c r="C1300" s="13" t="s">
        <v>2581</v>
      </c>
      <c r="D1300" s="40">
        <v>3200</v>
      </c>
      <c r="E1300" s="4">
        <v>22</v>
      </c>
      <c r="F1300" s="101">
        <v>3200</v>
      </c>
      <c r="G1300" s="57" t="s">
        <v>5045</v>
      </c>
      <c r="H1300" s="4" t="s">
        <v>7255</v>
      </c>
      <c r="I1300" s="4"/>
      <c r="J1300" s="4"/>
      <c r="K1300" s="54" t="s">
        <v>2416</v>
      </c>
      <c r="L1300" s="57">
        <v>889366196</v>
      </c>
      <c r="M1300" s="57">
        <v>889366196</v>
      </c>
      <c r="N1300" s="4"/>
      <c r="O1300" s="4">
        <v>468864489</v>
      </c>
      <c r="P1300" s="4">
        <v>468864490</v>
      </c>
      <c r="Q1300" s="767"/>
      <c r="R1300" s="767"/>
      <c r="S1300" s="4"/>
      <c r="T1300" s="4"/>
      <c r="U1300" s="4"/>
      <c r="V1300" s="4"/>
      <c r="W1300" s="4" t="s">
        <v>2416</v>
      </c>
      <c r="X1300" s="4" t="s">
        <v>931</v>
      </c>
      <c r="Y1300" s="4" t="s">
        <v>4066</v>
      </c>
      <c r="Z1300" s="35"/>
      <c r="AA1300" s="1" t="str">
        <f>IFERROR(VLOOKUP(D:D,[1]Габариты!$A:$I,9,0),"")</f>
        <v>Вакансия</v>
      </c>
      <c r="AB1300" s="6" t="str">
        <f>IFERROR(VLOOKUP(D:D,[1]Габариты!$A:$D,4,0),"")</f>
        <v>СТОЛЫ</v>
      </c>
      <c r="AC1300" s="39">
        <f t="shared" si="195"/>
        <v>3200</v>
      </c>
      <c r="AD1300" s="13" t="str">
        <f t="shared" si="194"/>
        <v>FBS</v>
      </c>
    </row>
    <row r="1301" spans="1:30" s="6" customFormat="1" ht="20.100000000000001" customHeight="1" outlineLevel="1" x14ac:dyDescent="0.25">
      <c r="A1301" s="635" t="s">
        <v>561</v>
      </c>
      <c r="B1301" s="25"/>
      <c r="C1301" s="13" t="s">
        <v>2581</v>
      </c>
      <c r="D1301" s="40">
        <v>770323</v>
      </c>
      <c r="E1301" s="4">
        <v>20</v>
      </c>
      <c r="F1301" s="101">
        <v>770323</v>
      </c>
      <c r="G1301" s="57"/>
      <c r="H1301" s="4" t="s">
        <v>7256</v>
      </c>
      <c r="I1301" s="4"/>
      <c r="J1301" s="4"/>
      <c r="K1301" s="54"/>
      <c r="L1301" s="57"/>
      <c r="M1301" s="57"/>
      <c r="N1301" s="4"/>
      <c r="O1301" s="4">
        <v>493876075</v>
      </c>
      <c r="P1301" s="4">
        <v>493876068</v>
      </c>
      <c r="Q1301" s="767"/>
      <c r="R1301" s="767"/>
      <c r="S1301" s="4"/>
      <c r="T1301" s="4"/>
      <c r="U1301" s="4"/>
      <c r="V1301" s="4"/>
      <c r="W1301" s="4" t="s">
        <v>2417</v>
      </c>
      <c r="X1301" s="4"/>
      <c r="Y1301" s="4" t="s">
        <v>4066</v>
      </c>
      <c r="Z1301" s="35"/>
      <c r="AA1301" s="1" t="str">
        <f>IFERROR(VLOOKUP(D:D,[1]Габариты!$A:$I,9,0),"")</f>
        <v>Вакансия</v>
      </c>
      <c r="AB1301" s="6" t="str">
        <f>IFERROR(VLOOKUP(D:D,[1]Габариты!$A:$D,4,0),"")</f>
        <v>СТОЛЫ</v>
      </c>
      <c r="AC1301" s="39">
        <f t="shared" si="195"/>
        <v>770323</v>
      </c>
      <c r="AD1301" s="13" t="str">
        <f t="shared" si="194"/>
        <v>FBS</v>
      </c>
    </row>
    <row r="1302" spans="1:30" s="6" customFormat="1" ht="20.100000000000001" customHeight="1" outlineLevel="1" x14ac:dyDescent="0.25">
      <c r="A1302" s="635" t="s">
        <v>516</v>
      </c>
      <c r="B1302" s="25"/>
      <c r="C1302" s="13" t="s">
        <v>2581</v>
      </c>
      <c r="D1302" s="39">
        <v>3147</v>
      </c>
      <c r="E1302" s="4">
        <v>14</v>
      </c>
      <c r="F1302" s="101">
        <v>3147</v>
      </c>
      <c r="G1302" s="57"/>
      <c r="H1302" s="4"/>
      <c r="I1302" s="4"/>
      <c r="J1302" s="4"/>
      <c r="K1302" s="54"/>
      <c r="L1302" s="57"/>
      <c r="M1302" s="57"/>
      <c r="N1302" s="806" t="s">
        <v>7681</v>
      </c>
      <c r="O1302" s="4">
        <v>468794061</v>
      </c>
      <c r="P1302" s="4">
        <v>468794062</v>
      </c>
      <c r="Q1302" s="767"/>
      <c r="R1302" s="767"/>
      <c r="S1302" s="4"/>
      <c r="T1302" s="4"/>
      <c r="U1302" s="4"/>
      <c r="V1302" s="4"/>
      <c r="W1302" s="4" t="s">
        <v>2410</v>
      </c>
      <c r="X1302" s="4"/>
      <c r="Y1302" s="4" t="s">
        <v>4066</v>
      </c>
      <c r="Z1302" s="35"/>
      <c r="AA1302" s="1" t="str">
        <f>IFERROR(VLOOKUP(D:D,[1]Габариты!$A:$I,9,0),"")</f>
        <v>Вакансия</v>
      </c>
      <c r="AB1302" s="6" t="str">
        <f>IFERROR(VLOOKUP(D:D,[1]Габариты!$A:$D,4,0),"")</f>
        <v>СТОЛЫ</v>
      </c>
      <c r="AC1302" s="39">
        <f t="shared" si="195"/>
        <v>3147</v>
      </c>
      <c r="AD1302" s="13" t="str">
        <f t="shared" si="194"/>
        <v>FBS</v>
      </c>
    </row>
    <row r="1303" spans="1:30" s="6" customFormat="1" ht="20.100000000000001" customHeight="1" outlineLevel="1" x14ac:dyDescent="0.25">
      <c r="A1303" s="635" t="s">
        <v>509</v>
      </c>
      <c r="B1303" s="3"/>
      <c r="C1303" s="13" t="s">
        <v>2581</v>
      </c>
      <c r="D1303" s="39">
        <v>770322</v>
      </c>
      <c r="E1303" s="4">
        <v>20</v>
      </c>
      <c r="F1303" s="101">
        <v>770322</v>
      </c>
      <c r="G1303" s="57"/>
      <c r="H1303" s="4" t="s">
        <v>7257</v>
      </c>
      <c r="I1303" s="4"/>
      <c r="J1303" s="4"/>
      <c r="K1303" s="54"/>
      <c r="L1303" s="57"/>
      <c r="M1303" s="57"/>
      <c r="N1303" s="4"/>
      <c r="O1303" s="4">
        <v>427616993</v>
      </c>
      <c r="P1303" s="4">
        <v>427616994</v>
      </c>
      <c r="Q1303" s="767"/>
      <c r="R1303" s="767"/>
      <c r="S1303" s="4"/>
      <c r="T1303" s="4"/>
      <c r="U1303" s="4"/>
      <c r="V1303" s="4"/>
      <c r="W1303" s="4" t="s">
        <v>2406</v>
      </c>
      <c r="X1303" s="4" t="s">
        <v>923</v>
      </c>
      <c r="Y1303" s="4" t="s">
        <v>4066</v>
      </c>
      <c r="Z1303" s="35"/>
      <c r="AA1303" s="1" t="str">
        <f>IFERROR(VLOOKUP(D:D,[1]Габариты!$A:$I,9,0),"")</f>
        <v>Вакансия</v>
      </c>
      <c r="AB1303" s="6" t="str">
        <f>IFERROR(VLOOKUP(D:D,[1]Габариты!$A:$D,4,0),"")</f>
        <v>СТОЛЫ</v>
      </c>
      <c r="AC1303" s="39">
        <f t="shared" si="195"/>
        <v>770322</v>
      </c>
      <c r="AD1303" s="13" t="str">
        <f t="shared" si="194"/>
        <v>FBS</v>
      </c>
    </row>
    <row r="1304" spans="1:30" s="6" customFormat="1" ht="20.100000000000001" customHeight="1" outlineLevel="1" x14ac:dyDescent="0.25">
      <c r="A1304" s="635" t="s">
        <v>510</v>
      </c>
      <c r="B1304" s="3"/>
      <c r="C1304" s="13" t="s">
        <v>2581</v>
      </c>
      <c r="D1304" s="39">
        <v>770324</v>
      </c>
      <c r="E1304" s="4">
        <v>20</v>
      </c>
      <c r="F1304" s="101">
        <v>770324</v>
      </c>
      <c r="G1304" s="57"/>
      <c r="H1304" s="4" t="s">
        <v>7258</v>
      </c>
      <c r="I1304" s="4"/>
      <c r="J1304" s="4"/>
      <c r="K1304" s="54"/>
      <c r="L1304" s="57"/>
      <c r="M1304" s="57"/>
      <c r="N1304" s="4"/>
      <c r="O1304" s="4">
        <v>427202785</v>
      </c>
      <c r="P1304" s="4">
        <v>427202786</v>
      </c>
      <c r="Q1304" s="767"/>
      <c r="R1304" s="767"/>
      <c r="S1304" s="4"/>
      <c r="T1304" s="4"/>
      <c r="U1304" s="4"/>
      <c r="V1304" s="4"/>
      <c r="W1304" s="4" t="s">
        <v>2407</v>
      </c>
      <c r="X1304" s="4" t="s">
        <v>924</v>
      </c>
      <c r="Y1304" s="4" t="s">
        <v>4066</v>
      </c>
      <c r="Z1304" s="35"/>
      <c r="AA1304" s="1" t="str">
        <f>IFERROR(VLOOKUP(D:D,[1]Габариты!$A:$I,9,0),"")</f>
        <v>Вакансия</v>
      </c>
      <c r="AB1304" s="6" t="str">
        <f>IFERROR(VLOOKUP(D:D,[1]Габариты!$A:$D,4,0),"")</f>
        <v>СТОЛЫ</v>
      </c>
      <c r="AC1304" s="39">
        <f t="shared" si="195"/>
        <v>770324</v>
      </c>
      <c r="AD1304" s="13" t="str">
        <f t="shared" si="194"/>
        <v>FBS</v>
      </c>
    </row>
    <row r="1305" spans="1:30" s="6" customFormat="1" ht="20.100000000000001" customHeight="1" outlineLevel="1" x14ac:dyDescent="0.25">
      <c r="A1305" s="635" t="s">
        <v>194</v>
      </c>
      <c r="B1305" s="3"/>
      <c r="C1305" s="13" t="s">
        <v>4328</v>
      </c>
      <c r="D1305" s="39">
        <v>2922</v>
      </c>
      <c r="E1305" s="4">
        <v>15</v>
      </c>
      <c r="F1305" s="101">
        <v>2922</v>
      </c>
      <c r="G1305" s="57"/>
      <c r="H1305" s="4"/>
      <c r="I1305" s="4"/>
      <c r="J1305" s="4"/>
      <c r="K1305" s="54" t="s">
        <v>2384</v>
      </c>
      <c r="L1305" s="57">
        <v>268900320</v>
      </c>
      <c r="M1305" s="57">
        <v>268900320</v>
      </c>
      <c r="N1305" s="4"/>
      <c r="O1305" s="4">
        <v>273214333</v>
      </c>
      <c r="P1305" s="4">
        <v>273214360</v>
      </c>
      <c r="Q1305" s="767" t="s">
        <v>2884</v>
      </c>
      <c r="R1305" s="767">
        <v>349560028</v>
      </c>
      <c r="S1305" s="4">
        <v>349560029</v>
      </c>
      <c r="T1305" s="4"/>
      <c r="U1305" s="4"/>
      <c r="V1305" s="4"/>
      <c r="W1305" s="4" t="s">
        <v>2384</v>
      </c>
      <c r="X1305" s="4"/>
      <c r="Y1305" s="4" t="s">
        <v>4066</v>
      </c>
      <c r="Z1305" s="35"/>
      <c r="AA1305" s="1" t="str">
        <f>IFERROR(VLOOKUP(D:D,[1]Габариты!$A:$I,9,0),"")</f>
        <v>Вакансия</v>
      </c>
      <c r="AB1305" s="6" t="str">
        <f>IFERROR(VLOOKUP(D:D,[1]Габариты!$A:$D,4,0),"")</f>
        <v>СТОЛЫ</v>
      </c>
      <c r="AC1305" s="39">
        <f t="shared" si="195"/>
        <v>2922</v>
      </c>
      <c r="AD1305" s="13" t="str">
        <f t="shared" si="194"/>
        <v>СКГТ</v>
      </c>
    </row>
    <row r="1306" spans="1:30" s="6" customFormat="1" ht="20.100000000000001" customHeight="1" outlineLevel="1" x14ac:dyDescent="0.25">
      <c r="A1306" s="635" t="s">
        <v>195</v>
      </c>
      <c r="B1306" s="3"/>
      <c r="C1306" s="13" t="s">
        <v>4328</v>
      </c>
      <c r="D1306" s="39">
        <v>2923</v>
      </c>
      <c r="E1306" s="4">
        <v>15</v>
      </c>
      <c r="F1306" s="101">
        <v>2923</v>
      </c>
      <c r="G1306" s="57"/>
      <c r="H1306" s="4" t="s">
        <v>7259</v>
      </c>
      <c r="I1306" s="4"/>
      <c r="J1306" s="4"/>
      <c r="K1306" s="54" t="s">
        <v>2385</v>
      </c>
      <c r="L1306" s="57">
        <v>268901315</v>
      </c>
      <c r="M1306" s="57">
        <v>268901315</v>
      </c>
      <c r="N1306" s="4" t="s">
        <v>7736</v>
      </c>
      <c r="O1306" s="4">
        <v>273216400</v>
      </c>
      <c r="P1306" s="4">
        <v>273216415</v>
      </c>
      <c r="Q1306" s="767" t="s">
        <v>2885</v>
      </c>
      <c r="R1306" s="767">
        <v>349630949</v>
      </c>
      <c r="S1306" s="4">
        <v>349630948</v>
      </c>
      <c r="T1306" s="4"/>
      <c r="U1306" s="4"/>
      <c r="V1306" s="4"/>
      <c r="W1306" s="4" t="s">
        <v>2385</v>
      </c>
      <c r="X1306" s="4"/>
      <c r="Y1306" s="4" t="s">
        <v>4066</v>
      </c>
      <c r="Z1306" s="35"/>
      <c r="AA1306" s="1" t="str">
        <f>IFERROR(VLOOKUP(D:D,[1]Габариты!$A:$I,9,0),"")</f>
        <v>Вакансия</v>
      </c>
      <c r="AB1306" s="6" t="str">
        <f>IFERROR(VLOOKUP(D:D,[1]Габариты!$A:$D,4,0),"")</f>
        <v>СТОЛЫ</v>
      </c>
      <c r="AC1306" s="39">
        <f t="shared" si="195"/>
        <v>2923</v>
      </c>
      <c r="AD1306" s="13" t="str">
        <f t="shared" si="194"/>
        <v>СКГТ</v>
      </c>
    </row>
    <row r="1307" spans="1:30" s="6" customFormat="1" ht="20.100000000000001" customHeight="1" outlineLevel="1" x14ac:dyDescent="0.25">
      <c r="A1307" s="635" t="s">
        <v>196</v>
      </c>
      <c r="B1307" s="3"/>
      <c r="C1307" s="13" t="s">
        <v>4328</v>
      </c>
      <c r="D1307" s="39">
        <v>2924</v>
      </c>
      <c r="E1307" s="4">
        <v>15</v>
      </c>
      <c r="F1307" s="101">
        <v>2924</v>
      </c>
      <c r="G1307" s="57"/>
      <c r="H1307" s="4" t="s">
        <v>7260</v>
      </c>
      <c r="I1307" s="4"/>
      <c r="J1307" s="4"/>
      <c r="K1307" s="54" t="s">
        <v>2386</v>
      </c>
      <c r="L1307" s="57">
        <v>268907924</v>
      </c>
      <c r="M1307" s="57">
        <v>268907924</v>
      </c>
      <c r="N1307" s="4" t="s">
        <v>2632</v>
      </c>
      <c r="O1307" s="4">
        <v>273217735</v>
      </c>
      <c r="P1307" s="4">
        <v>273217749</v>
      </c>
      <c r="Q1307" s="767" t="s">
        <v>2886</v>
      </c>
      <c r="R1307" s="767">
        <v>349663485</v>
      </c>
      <c r="S1307" s="4">
        <v>349663482</v>
      </c>
      <c r="T1307" s="4"/>
      <c r="U1307" s="4"/>
      <c r="V1307" s="4"/>
      <c r="W1307" s="4" t="s">
        <v>2386</v>
      </c>
      <c r="X1307" s="4"/>
      <c r="Y1307" s="4" t="s">
        <v>4066</v>
      </c>
      <c r="Z1307" s="35"/>
      <c r="AA1307" s="1" t="str">
        <f>IFERROR(VLOOKUP(D:D,[1]Габариты!$A:$I,9,0),"")</f>
        <v>Вакансия</v>
      </c>
      <c r="AB1307" s="6" t="str">
        <f>IFERROR(VLOOKUP(D:D,[1]Габариты!$A:$D,4,0),"")</f>
        <v>СТОЛЫ</v>
      </c>
      <c r="AC1307" s="39">
        <f t="shared" si="195"/>
        <v>2924</v>
      </c>
      <c r="AD1307" s="13" t="str">
        <f t="shared" si="194"/>
        <v>СКГТ</v>
      </c>
    </row>
    <row r="1308" spans="1:30" s="6" customFormat="1" ht="20.100000000000001" customHeight="1" outlineLevel="1" x14ac:dyDescent="0.25">
      <c r="A1308" s="665" t="s">
        <v>298</v>
      </c>
      <c r="B1308" s="2"/>
      <c r="C1308" s="13" t="s">
        <v>2581</v>
      </c>
      <c r="D1308" s="40">
        <v>3091</v>
      </c>
      <c r="E1308" s="4">
        <v>16</v>
      </c>
      <c r="F1308" s="101">
        <v>3091</v>
      </c>
      <c r="G1308" s="57"/>
      <c r="H1308" s="4" t="s">
        <v>7261</v>
      </c>
      <c r="I1308" s="4"/>
      <c r="J1308" s="4"/>
      <c r="K1308" s="54"/>
      <c r="L1308" s="57"/>
      <c r="M1308" s="57"/>
      <c r="N1308" s="806" t="s">
        <v>7682</v>
      </c>
      <c r="O1308" s="4">
        <v>296664844</v>
      </c>
      <c r="P1308" s="4">
        <v>296664866</v>
      </c>
      <c r="Q1308" s="767"/>
      <c r="R1308" s="767"/>
      <c r="S1308" s="4"/>
      <c r="T1308" s="4"/>
      <c r="U1308" s="4"/>
      <c r="V1308" s="4"/>
      <c r="W1308" s="4" t="s">
        <v>2351</v>
      </c>
      <c r="X1308" s="4"/>
      <c r="Y1308" s="4" t="s">
        <v>4066</v>
      </c>
      <c r="Z1308" s="35"/>
      <c r="AA1308" s="1" t="str">
        <f>IFERROR(VLOOKUP(D:D,[1]Габариты!$A:$I,9,0),"")</f>
        <v>Вакансия</v>
      </c>
      <c r="AB1308" s="6" t="str">
        <f>IFERROR(VLOOKUP(D:D,[1]Габариты!$A:$D,4,0),"")</f>
        <v>СТОЛЫ</v>
      </c>
      <c r="AC1308" s="39">
        <f t="shared" si="195"/>
        <v>3091</v>
      </c>
      <c r="AD1308" s="13" t="str">
        <f t="shared" si="194"/>
        <v>FBS</v>
      </c>
    </row>
    <row r="1309" spans="1:30" s="6" customFormat="1" ht="20.100000000000001" customHeight="1" outlineLevel="1" x14ac:dyDescent="0.25">
      <c r="A1309" s="742" t="s">
        <v>282</v>
      </c>
      <c r="B1309" s="10"/>
      <c r="C1309" s="13" t="s">
        <v>2581</v>
      </c>
      <c r="D1309" s="39">
        <v>3048</v>
      </c>
      <c r="E1309" s="4">
        <v>19</v>
      </c>
      <c r="F1309" s="101">
        <v>3048</v>
      </c>
      <c r="G1309" s="57"/>
      <c r="H1309" s="4" t="s">
        <v>7262</v>
      </c>
      <c r="I1309" s="4"/>
      <c r="J1309" s="4"/>
      <c r="K1309" s="54"/>
      <c r="L1309" s="57"/>
      <c r="M1309" s="57"/>
      <c r="N1309" s="806" t="s">
        <v>7683</v>
      </c>
      <c r="O1309" s="4">
        <v>309463164</v>
      </c>
      <c r="P1309" s="4">
        <v>309463172</v>
      </c>
      <c r="Q1309" s="767" t="s">
        <v>2854</v>
      </c>
      <c r="R1309" s="767">
        <v>341986812</v>
      </c>
      <c r="S1309" s="4">
        <v>341986825</v>
      </c>
      <c r="T1309" s="4"/>
      <c r="U1309" s="4"/>
      <c r="V1309" s="4"/>
      <c r="W1309" s="4" t="s">
        <v>2352</v>
      </c>
      <c r="X1309" s="4"/>
      <c r="Y1309" s="4" t="s">
        <v>4066</v>
      </c>
      <c r="Z1309" s="35"/>
      <c r="AA1309" s="1" t="str">
        <f>IFERROR(VLOOKUP(D:D,[1]Габариты!$A:$I,9,0),"")</f>
        <v>Вакансия</v>
      </c>
      <c r="AB1309" s="6" t="str">
        <f>IFERROR(VLOOKUP(D:D,[1]Габариты!$A:$D,4,0),"")</f>
        <v>СТОЛЫ</v>
      </c>
      <c r="AC1309" s="39">
        <f t="shared" si="195"/>
        <v>3048</v>
      </c>
      <c r="AD1309" s="13" t="str">
        <f t="shared" si="194"/>
        <v>FBS</v>
      </c>
    </row>
    <row r="1310" spans="1:30" s="6" customFormat="1" ht="20.100000000000001" customHeight="1" outlineLevel="1" x14ac:dyDescent="0.25">
      <c r="A1310" s="635" t="s">
        <v>111</v>
      </c>
      <c r="B1310" s="3"/>
      <c r="C1310" s="13" t="s">
        <v>2581</v>
      </c>
      <c r="D1310" s="39">
        <v>2632</v>
      </c>
      <c r="E1310" s="4">
        <v>19</v>
      </c>
      <c r="F1310" s="101">
        <v>2632</v>
      </c>
      <c r="G1310" s="57" t="s">
        <v>4847</v>
      </c>
      <c r="H1310" s="4" t="s">
        <v>7263</v>
      </c>
      <c r="I1310" s="4" t="s">
        <v>1288</v>
      </c>
      <c r="J1310" s="4"/>
      <c r="K1310" s="54" t="s">
        <v>2353</v>
      </c>
      <c r="L1310" s="57">
        <v>219424794</v>
      </c>
      <c r="M1310" s="57">
        <v>219424794</v>
      </c>
      <c r="N1310" s="4"/>
      <c r="O1310" s="4">
        <v>265224452</v>
      </c>
      <c r="P1310" s="4">
        <v>265224466</v>
      </c>
      <c r="Q1310" s="767" t="s">
        <v>2855</v>
      </c>
      <c r="R1310" s="767">
        <v>323308983</v>
      </c>
      <c r="S1310" s="4">
        <v>323309004</v>
      </c>
      <c r="T1310" s="4"/>
      <c r="U1310" s="4"/>
      <c r="V1310" s="4"/>
      <c r="W1310" s="4" t="s">
        <v>2353</v>
      </c>
      <c r="X1310" s="4" t="s">
        <v>627</v>
      </c>
      <c r="Y1310" s="4" t="s">
        <v>4066</v>
      </c>
      <c r="Z1310" s="35"/>
      <c r="AA1310" s="1" t="str">
        <f>IFERROR(VLOOKUP(D:D,[1]Габариты!$A:$I,9,0),"")</f>
        <v>Вакансия</v>
      </c>
      <c r="AB1310" s="6" t="str">
        <f>IFERROR(VLOOKUP(D:D,[1]Габариты!$A:$D,4,0),"")</f>
        <v>СТОЛЫ</v>
      </c>
      <c r="AC1310" s="39">
        <f t="shared" si="195"/>
        <v>2632</v>
      </c>
      <c r="AD1310" s="13" t="str">
        <f t="shared" si="194"/>
        <v>FBS</v>
      </c>
    </row>
    <row r="1311" spans="1:30" s="6" customFormat="1" ht="20.100000000000001" customHeight="1" outlineLevel="1" x14ac:dyDescent="0.25">
      <c r="A1311" s="635" t="s">
        <v>158</v>
      </c>
      <c r="B1311" s="3"/>
      <c r="C1311" s="13" t="s">
        <v>4328</v>
      </c>
      <c r="D1311" s="39">
        <v>2658</v>
      </c>
      <c r="E1311" s="4">
        <v>10</v>
      </c>
      <c r="F1311" s="101">
        <v>2658</v>
      </c>
      <c r="G1311" s="57"/>
      <c r="H1311" s="4" t="s">
        <v>7264</v>
      </c>
      <c r="I1311" s="4"/>
      <c r="J1311" s="4"/>
      <c r="K1311" s="54" t="s">
        <v>2355</v>
      </c>
      <c r="L1311" s="57">
        <v>254318188</v>
      </c>
      <c r="M1311" s="57">
        <v>254318188</v>
      </c>
      <c r="N1311" s="4"/>
      <c r="O1311" s="4">
        <v>265872124</v>
      </c>
      <c r="P1311" s="4">
        <v>265872127</v>
      </c>
      <c r="Q1311" s="767" t="s">
        <v>2857</v>
      </c>
      <c r="R1311" s="767">
        <v>347017751</v>
      </c>
      <c r="S1311" s="4">
        <v>347017770</v>
      </c>
      <c r="T1311" s="4"/>
      <c r="U1311" s="4"/>
      <c r="V1311" s="4"/>
      <c r="W1311" s="4" t="s">
        <v>2355</v>
      </c>
      <c r="X1311" s="4"/>
      <c r="Y1311" s="4">
        <v>2658</v>
      </c>
      <c r="Z1311" s="35"/>
      <c r="AA1311" s="1" t="str">
        <f>IFERROR(VLOOKUP(D:D,[1]Габариты!$A:$I,9,0),"")</f>
        <v>Вакансия</v>
      </c>
      <c r="AB1311" s="6" t="str">
        <f>IFERROR(VLOOKUP(D:D,[1]Габариты!$A:$D,4,0),"")</f>
        <v>СТОЛЫ</v>
      </c>
      <c r="AC1311" s="39">
        <f t="shared" si="195"/>
        <v>2658</v>
      </c>
      <c r="AD1311" s="13" t="str">
        <f t="shared" si="194"/>
        <v>СКГТ</v>
      </c>
    </row>
    <row r="1312" spans="1:30" s="6" customFormat="1" ht="20.100000000000001" customHeight="1" outlineLevel="1" x14ac:dyDescent="0.25">
      <c r="A1312" s="635" t="s">
        <v>159</v>
      </c>
      <c r="B1312" s="3"/>
      <c r="C1312" s="13" t="s">
        <v>4328</v>
      </c>
      <c r="D1312" s="39">
        <v>2659</v>
      </c>
      <c r="E1312" s="4">
        <v>10</v>
      </c>
      <c r="F1312" s="101">
        <v>2659</v>
      </c>
      <c r="G1312" s="57"/>
      <c r="H1312" s="4" t="s">
        <v>7265</v>
      </c>
      <c r="I1312" s="4"/>
      <c r="J1312" s="4"/>
      <c r="K1312" s="54" t="s">
        <v>2356</v>
      </c>
      <c r="L1312" s="57">
        <v>254318218</v>
      </c>
      <c r="M1312" s="57">
        <v>254318218</v>
      </c>
      <c r="N1312" s="4"/>
      <c r="O1312" s="4">
        <v>267351107</v>
      </c>
      <c r="P1312" s="4">
        <v>267351115</v>
      </c>
      <c r="Q1312" s="767" t="s">
        <v>2858</v>
      </c>
      <c r="R1312" s="767">
        <v>347029977</v>
      </c>
      <c r="S1312" s="4">
        <v>347029995</v>
      </c>
      <c r="T1312" s="4"/>
      <c r="U1312" s="4"/>
      <c r="V1312" s="4"/>
      <c r="W1312" s="4" t="s">
        <v>2356</v>
      </c>
      <c r="X1312" s="4"/>
      <c r="Y1312" s="4">
        <v>2659</v>
      </c>
      <c r="Z1312" s="35"/>
      <c r="AA1312" s="1" t="str">
        <f>IFERROR(VLOOKUP(D:D,[1]Габариты!$A:$I,9,0),"")</f>
        <v>Вакансия</v>
      </c>
      <c r="AB1312" s="6" t="str">
        <f>IFERROR(VLOOKUP(D:D,[1]Габариты!$A:$D,4,0),"")</f>
        <v>СТОЛЫ</v>
      </c>
      <c r="AC1312" s="39">
        <f t="shared" si="195"/>
        <v>2659</v>
      </c>
      <c r="AD1312" s="13" t="str">
        <f t="shared" si="194"/>
        <v>СКГТ</v>
      </c>
    </row>
    <row r="1313" spans="1:30" s="6" customFormat="1" ht="20.100000000000001" customHeight="1" outlineLevel="1" x14ac:dyDescent="0.25">
      <c r="A1313" s="635" t="s">
        <v>167</v>
      </c>
      <c r="B1313" s="3"/>
      <c r="C1313" s="13" t="s">
        <v>3172</v>
      </c>
      <c r="D1313" s="39">
        <v>2672</v>
      </c>
      <c r="E1313" s="4">
        <v>15</v>
      </c>
      <c r="F1313" s="101">
        <v>2672</v>
      </c>
      <c r="G1313" s="57" t="s">
        <v>4865</v>
      </c>
      <c r="H1313" s="4" t="s">
        <v>7266</v>
      </c>
      <c r="I1313" s="4" t="s">
        <v>1289</v>
      </c>
      <c r="J1313" s="4" t="s">
        <v>3166</v>
      </c>
      <c r="K1313" s="54" t="s">
        <v>2357</v>
      </c>
      <c r="L1313" s="57">
        <v>269080802</v>
      </c>
      <c r="M1313" s="57">
        <v>269080802</v>
      </c>
      <c r="N1313" s="4"/>
      <c r="O1313" s="4">
        <v>273202708</v>
      </c>
      <c r="P1313" s="4">
        <v>273202739</v>
      </c>
      <c r="Q1313" s="767" t="s">
        <v>2859</v>
      </c>
      <c r="R1313" s="767">
        <v>349735451</v>
      </c>
      <c r="S1313" s="4">
        <v>349735452</v>
      </c>
      <c r="T1313" s="4"/>
      <c r="U1313" s="4"/>
      <c r="V1313" s="4"/>
      <c r="W1313" s="4" t="s">
        <v>2357</v>
      </c>
      <c r="X1313" s="4" t="s">
        <v>911</v>
      </c>
      <c r="Y1313" s="4" t="s">
        <v>4066</v>
      </c>
      <c r="Z1313" s="35"/>
      <c r="AA1313" s="1" t="str">
        <f>IFERROR(VLOOKUP(D:D,[1]Габариты!$A:$I,9,0),"")</f>
        <v>Вакансия</v>
      </c>
      <c r="AB1313" s="6" t="str">
        <f>IFERROR(VLOOKUP(D:D,[1]Габариты!$A:$D,4,0),"")</f>
        <v>СТОЛЫ</v>
      </c>
      <c r="AC1313" s="39">
        <f t="shared" si="195"/>
        <v>2672</v>
      </c>
      <c r="AD1313" s="13" t="str">
        <f t="shared" si="194"/>
        <v xml:space="preserve">СКГТ </v>
      </c>
    </row>
    <row r="1314" spans="1:30" s="6" customFormat="1" ht="20.100000000000001" customHeight="1" outlineLevel="1" x14ac:dyDescent="0.25">
      <c r="A1314" s="635" t="s">
        <v>168</v>
      </c>
      <c r="B1314" s="3"/>
      <c r="C1314" s="13" t="s">
        <v>3172</v>
      </c>
      <c r="D1314" s="39">
        <v>2673</v>
      </c>
      <c r="E1314" s="4">
        <v>15</v>
      </c>
      <c r="F1314" s="101">
        <v>2673</v>
      </c>
      <c r="G1314" s="57"/>
      <c r="H1314" s="4" t="s">
        <v>7267</v>
      </c>
      <c r="I1314" s="4" t="s">
        <v>1290</v>
      </c>
      <c r="J1314" s="4" t="s">
        <v>3167</v>
      </c>
      <c r="K1314" s="54" t="s">
        <v>2358</v>
      </c>
      <c r="L1314" s="57">
        <v>269290196</v>
      </c>
      <c r="M1314" s="57">
        <v>269290196</v>
      </c>
      <c r="N1314" s="4"/>
      <c r="O1314" s="4">
        <v>268938712</v>
      </c>
      <c r="P1314" s="4">
        <v>268938743</v>
      </c>
      <c r="Q1314" s="767" t="s">
        <v>2860</v>
      </c>
      <c r="R1314" s="767">
        <v>349764843</v>
      </c>
      <c r="S1314" s="4">
        <v>349764845</v>
      </c>
      <c r="T1314" s="4"/>
      <c r="U1314" s="4"/>
      <c r="V1314" s="4"/>
      <c r="W1314" s="4" t="s">
        <v>2358</v>
      </c>
      <c r="X1314" s="4"/>
      <c r="Y1314" s="4" t="s">
        <v>4066</v>
      </c>
      <c r="Z1314" s="35"/>
      <c r="AA1314" s="1" t="str">
        <f>IFERROR(VLOOKUP(D:D,[1]Габариты!$A:$I,9,0),"")</f>
        <v>Вакансия</v>
      </c>
      <c r="AB1314" s="6" t="str">
        <f>IFERROR(VLOOKUP(D:D,[1]Габариты!$A:$D,4,0),"")</f>
        <v>СТОЛЫ</v>
      </c>
      <c r="AC1314" s="39">
        <f t="shared" si="195"/>
        <v>2673</v>
      </c>
      <c r="AD1314" s="13" t="str">
        <f t="shared" si="194"/>
        <v xml:space="preserve">СКГТ </v>
      </c>
    </row>
    <row r="1315" spans="1:30" s="6" customFormat="1" ht="20.100000000000001" customHeight="1" outlineLevel="1" x14ac:dyDescent="0.25">
      <c r="A1315" s="635" t="s">
        <v>458</v>
      </c>
      <c r="B1315" s="24"/>
      <c r="C1315" s="13" t="s">
        <v>2581</v>
      </c>
      <c r="D1315" s="39">
        <v>3110</v>
      </c>
      <c r="E1315" s="4">
        <v>21</v>
      </c>
      <c r="F1315" s="101">
        <v>3110</v>
      </c>
      <c r="G1315" s="57" t="s">
        <v>5009</v>
      </c>
      <c r="H1315" s="4" t="s">
        <v>7268</v>
      </c>
      <c r="I1315" s="4"/>
      <c r="J1315" s="4"/>
      <c r="K1315" s="54"/>
      <c r="L1315" s="57"/>
      <c r="M1315" s="57"/>
      <c r="N1315" s="806" t="s">
        <v>7684</v>
      </c>
      <c r="O1315" s="4">
        <v>375508473</v>
      </c>
      <c r="P1315" s="4">
        <v>375508472</v>
      </c>
      <c r="Q1315" s="767"/>
      <c r="R1315" s="767">
        <v>375611380</v>
      </c>
      <c r="S1315" s="4">
        <v>375611379</v>
      </c>
      <c r="T1315" s="4"/>
      <c r="U1315" s="4"/>
      <c r="V1315" s="4"/>
      <c r="W1315" s="4" t="s">
        <v>2396</v>
      </c>
      <c r="X1315" s="4"/>
      <c r="Y1315" s="4" t="s">
        <v>4066</v>
      </c>
      <c r="Z1315" s="35"/>
      <c r="AA1315" s="1" t="str">
        <f>IFERROR(VLOOKUP(D:D,[1]Габариты!$A:$I,9,0),"")</f>
        <v>Вакансия</v>
      </c>
      <c r="AB1315" s="6" t="str">
        <f>IFERROR(VLOOKUP(D:D,[1]Габариты!$A:$D,4,0),"")</f>
        <v>СТОЛЫ</v>
      </c>
      <c r="AC1315" s="39">
        <f t="shared" si="195"/>
        <v>3110</v>
      </c>
      <c r="AD1315" s="13" t="str">
        <f t="shared" si="194"/>
        <v>FBS</v>
      </c>
    </row>
    <row r="1316" spans="1:30" s="6" customFormat="1" ht="20.100000000000001" customHeight="1" outlineLevel="1" x14ac:dyDescent="0.25">
      <c r="A1316" s="665" t="s">
        <v>470</v>
      </c>
      <c r="B1316" s="2"/>
      <c r="C1316" s="13" t="s">
        <v>2581</v>
      </c>
      <c r="D1316" s="40">
        <v>3134</v>
      </c>
      <c r="E1316" s="4">
        <v>18</v>
      </c>
      <c r="F1316" s="101">
        <v>3134</v>
      </c>
      <c r="G1316" s="57" t="s">
        <v>5017</v>
      </c>
      <c r="H1316" s="4"/>
      <c r="I1316" s="4"/>
      <c r="J1316" s="4"/>
      <c r="K1316" s="54" t="s">
        <v>2398</v>
      </c>
      <c r="L1316" s="57">
        <v>415935467</v>
      </c>
      <c r="M1316" s="57">
        <v>415935467</v>
      </c>
      <c r="N1316" s="4"/>
      <c r="O1316" s="4"/>
      <c r="P1316" s="4"/>
      <c r="Q1316" s="767"/>
      <c r="R1316" s="767"/>
      <c r="S1316" s="4"/>
      <c r="T1316" s="4"/>
      <c r="U1316" s="4"/>
      <c r="V1316" s="4"/>
      <c r="W1316" s="4" t="s">
        <v>2398</v>
      </c>
      <c r="X1316" s="4" t="s">
        <v>916</v>
      </c>
      <c r="Y1316" s="4" t="s">
        <v>4066</v>
      </c>
      <c r="Z1316" s="35"/>
      <c r="AA1316" s="1" t="str">
        <f>IFERROR(VLOOKUP(D:D,[1]Габариты!$A:$I,9,0),"")</f>
        <v>Вакансия</v>
      </c>
      <c r="AB1316" s="6" t="str">
        <f>IFERROR(VLOOKUP(D:D,[1]Габариты!$A:$D,4,0),"")</f>
        <v>СТОЛЫ</v>
      </c>
      <c r="AC1316" s="39">
        <f t="shared" si="195"/>
        <v>3134</v>
      </c>
      <c r="AD1316" s="13" t="str">
        <f t="shared" si="194"/>
        <v>FBS</v>
      </c>
    </row>
    <row r="1317" spans="1:30" s="6" customFormat="1" ht="20.100000000000001" customHeight="1" outlineLevel="1" x14ac:dyDescent="0.25">
      <c r="A1317" s="746" t="s">
        <v>484</v>
      </c>
      <c r="B1317" s="27"/>
      <c r="C1317" s="13" t="s">
        <v>4050</v>
      </c>
      <c r="D1317" s="881">
        <v>3148</v>
      </c>
      <c r="E1317" s="4">
        <v>17</v>
      </c>
      <c r="F1317" s="101">
        <v>3148</v>
      </c>
      <c r="G1317" s="57" t="s">
        <v>5023</v>
      </c>
      <c r="H1317" s="4" t="s">
        <v>7269</v>
      </c>
      <c r="I1317" s="4"/>
      <c r="J1317" s="4"/>
      <c r="K1317" s="54" t="s">
        <v>2403</v>
      </c>
      <c r="L1317" s="57">
        <v>409989365</v>
      </c>
      <c r="M1317" s="57">
        <v>409989365</v>
      </c>
      <c r="N1317" s="4"/>
      <c r="O1317" s="4"/>
      <c r="P1317" s="4"/>
      <c r="Q1317" s="767"/>
      <c r="R1317" s="767"/>
      <c r="S1317" s="4"/>
      <c r="T1317" s="4"/>
      <c r="U1317" s="4"/>
      <c r="V1317" s="4"/>
      <c r="W1317" s="4" t="s">
        <v>2403</v>
      </c>
      <c r="X1317" s="4" t="s">
        <v>920</v>
      </c>
      <c r="Y1317" s="4" t="s">
        <v>4066</v>
      </c>
      <c r="Z1317" s="35"/>
      <c r="AA1317" s="1" t="str">
        <f>IFERROR(VLOOKUP(D:D,[1]Габариты!$A:$I,9,0),"")</f>
        <v>Вакансия</v>
      </c>
      <c r="AB1317" s="6" t="str">
        <f>IFERROR(VLOOKUP(D:D,[1]Габариты!$A:$D,4,0),"")</f>
        <v>СТОЛЫ</v>
      </c>
      <c r="AC1317" s="39">
        <f t="shared" si="195"/>
        <v>3148</v>
      </c>
      <c r="AD1317" s="13" t="str">
        <f t="shared" si="194"/>
        <v>СКГТ (ОЗОН)</v>
      </c>
    </row>
    <row r="1318" spans="1:30" s="6" customFormat="1" ht="20.100000000000001" customHeight="1" outlineLevel="1" x14ac:dyDescent="0.25">
      <c r="A1318" s="635" t="s">
        <v>493</v>
      </c>
      <c r="B1318" s="24"/>
      <c r="C1318" s="13" t="s">
        <v>2581</v>
      </c>
      <c r="D1318" s="881">
        <v>3140</v>
      </c>
      <c r="E1318" s="4">
        <v>14</v>
      </c>
      <c r="F1318" s="101">
        <v>3140</v>
      </c>
      <c r="G1318" s="57" t="s">
        <v>5021</v>
      </c>
      <c r="H1318" s="4"/>
      <c r="I1318" s="4"/>
      <c r="J1318" s="4"/>
      <c r="K1318" s="54" t="s">
        <v>2404</v>
      </c>
      <c r="L1318" s="57">
        <v>422387522</v>
      </c>
      <c r="M1318" s="57">
        <v>422387522</v>
      </c>
      <c r="N1318" s="4"/>
      <c r="O1318" s="4">
        <v>667960282</v>
      </c>
      <c r="P1318" s="4">
        <v>667960281</v>
      </c>
      <c r="Q1318" s="767"/>
      <c r="R1318" s="767"/>
      <c r="S1318" s="4"/>
      <c r="T1318" s="4"/>
      <c r="U1318" s="4"/>
      <c r="V1318" s="4"/>
      <c r="W1318" s="4" t="s">
        <v>2404</v>
      </c>
      <c r="X1318" s="4" t="s">
        <v>921</v>
      </c>
      <c r="Y1318" s="4">
        <v>3140</v>
      </c>
      <c r="Z1318" s="35"/>
      <c r="AA1318" s="1" t="str">
        <f>IFERROR(VLOOKUP(D:D,[1]Габариты!$A:$I,9,0),"")</f>
        <v>Вакансия</v>
      </c>
      <c r="AB1318" s="6" t="str">
        <f>IFERROR(VLOOKUP(D:D,[1]Габариты!$A:$D,4,0),"")</f>
        <v>СТОЛЫ</v>
      </c>
      <c r="AC1318" s="39">
        <f t="shared" si="195"/>
        <v>3140</v>
      </c>
      <c r="AD1318" s="13" t="str">
        <f t="shared" si="194"/>
        <v>FBS</v>
      </c>
    </row>
    <row r="1319" spans="1:30" s="6" customFormat="1" ht="20.100000000000001" customHeight="1" outlineLevel="1" x14ac:dyDescent="0.25">
      <c r="A1319" s="665" t="s">
        <v>279</v>
      </c>
      <c r="B1319" s="16"/>
      <c r="C1319" s="13" t="s">
        <v>2581</v>
      </c>
      <c r="D1319" s="39">
        <v>3040</v>
      </c>
      <c r="E1319" s="4">
        <v>21</v>
      </c>
      <c r="F1319" s="101">
        <v>3040</v>
      </c>
      <c r="G1319" s="57" t="s">
        <v>4974</v>
      </c>
      <c r="H1319" s="4" t="s">
        <v>7270</v>
      </c>
      <c r="I1319" s="4"/>
      <c r="J1319" s="4"/>
      <c r="K1319" s="54" t="s">
        <v>2329</v>
      </c>
      <c r="L1319" s="57">
        <v>283101909</v>
      </c>
      <c r="M1319" s="57">
        <v>283101909</v>
      </c>
      <c r="N1319" s="4"/>
      <c r="O1319" s="4">
        <v>282739705</v>
      </c>
      <c r="P1319" s="4">
        <v>282739737</v>
      </c>
      <c r="Q1319" s="767"/>
      <c r="R1319" s="767"/>
      <c r="S1319" s="4"/>
      <c r="T1319" s="4"/>
      <c r="U1319" s="4"/>
      <c r="V1319" s="4"/>
      <c r="W1319" s="4" t="s">
        <v>2329</v>
      </c>
      <c r="X1319" s="4" t="s">
        <v>757</v>
      </c>
      <c r="Y1319" s="4" t="s">
        <v>4066</v>
      </c>
      <c r="Z1319" s="35"/>
      <c r="AA1319" s="1" t="str">
        <f>IFERROR(VLOOKUP(D:D,[1]Габариты!$A:$I,9,0),"")</f>
        <v>Вакансия</v>
      </c>
      <c r="AB1319" s="6" t="str">
        <f>IFERROR(VLOOKUP(D:D,[1]Габариты!$A:$D,4,0),"")</f>
        <v>СТОЛЫ</v>
      </c>
      <c r="AC1319" s="39">
        <f t="shared" si="195"/>
        <v>3040</v>
      </c>
      <c r="AD1319" s="13" t="str">
        <f t="shared" si="194"/>
        <v>FBS</v>
      </c>
    </row>
    <row r="1320" spans="1:30" s="6" customFormat="1" ht="20.100000000000001" customHeight="1" outlineLevel="1" x14ac:dyDescent="0.25">
      <c r="A1320" s="635" t="s">
        <v>157</v>
      </c>
      <c r="B1320" s="3"/>
      <c r="C1320" s="13" t="s">
        <v>4328</v>
      </c>
      <c r="D1320" s="39">
        <v>2657</v>
      </c>
      <c r="E1320" s="4">
        <v>10</v>
      </c>
      <c r="F1320" s="101">
        <v>2657</v>
      </c>
      <c r="G1320" s="57"/>
      <c r="H1320" s="4" t="s">
        <v>7271</v>
      </c>
      <c r="I1320" s="4"/>
      <c r="J1320" s="4"/>
      <c r="K1320" s="54" t="s">
        <v>2354</v>
      </c>
      <c r="L1320" s="57">
        <v>235614593</v>
      </c>
      <c r="M1320" s="57">
        <v>235614593</v>
      </c>
      <c r="N1320" s="4"/>
      <c r="O1320" s="4">
        <v>267326623</v>
      </c>
      <c r="P1320" s="4">
        <v>267326626</v>
      </c>
      <c r="Q1320" s="767" t="s">
        <v>2856</v>
      </c>
      <c r="R1320" s="767">
        <v>358961292</v>
      </c>
      <c r="S1320" s="4">
        <v>358961291</v>
      </c>
      <c r="T1320" s="4"/>
      <c r="U1320" s="4"/>
      <c r="V1320" s="4"/>
      <c r="W1320" s="4" t="s">
        <v>2354</v>
      </c>
      <c r="X1320" s="4" t="s">
        <v>910</v>
      </c>
      <c r="Y1320" s="4">
        <v>2657</v>
      </c>
      <c r="Z1320" s="35"/>
      <c r="AA1320" s="1" t="str">
        <f>IFERROR(VLOOKUP(D:D,[1]Габариты!$A:$I,9,0),"")</f>
        <v>Вакансия</v>
      </c>
      <c r="AB1320" s="6" t="str">
        <f>IFERROR(VLOOKUP(D:D,[1]Габариты!$A:$D,4,0),"")</f>
        <v>СТОЛЫ</v>
      </c>
      <c r="AC1320" s="39">
        <f t="shared" si="195"/>
        <v>2657</v>
      </c>
      <c r="AD1320" s="13" t="str">
        <f t="shared" si="194"/>
        <v>СКГТ</v>
      </c>
    </row>
    <row r="1321" spans="1:30" s="6" customFormat="1" ht="20.100000000000001" customHeight="1" outlineLevel="1" x14ac:dyDescent="0.25">
      <c r="A1321" s="635" t="s">
        <v>169</v>
      </c>
      <c r="B1321" s="3"/>
      <c r="C1321" s="13" t="s">
        <v>4050</v>
      </c>
      <c r="D1321" s="39">
        <v>2674</v>
      </c>
      <c r="E1321" s="4">
        <v>15</v>
      </c>
      <c r="F1321" s="101">
        <v>2674</v>
      </c>
      <c r="G1321" s="57"/>
      <c r="H1321" s="4" t="s">
        <v>7272</v>
      </c>
      <c r="I1321" s="4" t="s">
        <v>1291</v>
      </c>
      <c r="J1321" s="4" t="s">
        <v>3144</v>
      </c>
      <c r="K1321" s="54" t="s">
        <v>2359</v>
      </c>
      <c r="L1321" s="57">
        <v>269383567</v>
      </c>
      <c r="M1321" s="57">
        <v>269383567</v>
      </c>
      <c r="N1321" s="4"/>
      <c r="O1321" s="4">
        <v>273207541</v>
      </c>
      <c r="P1321" s="4">
        <v>273207594</v>
      </c>
      <c r="Q1321" s="767" t="s">
        <v>2861</v>
      </c>
      <c r="R1321" s="767">
        <v>356375364</v>
      </c>
      <c r="S1321" s="4">
        <v>356375363</v>
      </c>
      <c r="T1321" s="4"/>
      <c r="U1321" s="4"/>
      <c r="V1321" s="4"/>
      <c r="W1321" s="4" t="s">
        <v>2359</v>
      </c>
      <c r="X1321" s="4"/>
      <c r="Y1321" s="4" t="s">
        <v>4066</v>
      </c>
      <c r="Z1321" s="35"/>
      <c r="AA1321" s="1" t="str">
        <f>IFERROR(VLOOKUP(D:D,[1]Габариты!$A:$I,9,0),"")</f>
        <v>Вакансия</v>
      </c>
      <c r="AB1321" s="6" t="str">
        <f>IFERROR(VLOOKUP(D:D,[1]Габариты!$A:$D,4,0),"")</f>
        <v>СТОЛЫ</v>
      </c>
      <c r="AC1321" s="39">
        <f t="shared" si="195"/>
        <v>2674</v>
      </c>
      <c r="AD1321" s="13" t="str">
        <f t="shared" si="194"/>
        <v>СКГТ (ОЗОН)</v>
      </c>
    </row>
    <row r="1322" spans="1:30" s="6" customFormat="1" ht="20.100000000000001" customHeight="1" outlineLevel="1" x14ac:dyDescent="0.25">
      <c r="A1322" s="635" t="s">
        <v>201</v>
      </c>
      <c r="B1322" s="3"/>
      <c r="C1322" s="13" t="s">
        <v>2581</v>
      </c>
      <c r="D1322" s="39">
        <v>2937</v>
      </c>
      <c r="E1322" s="4">
        <v>19</v>
      </c>
      <c r="F1322" s="101">
        <v>2937</v>
      </c>
      <c r="G1322" s="57" t="s">
        <v>4900</v>
      </c>
      <c r="H1322" s="4" t="s">
        <v>7273</v>
      </c>
      <c r="I1322" s="4" t="s">
        <v>1304</v>
      </c>
      <c r="J1322" s="4" t="s">
        <v>1873</v>
      </c>
      <c r="K1322" s="54" t="s">
        <v>2382</v>
      </c>
      <c r="L1322" s="57">
        <v>254355736</v>
      </c>
      <c r="M1322" s="57">
        <v>254355736</v>
      </c>
      <c r="N1322" s="4" t="s">
        <v>679</v>
      </c>
      <c r="O1322" s="4">
        <v>266963572</v>
      </c>
      <c r="P1322" s="4">
        <v>266963573</v>
      </c>
      <c r="Q1322" s="767" t="s">
        <v>2882</v>
      </c>
      <c r="R1322" s="767">
        <v>323370344</v>
      </c>
      <c r="S1322" s="4">
        <v>323370378</v>
      </c>
      <c r="T1322" s="4" t="s">
        <v>3042</v>
      </c>
      <c r="U1322" s="4">
        <v>942581760</v>
      </c>
      <c r="V1322" s="4">
        <v>942581760</v>
      </c>
      <c r="W1322" s="4" t="s">
        <v>2382</v>
      </c>
      <c r="X1322" s="4" t="s">
        <v>679</v>
      </c>
      <c r="Y1322" s="4">
        <v>2937</v>
      </c>
      <c r="Z1322" s="35"/>
      <c r="AA1322" s="1" t="str">
        <f>IFERROR(VLOOKUP(D:D,[1]Габариты!$A:$I,9,0),"")</f>
        <v>Вакансия</v>
      </c>
      <c r="AB1322" s="6" t="str">
        <f>IFERROR(VLOOKUP(D:D,[1]Габариты!$A:$D,4,0),"")</f>
        <v>СТОЛЫ</v>
      </c>
      <c r="AC1322" s="39">
        <f t="shared" si="195"/>
        <v>2937</v>
      </c>
      <c r="AD1322" s="13" t="str">
        <f t="shared" si="194"/>
        <v>FBS</v>
      </c>
    </row>
    <row r="1323" spans="1:30" s="6" customFormat="1" ht="20.100000000000001" customHeight="1" outlineLevel="1" x14ac:dyDescent="0.25">
      <c r="A1323" s="635" t="s">
        <v>200</v>
      </c>
      <c r="B1323" s="3"/>
      <c r="C1323" s="13" t="s">
        <v>2581</v>
      </c>
      <c r="D1323" s="39">
        <v>2936</v>
      </c>
      <c r="E1323" s="4">
        <v>19</v>
      </c>
      <c r="F1323" s="101">
        <v>2936</v>
      </c>
      <c r="G1323" s="57" t="s">
        <v>4899</v>
      </c>
      <c r="H1323" s="4" t="s">
        <v>7274</v>
      </c>
      <c r="I1323" s="4" t="s">
        <v>1305</v>
      </c>
      <c r="J1323" s="4" t="s">
        <v>1874</v>
      </c>
      <c r="K1323" s="54" t="s">
        <v>2383</v>
      </c>
      <c r="L1323" s="57">
        <v>254339011</v>
      </c>
      <c r="M1323" s="57">
        <v>254339011</v>
      </c>
      <c r="N1323" s="4" t="s">
        <v>678</v>
      </c>
      <c r="O1323" s="4">
        <v>266962130</v>
      </c>
      <c r="P1323" s="4">
        <v>266962136</v>
      </c>
      <c r="Q1323" s="767" t="s">
        <v>2883</v>
      </c>
      <c r="R1323" s="767">
        <v>323414587</v>
      </c>
      <c r="S1323" s="4">
        <v>323414590</v>
      </c>
      <c r="T1323" s="4" t="s">
        <v>3043</v>
      </c>
      <c r="U1323" s="4">
        <v>942550048</v>
      </c>
      <c r="V1323" s="4">
        <v>942550048</v>
      </c>
      <c r="W1323" s="4" t="s">
        <v>2383</v>
      </c>
      <c r="X1323" s="4" t="s">
        <v>678</v>
      </c>
      <c r="Y1323" s="4">
        <v>2936</v>
      </c>
      <c r="Z1323" s="35"/>
      <c r="AA1323" s="1" t="str">
        <f>IFERROR(VLOOKUP(D:D,[1]Габариты!$A:$I,9,0),"")</f>
        <v>Вакансия</v>
      </c>
      <c r="AB1323" s="6" t="str">
        <f>IFERROR(VLOOKUP(D:D,[1]Габариты!$A:$D,4,0),"")</f>
        <v>СТОЛЫ</v>
      </c>
      <c r="AC1323" s="39">
        <f t="shared" si="195"/>
        <v>2936</v>
      </c>
      <c r="AD1323" s="13" t="str">
        <f t="shared" si="194"/>
        <v>FBS</v>
      </c>
    </row>
    <row r="1324" spans="1:30" s="6" customFormat="1" ht="20.100000000000001" customHeight="1" outlineLevel="1" x14ac:dyDescent="0.25">
      <c r="A1324" s="635" t="s">
        <v>805</v>
      </c>
      <c r="B1324" s="25"/>
      <c r="C1324" s="13" t="s">
        <v>2581</v>
      </c>
      <c r="D1324" s="40">
        <v>3354</v>
      </c>
      <c r="E1324" s="4">
        <v>20</v>
      </c>
      <c r="F1324" s="101">
        <v>3354</v>
      </c>
      <c r="G1324" s="57" t="s">
        <v>5057</v>
      </c>
      <c r="H1324" s="4" t="s">
        <v>7275</v>
      </c>
      <c r="I1324" s="4"/>
      <c r="J1324" s="4" t="s">
        <v>1880</v>
      </c>
      <c r="K1324" s="54" t="s">
        <v>2419</v>
      </c>
      <c r="L1324" s="57">
        <v>511380397</v>
      </c>
      <c r="M1324" s="57">
        <v>511380397</v>
      </c>
      <c r="N1324" s="4"/>
      <c r="O1324" s="4">
        <v>743227436</v>
      </c>
      <c r="P1324" s="4">
        <v>743227437</v>
      </c>
      <c r="Q1324" s="767" t="s">
        <v>2897</v>
      </c>
      <c r="R1324" s="767">
        <v>911144569</v>
      </c>
      <c r="S1324" s="4">
        <v>911144568</v>
      </c>
      <c r="T1324" s="4" t="s">
        <v>3054</v>
      </c>
      <c r="U1324" s="4">
        <v>942596283</v>
      </c>
      <c r="V1324" s="4">
        <v>942596283</v>
      </c>
      <c r="W1324" s="4" t="s">
        <v>2419</v>
      </c>
      <c r="X1324" s="4" t="s">
        <v>932</v>
      </c>
      <c r="Y1324" s="4">
        <v>3354</v>
      </c>
      <c r="Z1324" s="35"/>
      <c r="AA1324" s="1" t="str">
        <f>IFERROR(VLOOKUP(D:D,[1]Габариты!$A:$I,9,0),"")</f>
        <v>Вакансия</v>
      </c>
      <c r="AB1324" s="6" t="str">
        <f>IFERROR(VLOOKUP(D:D,[1]Габариты!$A:$D,4,0),"")</f>
        <v>СТОЛЫ</v>
      </c>
      <c r="AC1324" s="39">
        <f t="shared" si="195"/>
        <v>3354</v>
      </c>
      <c r="AD1324" s="13" t="str">
        <f t="shared" si="194"/>
        <v>FBS</v>
      </c>
    </row>
    <row r="1325" spans="1:30" s="6" customFormat="1" ht="20.100000000000001" customHeight="1" outlineLevel="1" x14ac:dyDescent="0.25">
      <c r="A1325" s="635" t="s">
        <v>1023</v>
      </c>
      <c r="B1325" s="3"/>
      <c r="C1325" s="13" t="s">
        <v>2581</v>
      </c>
      <c r="D1325" s="39" t="s">
        <v>1502</v>
      </c>
      <c r="E1325" s="4">
        <v>20</v>
      </c>
      <c r="F1325" s="101" t="s">
        <v>6245</v>
      </c>
      <c r="G1325" s="57" t="s">
        <v>5171</v>
      </c>
      <c r="H1325" s="4" t="s">
        <v>7276</v>
      </c>
      <c r="I1325" s="4"/>
      <c r="J1325" s="4" t="s">
        <v>3873</v>
      </c>
      <c r="K1325" s="54" t="s">
        <v>6245</v>
      </c>
      <c r="L1325" s="57">
        <v>933320527</v>
      </c>
      <c r="M1325" s="57">
        <v>933320527</v>
      </c>
      <c r="N1325" s="4"/>
      <c r="O1325" s="4">
        <v>605254241</v>
      </c>
      <c r="P1325" s="4">
        <v>605254239</v>
      </c>
      <c r="Q1325" s="767"/>
      <c r="R1325" s="767"/>
      <c r="S1325" s="4"/>
      <c r="T1325" s="4"/>
      <c r="U1325" s="4"/>
      <c r="V1325" s="4"/>
      <c r="W1325" s="4"/>
      <c r="X1325" s="4" t="s">
        <v>1426</v>
      </c>
      <c r="Y1325" s="4" t="s">
        <v>4066</v>
      </c>
      <c r="Z1325" s="35"/>
      <c r="AA1325" s="1" t="str">
        <f>IFERROR(VLOOKUP(D:D,[1]Габариты!$A:$I,9,0),"")</f>
        <v>Вакансия</v>
      </c>
      <c r="AB1325" s="6" t="str">
        <f>IFERROR(VLOOKUP(D:D,[1]Габариты!$A:$D,4,0),"")</f>
        <v>СТОЛЫ</v>
      </c>
      <c r="AC1325" s="39" t="str">
        <f t="shared" si="195"/>
        <v>MK00026</v>
      </c>
      <c r="AD1325" s="13" t="str">
        <f t="shared" si="194"/>
        <v>FBS</v>
      </c>
    </row>
    <row r="1326" spans="1:30" s="6" customFormat="1" ht="20.100000000000001" customHeight="1" outlineLevel="1" x14ac:dyDescent="0.25">
      <c r="A1326" s="635" t="s">
        <v>1138</v>
      </c>
      <c r="B1326" s="25"/>
      <c r="C1326" s="13" t="s">
        <v>2582</v>
      </c>
      <c r="D1326" s="40" t="s">
        <v>1167</v>
      </c>
      <c r="E1326" s="4">
        <v>36</v>
      </c>
      <c r="F1326" s="101" t="s">
        <v>6246</v>
      </c>
      <c r="G1326" s="57" t="s">
        <v>5208</v>
      </c>
      <c r="H1326" s="4" t="s">
        <v>7277</v>
      </c>
      <c r="I1326" s="4"/>
      <c r="J1326" s="4"/>
      <c r="K1326" s="54" t="s">
        <v>6246</v>
      </c>
      <c r="L1326" s="57">
        <v>933933442</v>
      </c>
      <c r="M1326" s="57">
        <v>933933442</v>
      </c>
      <c r="N1326" s="4"/>
      <c r="O1326" s="4">
        <v>677979045</v>
      </c>
      <c r="P1326" s="4">
        <v>677979044</v>
      </c>
      <c r="Q1326" s="767"/>
      <c r="R1326" s="767"/>
      <c r="S1326" s="4"/>
      <c r="T1326" s="4"/>
      <c r="U1326" s="4"/>
      <c r="V1326" s="4"/>
      <c r="W1326" s="4"/>
      <c r="X1326" s="4" t="s">
        <v>1429</v>
      </c>
      <c r="Y1326" s="4" t="s">
        <v>4066</v>
      </c>
      <c r="Z1326" s="35"/>
      <c r="AA1326" s="1" t="str">
        <f>IFERROR(VLOOKUP(D:D,[1]Габариты!$A:$I,9,0),"")</f>
        <v>Вакансия</v>
      </c>
      <c r="AB1326" s="6" t="str">
        <f>IFERROR(VLOOKUP(D:D,[1]Габариты!$A:$D,4,0),"")</f>
        <v>СТОЛЫ</v>
      </c>
      <c r="AC1326" s="39" t="str">
        <f t="shared" si="195"/>
        <v>MK1330101</v>
      </c>
      <c r="AD1326" s="13" t="str">
        <f t="shared" si="194"/>
        <v>FBO</v>
      </c>
    </row>
    <row r="1327" spans="1:30" s="6" customFormat="1" ht="20.100000000000001" customHeight="1" outlineLevel="1" x14ac:dyDescent="0.25">
      <c r="A1327" s="635" t="s">
        <v>1728</v>
      </c>
      <c r="B1327" s="24"/>
      <c r="C1327" s="13" t="s">
        <v>2581</v>
      </c>
      <c r="D1327" s="40" t="s">
        <v>1729</v>
      </c>
      <c r="E1327" s="4">
        <v>20</v>
      </c>
      <c r="F1327" s="101" t="s">
        <v>6247</v>
      </c>
      <c r="G1327" s="57"/>
      <c r="H1327" s="4" t="s">
        <v>7279</v>
      </c>
      <c r="I1327" s="4"/>
      <c r="J1327" s="4"/>
      <c r="K1327" s="54"/>
      <c r="L1327" s="57"/>
      <c r="M1327" s="57"/>
      <c r="N1327" s="4"/>
      <c r="O1327" s="4">
        <v>843500922</v>
      </c>
      <c r="P1327" s="4">
        <v>843500921</v>
      </c>
      <c r="Q1327" s="767"/>
      <c r="R1327" s="767"/>
      <c r="S1327" s="4"/>
      <c r="T1327" s="4"/>
      <c r="U1327" s="4"/>
      <c r="V1327" s="4"/>
      <c r="W1327" s="4"/>
      <c r="X1327" s="4" t="s">
        <v>1745</v>
      </c>
      <c r="Y1327" s="4" t="s">
        <v>4066</v>
      </c>
      <c r="Z1327" s="35"/>
      <c r="AA1327" s="1" t="str">
        <f>IFERROR(VLOOKUP(D:D,[1]Габариты!$A:$I,9,0),"")</f>
        <v>Вакансия</v>
      </c>
      <c r="AB1327" s="6" t="str">
        <f>IFERROR(VLOOKUP(D:D,[1]Габариты!$A:$D,4,0),"")</f>
        <v>СТОЛЫ</v>
      </c>
      <c r="AC1327" s="39" t="str">
        <f t="shared" si="195"/>
        <v>MK1620701</v>
      </c>
      <c r="AD1327" s="13" t="str">
        <f t="shared" si="194"/>
        <v>FBS</v>
      </c>
    </row>
    <row r="1328" spans="1:30" s="6" customFormat="1" ht="20.100000000000001" customHeight="1" outlineLevel="1" x14ac:dyDescent="0.25">
      <c r="A1328" s="665" t="s">
        <v>219</v>
      </c>
      <c r="B1328" s="16"/>
      <c r="C1328" s="13" t="s">
        <v>2581</v>
      </c>
      <c r="D1328" s="39">
        <v>2959</v>
      </c>
      <c r="E1328" s="4">
        <v>17</v>
      </c>
      <c r="F1328" s="101">
        <v>2959</v>
      </c>
      <c r="G1328" s="57" t="s">
        <v>4915</v>
      </c>
      <c r="H1328" s="4" t="s">
        <v>6790</v>
      </c>
      <c r="I1328" s="4" t="s">
        <v>1264</v>
      </c>
      <c r="J1328" s="4" t="s">
        <v>1864</v>
      </c>
      <c r="K1328" s="54" t="s">
        <v>2332</v>
      </c>
      <c r="L1328" s="57">
        <v>279572739</v>
      </c>
      <c r="M1328" s="57">
        <v>279572739</v>
      </c>
      <c r="N1328" s="4" t="s">
        <v>698</v>
      </c>
      <c r="O1328" s="4">
        <v>279567998</v>
      </c>
      <c r="P1328" s="4">
        <v>279568053</v>
      </c>
      <c r="Q1328" s="767" t="s">
        <v>2838</v>
      </c>
      <c r="R1328" s="767">
        <v>322810320</v>
      </c>
      <c r="S1328" s="4">
        <v>322810350</v>
      </c>
      <c r="T1328" s="4" t="s">
        <v>3028</v>
      </c>
      <c r="U1328" s="4">
        <v>889159044</v>
      </c>
      <c r="V1328" s="4">
        <v>889159044</v>
      </c>
      <c r="W1328" s="4" t="s">
        <v>2332</v>
      </c>
      <c r="X1328" s="4" t="s">
        <v>698</v>
      </c>
      <c r="Y1328" s="4">
        <v>2959</v>
      </c>
      <c r="Z1328" s="35"/>
      <c r="AA1328" s="1" t="str">
        <f>IFERROR(VLOOKUP(D:D,[1]Габариты!$A:$I,9,0),"")</f>
        <v>Вакансия</v>
      </c>
      <c r="AB1328" s="6" t="str">
        <f>IFERROR(VLOOKUP(D:D,[1]Габариты!$A:$D,4,0),"")</f>
        <v>СТОЛЫ</v>
      </c>
      <c r="AC1328" s="39">
        <f t="shared" si="195"/>
        <v>2959</v>
      </c>
      <c r="AD1328" s="13" t="str">
        <f t="shared" ref="AD1328:AD1450" si="196">C1328</f>
        <v>FBS</v>
      </c>
    </row>
    <row r="1329" spans="1:30" s="6" customFormat="1" ht="20.100000000000001" customHeight="1" outlineLevel="1" x14ac:dyDescent="0.25">
      <c r="A1329" s="635" t="s">
        <v>4386</v>
      </c>
      <c r="B1329" s="25"/>
      <c r="C1329" s="13" t="s">
        <v>2582</v>
      </c>
      <c r="D1329" s="40" t="s">
        <v>4396</v>
      </c>
      <c r="E1329" s="4">
        <v>36</v>
      </c>
      <c r="F1329" s="101" t="s">
        <v>6240</v>
      </c>
      <c r="G1329" s="57"/>
      <c r="H1329" s="4" t="s">
        <v>6805</v>
      </c>
      <c r="I1329" s="4"/>
      <c r="J1329" s="4"/>
      <c r="K1329" s="54"/>
      <c r="L1329" s="57"/>
      <c r="M1329" s="57"/>
      <c r="N1329" s="4" t="s">
        <v>4458</v>
      </c>
      <c r="O1329" s="4">
        <v>1651303116</v>
      </c>
      <c r="P1329" s="4">
        <v>1651303116</v>
      </c>
      <c r="Q1329" s="767"/>
      <c r="R1329" s="767"/>
      <c r="S1329" s="4"/>
      <c r="T1329" s="4"/>
      <c r="U1329" s="4"/>
      <c r="V1329" s="4"/>
      <c r="W1329" s="4"/>
      <c r="X1329" s="4" t="s">
        <v>4396</v>
      </c>
      <c r="Y1329" s="4"/>
      <c r="Z1329" s="35"/>
      <c r="AA1329" s="1" t="str">
        <f>IFERROR(VLOOKUP(D:D,[1]Габариты!$A:$I,9,0),"")</f>
        <v>Вакансия</v>
      </c>
      <c r="AB1329" s="6" t="str">
        <f>IFERROR(VLOOKUP(D:D,[1]Габариты!$A:$D,4,0),"")</f>
        <v>СТОЛЫ</v>
      </c>
      <c r="AC1329" s="39" t="str">
        <f t="shared" si="195"/>
        <v>MK1970101</v>
      </c>
      <c r="AD1329" s="13" t="str">
        <f t="shared" si="196"/>
        <v>FBO</v>
      </c>
    </row>
    <row r="1330" spans="1:30" s="6" customFormat="1" ht="20.100000000000001" customHeight="1" outlineLevel="1" x14ac:dyDescent="0.25">
      <c r="A1330" s="635" t="s">
        <v>515</v>
      </c>
      <c r="B1330" s="25"/>
      <c r="C1330" s="13" t="s">
        <v>2582</v>
      </c>
      <c r="D1330" s="39">
        <v>3139</v>
      </c>
      <c r="E1330" s="4">
        <v>20</v>
      </c>
      <c r="F1330" s="101">
        <v>3139</v>
      </c>
      <c r="G1330" s="57" t="s">
        <v>5020</v>
      </c>
      <c r="H1330" s="4" t="s">
        <v>6774</v>
      </c>
      <c r="I1330" s="4"/>
      <c r="J1330" s="4" t="s">
        <v>3147</v>
      </c>
      <c r="K1330" s="54" t="s">
        <v>2409</v>
      </c>
      <c r="L1330" s="57">
        <v>440879262</v>
      </c>
      <c r="M1330" s="57">
        <v>440879262</v>
      </c>
      <c r="N1330" s="4" t="s">
        <v>926</v>
      </c>
      <c r="O1330" s="4">
        <v>649923057</v>
      </c>
      <c r="P1330" s="4">
        <v>649923056</v>
      </c>
      <c r="Q1330" s="767" t="s">
        <v>3119</v>
      </c>
      <c r="R1330" s="767">
        <v>966087164</v>
      </c>
      <c r="S1330" s="4">
        <v>966087163</v>
      </c>
      <c r="T1330" s="4"/>
      <c r="U1330" s="4"/>
      <c r="V1330" s="4"/>
      <c r="W1330" s="4" t="s">
        <v>2409</v>
      </c>
      <c r="X1330" s="4" t="s">
        <v>926</v>
      </c>
      <c r="Y1330" s="4">
        <v>3139</v>
      </c>
      <c r="Z1330" s="35"/>
      <c r="AA1330" s="1" t="str">
        <f>IFERROR(VLOOKUP(D:D,[1]Габариты!$A:$I,9,0),"")</f>
        <v>Вакансия</v>
      </c>
      <c r="AB1330" s="6" t="str">
        <f>IFERROR(VLOOKUP(D:D,[1]Габариты!$A:$D,4,0),"")</f>
        <v>СТОЛЫ</v>
      </c>
      <c r="AC1330" s="39">
        <f t="shared" si="195"/>
        <v>3139</v>
      </c>
      <c r="AD1330" s="13" t="str">
        <f t="shared" si="196"/>
        <v>FBO</v>
      </c>
    </row>
    <row r="1331" spans="1:30" s="6" customFormat="1" ht="20.100000000000001" customHeight="1" outlineLevel="1" x14ac:dyDescent="0.25">
      <c r="A1331" s="635" t="s">
        <v>153</v>
      </c>
      <c r="B1331" s="16"/>
      <c r="C1331" s="13" t="s">
        <v>4050</v>
      </c>
      <c r="D1331" s="39">
        <v>2650</v>
      </c>
      <c r="E1331" s="4">
        <v>14</v>
      </c>
      <c r="F1331" s="101">
        <v>2650</v>
      </c>
      <c r="G1331" s="57"/>
      <c r="H1331" s="4" t="s">
        <v>6757</v>
      </c>
      <c r="I1331" s="4" t="s">
        <v>1271</v>
      </c>
      <c r="J1331" s="4"/>
      <c r="K1331" s="54" t="s">
        <v>2343</v>
      </c>
      <c r="L1331" s="57">
        <v>280125383</v>
      </c>
      <c r="M1331" s="57">
        <v>280125383</v>
      </c>
      <c r="N1331" s="4" t="s">
        <v>2629</v>
      </c>
      <c r="O1331" s="4">
        <v>267073947</v>
      </c>
      <c r="P1331" s="4">
        <v>267621515</v>
      </c>
      <c r="Q1331" s="767" t="s">
        <v>2847</v>
      </c>
      <c r="R1331" s="767">
        <v>347120856</v>
      </c>
      <c r="S1331" s="4">
        <v>347120888</v>
      </c>
      <c r="T1331" s="4"/>
      <c r="U1331" s="4"/>
      <c r="V1331" s="4"/>
      <c r="W1331" s="4" t="s">
        <v>2343</v>
      </c>
      <c r="X1331" s="4"/>
      <c r="Y1331" s="4" t="s">
        <v>4066</v>
      </c>
      <c r="Z1331" s="35"/>
      <c r="AA1331" s="1" t="str">
        <f>IFERROR(VLOOKUP(D:D,[1]Габариты!$A:$I,9,0),"")</f>
        <v>Вакансия</v>
      </c>
      <c r="AB1331" s="6" t="str">
        <f>IFERROR(VLOOKUP(D:D,[1]Габариты!$A:$D,4,0),"")</f>
        <v>СТОЛЫ</v>
      </c>
      <c r="AC1331" s="39">
        <f t="shared" ref="AC1331:AC1399" si="197">D1331</f>
        <v>2650</v>
      </c>
      <c r="AD1331" s="13" t="str">
        <f t="shared" ref="AD1331:AD1370" si="198">C1331</f>
        <v>СКГТ (ОЗОН)</v>
      </c>
    </row>
    <row r="1332" spans="1:30" s="6" customFormat="1" ht="20.100000000000001" customHeight="1" outlineLevel="1" x14ac:dyDescent="0.25">
      <c r="A1332" s="665" t="s">
        <v>266</v>
      </c>
      <c r="B1332" s="2"/>
      <c r="C1332" s="13" t="s">
        <v>4328</v>
      </c>
      <c r="D1332" s="39">
        <v>3027</v>
      </c>
      <c r="E1332" s="4">
        <v>13</v>
      </c>
      <c r="F1332" s="101">
        <v>3027</v>
      </c>
      <c r="G1332" s="57" t="s">
        <v>4963</v>
      </c>
      <c r="H1332" s="4" t="s">
        <v>6758</v>
      </c>
      <c r="I1332" s="4" t="s">
        <v>1292</v>
      </c>
      <c r="J1332" s="4" t="s">
        <v>1870</v>
      </c>
      <c r="K1332" s="54" t="s">
        <v>2360</v>
      </c>
      <c r="L1332" s="57">
        <v>278959245</v>
      </c>
      <c r="M1332" s="57">
        <v>278959245</v>
      </c>
      <c r="N1332" s="4" t="s">
        <v>746</v>
      </c>
      <c r="O1332" s="4">
        <v>279381530</v>
      </c>
      <c r="P1332" s="4">
        <v>279381534</v>
      </c>
      <c r="Q1332" s="767" t="s">
        <v>2862</v>
      </c>
      <c r="R1332" s="767">
        <v>323365095</v>
      </c>
      <c r="S1332" s="4">
        <v>323365132</v>
      </c>
      <c r="T1332" s="4" t="s">
        <v>3039</v>
      </c>
      <c r="U1332" s="4">
        <v>943051626</v>
      </c>
      <c r="V1332" s="4">
        <v>943051626</v>
      </c>
      <c r="W1332" s="4" t="s">
        <v>2360</v>
      </c>
      <c r="X1332" s="4" t="s">
        <v>746</v>
      </c>
      <c r="Y1332" s="4">
        <v>3027</v>
      </c>
      <c r="Z1332" s="35"/>
      <c r="AA1332" s="1" t="str">
        <f>IFERROR(VLOOKUP(D:D,[1]Габариты!$A:$I,9,0),"")</f>
        <v>Вакансия</v>
      </c>
      <c r="AB1332" s="6" t="str">
        <f>IFERROR(VLOOKUP(D:D,[1]Габариты!$A:$D,4,0),"")</f>
        <v>СТОЛЫ</v>
      </c>
      <c r="AC1332" s="39">
        <f t="shared" si="197"/>
        <v>3027</v>
      </c>
      <c r="AD1332" s="13" t="str">
        <f t="shared" si="198"/>
        <v>СКГТ</v>
      </c>
    </row>
    <row r="1333" spans="1:30" s="6" customFormat="1" ht="20.100000000000001" customHeight="1" outlineLevel="1" x14ac:dyDescent="0.25">
      <c r="A1333" s="665" t="s">
        <v>267</v>
      </c>
      <c r="B1333" s="2"/>
      <c r="C1333" s="13" t="s">
        <v>4328</v>
      </c>
      <c r="D1333" s="39">
        <v>3028</v>
      </c>
      <c r="E1333" s="4">
        <v>13</v>
      </c>
      <c r="F1333" s="101">
        <v>3028</v>
      </c>
      <c r="G1333" s="57" t="s">
        <v>4964</v>
      </c>
      <c r="H1333" s="4" t="s">
        <v>6759</v>
      </c>
      <c r="I1333" s="4" t="s">
        <v>1293</v>
      </c>
      <c r="J1333" s="4" t="s">
        <v>1871</v>
      </c>
      <c r="K1333" s="54" t="s">
        <v>2361</v>
      </c>
      <c r="L1333" s="57">
        <v>276299822</v>
      </c>
      <c r="M1333" s="57">
        <v>276299822</v>
      </c>
      <c r="N1333" s="4" t="s">
        <v>747</v>
      </c>
      <c r="O1333" s="4">
        <v>276734456</v>
      </c>
      <c r="P1333" s="4">
        <v>276734465</v>
      </c>
      <c r="Q1333" s="767" t="s">
        <v>2863</v>
      </c>
      <c r="R1333" s="767">
        <v>323371406</v>
      </c>
      <c r="S1333" s="4">
        <v>323371419</v>
      </c>
      <c r="T1333" s="4" t="s">
        <v>3040</v>
      </c>
      <c r="U1333" s="4">
        <v>943068493</v>
      </c>
      <c r="V1333" s="4">
        <v>943068493</v>
      </c>
      <c r="W1333" s="4" t="s">
        <v>2361</v>
      </c>
      <c r="X1333" s="4" t="s">
        <v>747</v>
      </c>
      <c r="Y1333" s="4">
        <v>3028</v>
      </c>
      <c r="Z1333" s="35"/>
      <c r="AA1333" s="1" t="str">
        <f>IFERROR(VLOOKUP(D:D,[1]Габариты!$A:$I,9,0),"")</f>
        <v>Вакансия</v>
      </c>
      <c r="AB1333" s="6" t="str">
        <f>IFERROR(VLOOKUP(D:D,[1]Габариты!$A:$D,4,0),"")</f>
        <v>СТОЛЫ</v>
      </c>
      <c r="AC1333" s="39">
        <f t="shared" si="197"/>
        <v>3028</v>
      </c>
      <c r="AD1333" s="13" t="str">
        <f t="shared" si="198"/>
        <v>СКГТ</v>
      </c>
    </row>
    <row r="1334" spans="1:30" s="6" customFormat="1" ht="20.100000000000001" customHeight="1" outlineLevel="1" x14ac:dyDescent="0.25">
      <c r="A1334" s="665" t="s">
        <v>268</v>
      </c>
      <c r="B1334" s="2"/>
      <c r="C1334" s="13" t="s">
        <v>4328</v>
      </c>
      <c r="D1334" s="39">
        <v>3029</v>
      </c>
      <c r="E1334" s="4">
        <v>13</v>
      </c>
      <c r="F1334" s="101">
        <v>3029</v>
      </c>
      <c r="G1334" s="57" t="s">
        <v>4965</v>
      </c>
      <c r="H1334" s="4" t="s">
        <v>6760</v>
      </c>
      <c r="I1334" s="4" t="s">
        <v>1294</v>
      </c>
      <c r="J1334" s="4" t="s">
        <v>1872</v>
      </c>
      <c r="K1334" s="54" t="s">
        <v>2362</v>
      </c>
      <c r="L1334" s="57">
        <v>276345910</v>
      </c>
      <c r="M1334" s="57">
        <v>276345910</v>
      </c>
      <c r="N1334" s="4" t="s">
        <v>748</v>
      </c>
      <c r="O1334" s="4">
        <v>276357100</v>
      </c>
      <c r="P1334" s="4">
        <v>276357108</v>
      </c>
      <c r="Q1334" s="767" t="s">
        <v>2864</v>
      </c>
      <c r="R1334" s="767">
        <v>323322887</v>
      </c>
      <c r="S1334" s="4">
        <v>323322933</v>
      </c>
      <c r="T1334" s="4" t="s">
        <v>3041</v>
      </c>
      <c r="U1334" s="4">
        <v>943145725</v>
      </c>
      <c r="V1334" s="4">
        <v>943145725</v>
      </c>
      <c r="W1334" s="4" t="s">
        <v>2362</v>
      </c>
      <c r="X1334" s="4" t="s">
        <v>748</v>
      </c>
      <c r="Y1334" s="4">
        <v>3029</v>
      </c>
      <c r="Z1334" s="35"/>
      <c r="AA1334" s="1" t="str">
        <f>IFERROR(VLOOKUP(D:D,[1]Габариты!$A:$I,9,0),"")</f>
        <v>Вакансия</v>
      </c>
      <c r="AB1334" s="6" t="str">
        <f>IFERROR(VLOOKUP(D:D,[1]Габариты!$A:$D,4,0),"")</f>
        <v>СТОЛЫ</v>
      </c>
      <c r="AC1334" s="39">
        <f t="shared" si="197"/>
        <v>3029</v>
      </c>
      <c r="AD1334" s="13" t="str">
        <f t="shared" si="198"/>
        <v>СКГТ</v>
      </c>
    </row>
    <row r="1335" spans="1:30" s="6" customFormat="1" ht="20.100000000000001" customHeight="1" outlineLevel="1" x14ac:dyDescent="0.25">
      <c r="A1335" s="635" t="s">
        <v>176</v>
      </c>
      <c r="B1335" s="3"/>
      <c r="C1335" s="13" t="s">
        <v>4050</v>
      </c>
      <c r="D1335" s="39">
        <v>2691</v>
      </c>
      <c r="E1335" s="4">
        <v>12</v>
      </c>
      <c r="F1335" s="101">
        <v>2691</v>
      </c>
      <c r="G1335" s="57"/>
      <c r="H1335" s="4" t="s">
        <v>6761</v>
      </c>
      <c r="I1335" s="4" t="s">
        <v>1309</v>
      </c>
      <c r="J1335" s="4"/>
      <c r="K1335" s="54" t="s">
        <v>2392</v>
      </c>
      <c r="L1335" s="57">
        <v>269527269</v>
      </c>
      <c r="M1335" s="57">
        <v>269527269</v>
      </c>
      <c r="N1335" s="4" t="s">
        <v>2633</v>
      </c>
      <c r="O1335" s="4">
        <v>281517515</v>
      </c>
      <c r="P1335" s="4">
        <v>281517526</v>
      </c>
      <c r="Q1335" s="767" t="s">
        <v>2891</v>
      </c>
      <c r="R1335" s="767">
        <v>357638861</v>
      </c>
      <c r="S1335" s="4">
        <v>357638864</v>
      </c>
      <c r="T1335" s="4"/>
      <c r="U1335" s="4"/>
      <c r="V1335" s="4"/>
      <c r="W1335" s="4" t="s">
        <v>2392</v>
      </c>
      <c r="X1335" s="4"/>
      <c r="Y1335" s="4">
        <v>2691</v>
      </c>
      <c r="Z1335" s="35"/>
      <c r="AA1335" s="1" t="str">
        <f>IFERROR(VLOOKUP(D:D,[1]Габариты!$A:$I,9,0),"")</f>
        <v>Вакансия</v>
      </c>
      <c r="AB1335" s="6" t="str">
        <f>IFERROR(VLOOKUP(D:D,[1]Габариты!$A:$D,4,0),"")</f>
        <v>СТОЛЫ</v>
      </c>
      <c r="AC1335" s="39">
        <f t="shared" si="197"/>
        <v>2691</v>
      </c>
      <c r="AD1335" s="13" t="str">
        <f t="shared" si="198"/>
        <v>СКГТ (ОЗОН)</v>
      </c>
    </row>
    <row r="1336" spans="1:30" s="6" customFormat="1" ht="20.100000000000001" customHeight="1" outlineLevel="1" x14ac:dyDescent="0.25">
      <c r="A1336" s="635" t="s">
        <v>177</v>
      </c>
      <c r="B1336" s="3"/>
      <c r="C1336" s="13" t="s">
        <v>4050</v>
      </c>
      <c r="D1336" s="39">
        <v>2692</v>
      </c>
      <c r="E1336" s="4">
        <v>12</v>
      </c>
      <c r="F1336" s="101">
        <v>2692</v>
      </c>
      <c r="G1336" s="57"/>
      <c r="H1336" s="4" t="s">
        <v>6762</v>
      </c>
      <c r="I1336" s="4"/>
      <c r="J1336" s="4"/>
      <c r="K1336" s="54" t="s">
        <v>2393</v>
      </c>
      <c r="L1336" s="57">
        <v>269500824</v>
      </c>
      <c r="M1336" s="57">
        <v>269500824</v>
      </c>
      <c r="N1336" s="4" t="s">
        <v>2634</v>
      </c>
      <c r="O1336" s="4">
        <v>280141613</v>
      </c>
      <c r="P1336" s="4">
        <v>280141635</v>
      </c>
      <c r="Q1336" s="767" t="s">
        <v>2892</v>
      </c>
      <c r="R1336" s="767">
        <v>356424129</v>
      </c>
      <c r="S1336" s="4">
        <v>356424130</v>
      </c>
      <c r="T1336" s="4"/>
      <c r="U1336" s="4"/>
      <c r="V1336" s="4"/>
      <c r="W1336" s="4" t="s">
        <v>2393</v>
      </c>
      <c r="X1336" s="4"/>
      <c r="Y1336" s="4">
        <v>2692</v>
      </c>
      <c r="Z1336" s="35"/>
      <c r="AA1336" s="1" t="str">
        <f>IFERROR(VLOOKUP(D:D,[1]Габариты!$A:$I,9,0),"")</f>
        <v>Вакансия</v>
      </c>
      <c r="AB1336" s="6" t="str">
        <f>IFERROR(VLOOKUP(D:D,[1]Габариты!$A:$D,4,0),"")</f>
        <v>СТОЛЫ</v>
      </c>
      <c r="AC1336" s="39">
        <f t="shared" si="197"/>
        <v>2692</v>
      </c>
      <c r="AD1336" s="13" t="str">
        <f t="shared" si="198"/>
        <v>СКГТ (ОЗОН)</v>
      </c>
    </row>
    <row r="1337" spans="1:30" s="6" customFormat="1" ht="20.100000000000001" customHeight="1" outlineLevel="1" x14ac:dyDescent="0.25">
      <c r="A1337" s="665" t="s">
        <v>291</v>
      </c>
      <c r="B1337" s="16"/>
      <c r="C1337" s="13" t="s">
        <v>2581</v>
      </c>
      <c r="D1337" s="40">
        <v>3064</v>
      </c>
      <c r="E1337" s="4">
        <v>20</v>
      </c>
      <c r="F1337" s="101">
        <v>3064</v>
      </c>
      <c r="G1337" s="57" t="s">
        <v>4986</v>
      </c>
      <c r="H1337" s="4" t="s">
        <v>6763</v>
      </c>
      <c r="I1337" s="4" t="s">
        <v>3193</v>
      </c>
      <c r="J1337" s="4" t="s">
        <v>1957</v>
      </c>
      <c r="K1337" s="54" t="s">
        <v>2346</v>
      </c>
      <c r="L1337" s="57"/>
      <c r="M1337" s="57"/>
      <c r="N1337" s="4" t="s">
        <v>907</v>
      </c>
      <c r="O1337" s="4">
        <v>306992026</v>
      </c>
      <c r="P1337" s="4">
        <v>306992044</v>
      </c>
      <c r="Q1337" s="767"/>
      <c r="R1337" s="767"/>
      <c r="S1337" s="4"/>
      <c r="T1337" s="4" t="s">
        <v>3034</v>
      </c>
      <c r="U1337" s="4">
        <v>942453913</v>
      </c>
      <c r="V1337" s="4">
        <v>942453913</v>
      </c>
      <c r="W1337" s="4" t="s">
        <v>2346</v>
      </c>
      <c r="X1337" s="4" t="s">
        <v>907</v>
      </c>
      <c r="Y1337" s="4" t="s">
        <v>4066</v>
      </c>
      <c r="Z1337" s="35"/>
      <c r="AA1337" s="1" t="str">
        <f>IFERROR(VLOOKUP(D:D,[1]Габариты!$A:$I,9,0),"")</f>
        <v>Вакансия</v>
      </c>
      <c r="AB1337" s="6" t="str">
        <f>IFERROR(VLOOKUP(D:D,[1]Габариты!$A:$D,4,0),"")</f>
        <v>СТОЛЫ</v>
      </c>
      <c r="AC1337" s="39">
        <f t="shared" si="197"/>
        <v>3064</v>
      </c>
      <c r="AD1337" s="13" t="str">
        <f t="shared" si="198"/>
        <v>FBS</v>
      </c>
    </row>
    <row r="1338" spans="1:30" s="6" customFormat="1" ht="20.100000000000001" customHeight="1" outlineLevel="1" x14ac:dyDescent="0.25">
      <c r="A1338" s="635" t="s">
        <v>301</v>
      </c>
      <c r="B1338" s="3"/>
      <c r="C1338" s="13" t="s">
        <v>2582</v>
      </c>
      <c r="D1338" s="40">
        <v>3137</v>
      </c>
      <c r="E1338" s="4">
        <v>20</v>
      </c>
      <c r="F1338" s="101">
        <v>3137</v>
      </c>
      <c r="G1338" s="57" t="s">
        <v>5018</v>
      </c>
      <c r="H1338" s="4" t="s">
        <v>6764</v>
      </c>
      <c r="I1338" s="4"/>
      <c r="J1338" s="4" t="s">
        <v>3145</v>
      </c>
      <c r="K1338" s="54" t="s">
        <v>2387</v>
      </c>
      <c r="L1338" s="57">
        <v>340868395</v>
      </c>
      <c r="M1338" s="57">
        <v>340868395</v>
      </c>
      <c r="N1338" s="4" t="s">
        <v>913</v>
      </c>
      <c r="O1338" s="4">
        <v>340816912</v>
      </c>
      <c r="P1338" s="4">
        <v>340816942</v>
      </c>
      <c r="Q1338" s="767" t="s">
        <v>3118</v>
      </c>
      <c r="R1338" s="767">
        <v>966060050</v>
      </c>
      <c r="S1338" s="4">
        <v>966060049</v>
      </c>
      <c r="T1338" s="4"/>
      <c r="U1338" s="4"/>
      <c r="V1338" s="4"/>
      <c r="W1338" s="4" t="s">
        <v>2387</v>
      </c>
      <c r="X1338" s="4" t="s">
        <v>913</v>
      </c>
      <c r="Y1338" s="4">
        <v>3137</v>
      </c>
      <c r="Z1338" s="35"/>
      <c r="AA1338" s="1" t="str">
        <f>IFERROR(VLOOKUP(D:D,[1]Габариты!$A:$I,9,0),"")</f>
        <v>Вакансия</v>
      </c>
      <c r="AB1338" s="6" t="str">
        <f>IFERROR(VLOOKUP(D:D,[1]Габариты!$A:$D,4,0),"")</f>
        <v>СТОЛЫ</v>
      </c>
      <c r="AC1338" s="39">
        <f t="shared" si="197"/>
        <v>3137</v>
      </c>
      <c r="AD1338" s="13" t="str">
        <f t="shared" si="198"/>
        <v>FBO</v>
      </c>
    </row>
    <row r="1339" spans="1:30" s="6" customFormat="1" ht="20.100000000000001" customHeight="1" outlineLevel="1" x14ac:dyDescent="0.25">
      <c r="A1339" s="665" t="s">
        <v>246</v>
      </c>
      <c r="B1339" s="2"/>
      <c r="C1339" s="13" t="s">
        <v>2582</v>
      </c>
      <c r="D1339" s="39">
        <v>3003</v>
      </c>
      <c r="E1339" s="4">
        <v>20</v>
      </c>
      <c r="F1339" s="101">
        <v>3003</v>
      </c>
      <c r="G1339" s="57" t="s">
        <v>4943</v>
      </c>
      <c r="H1339" s="4" t="s">
        <v>6765</v>
      </c>
      <c r="I1339" s="4" t="s">
        <v>1306</v>
      </c>
      <c r="J1339" s="4" t="s">
        <v>1960</v>
      </c>
      <c r="K1339" s="54" t="s">
        <v>2389</v>
      </c>
      <c r="L1339" s="57">
        <v>282824575</v>
      </c>
      <c r="M1339" s="57">
        <v>282824575</v>
      </c>
      <c r="N1339" s="4" t="s">
        <v>725</v>
      </c>
      <c r="O1339" s="4">
        <v>283047631</v>
      </c>
      <c r="P1339" s="4">
        <v>283047636</v>
      </c>
      <c r="Q1339" s="767" t="s">
        <v>2888</v>
      </c>
      <c r="R1339" s="767">
        <v>323380208</v>
      </c>
      <c r="S1339" s="4">
        <v>323380225</v>
      </c>
      <c r="T1339" s="4" t="s">
        <v>3044</v>
      </c>
      <c r="U1339" s="4">
        <v>942732405</v>
      </c>
      <c r="V1339" s="4">
        <v>942732405</v>
      </c>
      <c r="W1339" s="4" t="s">
        <v>2389</v>
      </c>
      <c r="X1339" s="4" t="s">
        <v>725</v>
      </c>
      <c r="Y1339" s="4">
        <v>3003</v>
      </c>
      <c r="Z1339" s="35"/>
      <c r="AA1339" s="1" t="str">
        <f>IFERROR(VLOOKUP(D:D,[1]Габариты!$A:$I,9,0),"")</f>
        <v>Вакансия</v>
      </c>
      <c r="AB1339" s="6" t="str">
        <f>IFERROR(VLOOKUP(D:D,[1]Габариты!$A:$D,4,0),"")</f>
        <v>СТОЛЫ</v>
      </c>
      <c r="AC1339" s="39">
        <f t="shared" si="197"/>
        <v>3003</v>
      </c>
      <c r="AD1339" s="13" t="str">
        <f t="shared" si="198"/>
        <v>FBO</v>
      </c>
    </row>
    <row r="1340" spans="1:30" s="6" customFormat="1" ht="20.100000000000001" customHeight="1" outlineLevel="1" x14ac:dyDescent="0.25">
      <c r="A1340" s="665" t="s">
        <v>247</v>
      </c>
      <c r="B1340" s="2"/>
      <c r="C1340" s="13" t="s">
        <v>2582</v>
      </c>
      <c r="D1340" s="39">
        <v>3004</v>
      </c>
      <c r="E1340" s="4">
        <v>17</v>
      </c>
      <c r="F1340" s="101">
        <v>3004</v>
      </c>
      <c r="G1340" s="57" t="s">
        <v>4944</v>
      </c>
      <c r="H1340" s="4" t="s">
        <v>6766</v>
      </c>
      <c r="I1340" s="4" t="s">
        <v>1307</v>
      </c>
      <c r="J1340" s="4" t="s">
        <v>1961</v>
      </c>
      <c r="K1340" s="54" t="s">
        <v>2390</v>
      </c>
      <c r="L1340" s="57">
        <v>283052582</v>
      </c>
      <c r="M1340" s="57">
        <v>283052582</v>
      </c>
      <c r="N1340" s="4" t="s">
        <v>726</v>
      </c>
      <c r="O1340" s="4">
        <v>283049241</v>
      </c>
      <c r="P1340" s="4">
        <v>283049252</v>
      </c>
      <c r="Q1340" s="767" t="s">
        <v>2889</v>
      </c>
      <c r="R1340" s="767">
        <v>323537913</v>
      </c>
      <c r="S1340" s="4">
        <v>323537934</v>
      </c>
      <c r="T1340" s="4" t="s">
        <v>3045</v>
      </c>
      <c r="U1340" s="4">
        <v>942866714</v>
      </c>
      <c r="V1340" s="4">
        <v>942866714</v>
      </c>
      <c r="W1340" s="4" t="s">
        <v>2390</v>
      </c>
      <c r="X1340" s="4" t="s">
        <v>726</v>
      </c>
      <c r="Y1340" s="4">
        <v>3004</v>
      </c>
      <c r="Z1340" s="35"/>
      <c r="AA1340" s="1" t="str">
        <f>IFERROR(VLOOKUP(D:D,[1]Габариты!$A:$I,9,0),"")</f>
        <v>Вакансия</v>
      </c>
      <c r="AB1340" s="6" t="str">
        <f>IFERROR(VLOOKUP(D:D,[1]Габариты!$A:$D,4,0),"")</f>
        <v>СТОЛЫ</v>
      </c>
      <c r="AC1340" s="39">
        <f t="shared" si="197"/>
        <v>3004</v>
      </c>
      <c r="AD1340" s="13" t="str">
        <f t="shared" si="198"/>
        <v>FBO</v>
      </c>
    </row>
    <row r="1341" spans="1:30" s="6" customFormat="1" ht="20.100000000000001" customHeight="1" outlineLevel="1" x14ac:dyDescent="0.25">
      <c r="A1341" s="665" t="s">
        <v>248</v>
      </c>
      <c r="B1341" s="2"/>
      <c r="C1341" s="13" t="s">
        <v>2582</v>
      </c>
      <c r="D1341" s="39">
        <v>3005</v>
      </c>
      <c r="E1341" s="4">
        <v>20</v>
      </c>
      <c r="F1341" s="101">
        <v>3005</v>
      </c>
      <c r="G1341" s="57" t="s">
        <v>4945</v>
      </c>
      <c r="H1341" s="4" t="s">
        <v>6767</v>
      </c>
      <c r="I1341" s="4" t="s">
        <v>1308</v>
      </c>
      <c r="J1341" s="4" t="s">
        <v>1962</v>
      </c>
      <c r="K1341" s="54" t="s">
        <v>2391</v>
      </c>
      <c r="L1341" s="57">
        <v>283056844</v>
      </c>
      <c r="M1341" s="57">
        <v>283056844</v>
      </c>
      <c r="N1341" s="4" t="s">
        <v>727</v>
      </c>
      <c r="O1341" s="4">
        <v>283049095</v>
      </c>
      <c r="P1341" s="4">
        <v>283049101</v>
      </c>
      <c r="Q1341" s="767" t="s">
        <v>2890</v>
      </c>
      <c r="R1341" s="767">
        <v>323496402</v>
      </c>
      <c r="S1341" s="4">
        <v>323496445</v>
      </c>
      <c r="T1341" s="4" t="s">
        <v>3046</v>
      </c>
      <c r="U1341" s="4">
        <v>942886739</v>
      </c>
      <c r="V1341" s="4">
        <v>942886739</v>
      </c>
      <c r="W1341" s="4" t="s">
        <v>2391</v>
      </c>
      <c r="X1341" s="4" t="s">
        <v>727</v>
      </c>
      <c r="Y1341" s="4">
        <v>3005</v>
      </c>
      <c r="Z1341" s="35"/>
      <c r="AA1341" s="1" t="str">
        <f>IFERROR(VLOOKUP(D:D,[1]Габариты!$A:$I,9,0),"")</f>
        <v>Вакансия</v>
      </c>
      <c r="AB1341" s="6" t="str">
        <f>IFERROR(VLOOKUP(D:D,[1]Габариты!$A:$D,4,0),"")</f>
        <v>СТОЛЫ</v>
      </c>
      <c r="AC1341" s="39">
        <f t="shared" si="197"/>
        <v>3005</v>
      </c>
      <c r="AD1341" s="13" t="str">
        <f t="shared" si="198"/>
        <v>FBO</v>
      </c>
    </row>
    <row r="1342" spans="1:30" s="6" customFormat="1" ht="20.100000000000001" customHeight="1" outlineLevel="1" x14ac:dyDescent="0.25">
      <c r="A1342" s="635" t="s">
        <v>473</v>
      </c>
      <c r="B1342" s="25"/>
      <c r="C1342" s="13" t="s">
        <v>2581</v>
      </c>
      <c r="D1342" s="40">
        <v>3065</v>
      </c>
      <c r="E1342" s="4">
        <v>20</v>
      </c>
      <c r="F1342" s="101">
        <v>3065</v>
      </c>
      <c r="G1342" s="57" t="s">
        <v>4987</v>
      </c>
      <c r="H1342" s="4" t="s">
        <v>6768</v>
      </c>
      <c r="I1342" s="4" t="s">
        <v>2084</v>
      </c>
      <c r="J1342" s="4" t="s">
        <v>1964</v>
      </c>
      <c r="K1342" s="54"/>
      <c r="L1342" s="57"/>
      <c r="M1342" s="57"/>
      <c r="N1342" s="4" t="s">
        <v>917</v>
      </c>
      <c r="O1342" s="4">
        <v>409443828</v>
      </c>
      <c r="P1342" s="4">
        <v>409443827</v>
      </c>
      <c r="Q1342" s="767"/>
      <c r="R1342" s="767"/>
      <c r="S1342" s="4"/>
      <c r="T1342" s="4" t="s">
        <v>3049</v>
      </c>
      <c r="U1342" s="4">
        <v>926457558</v>
      </c>
      <c r="V1342" s="4">
        <v>926457558</v>
      </c>
      <c r="W1342" s="4" t="s">
        <v>2399</v>
      </c>
      <c r="X1342" s="4" t="s">
        <v>917</v>
      </c>
      <c r="Y1342" s="4" t="s">
        <v>4066</v>
      </c>
      <c r="Z1342" s="35"/>
      <c r="AA1342" s="1" t="str">
        <f>IFERROR(VLOOKUP(D:D,[1]Габариты!$A:$I,9,0),"")</f>
        <v>Вакансия</v>
      </c>
      <c r="AB1342" s="6" t="str">
        <f>IFERROR(VLOOKUP(D:D,[1]Габариты!$A:$D,4,0),"")</f>
        <v>СТОЛЫ</v>
      </c>
      <c r="AC1342" s="39">
        <f t="shared" si="197"/>
        <v>3065</v>
      </c>
      <c r="AD1342" s="13" t="str">
        <f t="shared" si="198"/>
        <v>FBS</v>
      </c>
    </row>
    <row r="1343" spans="1:30" s="6" customFormat="1" ht="20.100000000000001" customHeight="1" outlineLevel="1" x14ac:dyDescent="0.25">
      <c r="A1343" s="635" t="s">
        <v>474</v>
      </c>
      <c r="B1343" s="25"/>
      <c r="C1343" s="13" t="s">
        <v>2581</v>
      </c>
      <c r="D1343" s="40">
        <v>3066</v>
      </c>
      <c r="E1343" s="4">
        <v>20</v>
      </c>
      <c r="F1343" s="101">
        <v>3066</v>
      </c>
      <c r="G1343" s="57" t="s">
        <v>4988</v>
      </c>
      <c r="H1343" s="4" t="s">
        <v>6769</v>
      </c>
      <c r="I1343" s="4" t="s">
        <v>2087</v>
      </c>
      <c r="J1343" s="4" t="s">
        <v>1965</v>
      </c>
      <c r="K1343" s="54"/>
      <c r="L1343" s="57"/>
      <c r="M1343" s="57"/>
      <c r="N1343" s="4" t="s">
        <v>2636</v>
      </c>
      <c r="O1343" s="4">
        <v>409773558</v>
      </c>
      <c r="P1343" s="4">
        <v>409773550</v>
      </c>
      <c r="Q1343" s="767"/>
      <c r="R1343" s="767"/>
      <c r="S1343" s="4"/>
      <c r="T1343" s="4" t="s">
        <v>3050</v>
      </c>
      <c r="U1343" s="4">
        <v>942447685</v>
      </c>
      <c r="V1343" s="4">
        <v>942447685</v>
      </c>
      <c r="W1343" s="4" t="s">
        <v>2400</v>
      </c>
      <c r="X1343" s="4" t="s">
        <v>2636</v>
      </c>
      <c r="Y1343" s="4" t="s">
        <v>4066</v>
      </c>
      <c r="Z1343" s="35"/>
      <c r="AA1343" s="1" t="str">
        <f>IFERROR(VLOOKUP(D:D,[1]Габариты!$A:$I,9,0),"")</f>
        <v>Вакансия</v>
      </c>
      <c r="AB1343" s="6" t="str">
        <f>IFERROR(VLOOKUP(D:D,[1]Габариты!$A:$D,4,0),"")</f>
        <v>СТОЛЫ</v>
      </c>
      <c r="AC1343" s="39">
        <f t="shared" si="197"/>
        <v>3066</v>
      </c>
      <c r="AD1343" s="13" t="str">
        <f t="shared" si="198"/>
        <v>FBS</v>
      </c>
    </row>
    <row r="1344" spans="1:30" s="6" customFormat="1" ht="20.100000000000001" customHeight="1" outlineLevel="1" x14ac:dyDescent="0.25">
      <c r="A1344" s="665" t="s">
        <v>292</v>
      </c>
      <c r="B1344" s="16"/>
      <c r="C1344" s="13" t="s">
        <v>3172</v>
      </c>
      <c r="D1344" s="40">
        <v>3067</v>
      </c>
      <c r="E1344" s="4">
        <v>18</v>
      </c>
      <c r="F1344" s="101">
        <v>3067</v>
      </c>
      <c r="G1344" s="57" t="s">
        <v>4989</v>
      </c>
      <c r="H1344" s="4" t="s">
        <v>6770</v>
      </c>
      <c r="I1344" s="4"/>
      <c r="J1344" s="4"/>
      <c r="K1344" s="54"/>
      <c r="L1344" s="57"/>
      <c r="M1344" s="57"/>
      <c r="N1344" s="4" t="s">
        <v>906</v>
      </c>
      <c r="O1344" s="4">
        <v>296642325</v>
      </c>
      <c r="P1344" s="4">
        <v>296642328</v>
      </c>
      <c r="Q1344" s="767"/>
      <c r="R1344" s="767"/>
      <c r="S1344" s="4"/>
      <c r="T1344" s="4"/>
      <c r="U1344" s="4"/>
      <c r="V1344" s="4"/>
      <c r="W1344" s="4" t="s">
        <v>2338</v>
      </c>
      <c r="X1344" s="4" t="s">
        <v>906</v>
      </c>
      <c r="Y1344" s="4" t="s">
        <v>4066</v>
      </c>
      <c r="Z1344" s="35"/>
      <c r="AA1344" s="1" t="str">
        <f>IFERROR(VLOOKUP(D:D,[1]Габариты!$A:$I,9,0),"")</f>
        <v>Вакансия</v>
      </c>
      <c r="AB1344" s="6" t="str">
        <f>IFERROR(VLOOKUP(D:D,[1]Габариты!$A:$D,4,0),"")</f>
        <v>СТОЛЫ</v>
      </c>
      <c r="AC1344" s="39">
        <f t="shared" si="197"/>
        <v>3067</v>
      </c>
      <c r="AD1344" s="13" t="str">
        <f t="shared" si="198"/>
        <v xml:space="preserve">СКГТ </v>
      </c>
    </row>
    <row r="1345" spans="1:30" s="6" customFormat="1" ht="20.100000000000001" customHeight="1" outlineLevel="1" x14ac:dyDescent="0.25">
      <c r="A1345" s="746" t="s">
        <v>482</v>
      </c>
      <c r="B1345" s="27"/>
      <c r="C1345" s="13" t="s">
        <v>3172</v>
      </c>
      <c r="D1345" s="881">
        <v>3068</v>
      </c>
      <c r="E1345" s="4">
        <v>18</v>
      </c>
      <c r="F1345" s="101">
        <v>3068</v>
      </c>
      <c r="G1345" s="57" t="s">
        <v>4990</v>
      </c>
      <c r="H1345" s="4" t="s">
        <v>6771</v>
      </c>
      <c r="I1345" s="4"/>
      <c r="J1345" s="4"/>
      <c r="K1345" s="54"/>
      <c r="L1345" s="57"/>
      <c r="M1345" s="57"/>
      <c r="N1345" s="4" t="s">
        <v>918</v>
      </c>
      <c r="O1345" s="4">
        <v>421536599</v>
      </c>
      <c r="P1345" s="4">
        <v>421536600</v>
      </c>
      <c r="Q1345" s="767"/>
      <c r="R1345" s="767"/>
      <c r="S1345" s="4"/>
      <c r="T1345" s="4"/>
      <c r="U1345" s="4"/>
      <c r="V1345" s="4"/>
      <c r="W1345" s="4" t="s">
        <v>2401</v>
      </c>
      <c r="X1345" s="4" t="s">
        <v>918</v>
      </c>
      <c r="Y1345" s="4" t="s">
        <v>4066</v>
      </c>
      <c r="Z1345" s="35"/>
      <c r="AA1345" s="1" t="str">
        <f>IFERROR(VLOOKUP(D:D,[1]Габариты!$A:$I,9,0),"")</f>
        <v>Вакансия</v>
      </c>
      <c r="AB1345" s="6" t="str">
        <f>IFERROR(VLOOKUP(D:D,[1]Габариты!$A:$D,4,0),"")</f>
        <v>СТОЛЫ</v>
      </c>
      <c r="AC1345" s="39">
        <f t="shared" si="197"/>
        <v>3068</v>
      </c>
      <c r="AD1345" s="13" t="str">
        <f t="shared" si="198"/>
        <v xml:space="preserve">СКГТ </v>
      </c>
    </row>
    <row r="1346" spans="1:30" s="6" customFormat="1" ht="20.100000000000001" customHeight="1" outlineLevel="1" x14ac:dyDescent="0.25">
      <c r="A1346" s="746" t="s">
        <v>483</v>
      </c>
      <c r="B1346" s="27"/>
      <c r="C1346" s="13" t="s">
        <v>3172</v>
      </c>
      <c r="D1346" s="881">
        <v>3069</v>
      </c>
      <c r="E1346" s="4">
        <v>18</v>
      </c>
      <c r="F1346" s="101">
        <v>3069</v>
      </c>
      <c r="G1346" s="57" t="s">
        <v>4991</v>
      </c>
      <c r="H1346" s="4" t="s">
        <v>6772</v>
      </c>
      <c r="I1346" s="4"/>
      <c r="J1346" s="4"/>
      <c r="K1346" s="54"/>
      <c r="L1346" s="57"/>
      <c r="M1346" s="57"/>
      <c r="N1346" s="4" t="s">
        <v>919</v>
      </c>
      <c r="O1346" s="4">
        <v>409870651</v>
      </c>
      <c r="P1346" s="4">
        <v>409870650</v>
      </c>
      <c r="Q1346" s="767"/>
      <c r="R1346" s="767"/>
      <c r="S1346" s="4"/>
      <c r="T1346" s="4"/>
      <c r="U1346" s="4"/>
      <c r="V1346" s="4"/>
      <c r="W1346" s="4" t="s">
        <v>2402</v>
      </c>
      <c r="X1346" s="4" t="s">
        <v>919</v>
      </c>
      <c r="Y1346" s="4" t="s">
        <v>4066</v>
      </c>
      <c r="Z1346" s="35"/>
      <c r="AA1346" s="1" t="str">
        <f>IFERROR(VLOOKUP(D:D,[1]Габариты!$A:$I,9,0),"")</f>
        <v>Вакансия</v>
      </c>
      <c r="AB1346" s="6" t="str">
        <f>IFERROR(VLOOKUP(D:D,[1]Габариты!$A:$D,4,0),"")</f>
        <v>СТОЛЫ</v>
      </c>
      <c r="AC1346" s="39">
        <f t="shared" si="197"/>
        <v>3069</v>
      </c>
      <c r="AD1346" s="13" t="str">
        <f t="shared" si="198"/>
        <v xml:space="preserve">СКГТ </v>
      </c>
    </row>
    <row r="1347" spans="1:30" s="6" customFormat="1" ht="20.100000000000001" customHeight="1" outlineLevel="1" x14ac:dyDescent="0.25">
      <c r="A1347" s="635" t="s">
        <v>514</v>
      </c>
      <c r="B1347" s="25"/>
      <c r="C1347" s="13" t="s">
        <v>2581</v>
      </c>
      <c r="D1347" s="39">
        <v>3138</v>
      </c>
      <c r="E1347" s="4">
        <v>20</v>
      </c>
      <c r="F1347" s="101">
        <v>3138</v>
      </c>
      <c r="G1347" s="57" t="s">
        <v>5019</v>
      </c>
      <c r="H1347" s="4" t="s">
        <v>6773</v>
      </c>
      <c r="I1347" s="4"/>
      <c r="J1347" s="4" t="s">
        <v>3146</v>
      </c>
      <c r="K1347" s="54"/>
      <c r="L1347" s="57"/>
      <c r="M1347" s="57"/>
      <c r="N1347" s="4" t="s">
        <v>925</v>
      </c>
      <c r="O1347" s="4">
        <v>649923629</v>
      </c>
      <c r="P1347" s="4">
        <v>649923630</v>
      </c>
      <c r="Q1347" s="767"/>
      <c r="R1347" s="767"/>
      <c r="S1347" s="4"/>
      <c r="T1347" s="4"/>
      <c r="U1347" s="4"/>
      <c r="V1347" s="4"/>
      <c r="W1347" s="4" t="s">
        <v>2408</v>
      </c>
      <c r="X1347" s="4" t="s">
        <v>925</v>
      </c>
      <c r="Y1347" s="4">
        <v>3138</v>
      </c>
      <c r="Z1347" s="35"/>
      <c r="AA1347" s="1" t="str">
        <f>IFERROR(VLOOKUP(D:D,[1]Габариты!$A:$I,9,0),"")</f>
        <v>Вакансия</v>
      </c>
      <c r="AB1347" s="6" t="str">
        <f>IFERROR(VLOOKUP(D:D,[1]Габариты!$A:$D,4,0),"")</f>
        <v>СТОЛЫ</v>
      </c>
      <c r="AC1347" s="39">
        <f t="shared" si="197"/>
        <v>3138</v>
      </c>
      <c r="AD1347" s="13" t="str">
        <f t="shared" si="198"/>
        <v>FBS</v>
      </c>
    </row>
    <row r="1348" spans="1:30" s="6" customFormat="1" ht="20.100000000000001" customHeight="1" outlineLevel="1" x14ac:dyDescent="0.25">
      <c r="A1348" s="635" t="s">
        <v>991</v>
      </c>
      <c r="B1348" s="25"/>
      <c r="C1348" s="13" t="s">
        <v>2581</v>
      </c>
      <c r="D1348" s="40">
        <v>3448</v>
      </c>
      <c r="E1348" s="4">
        <v>16</v>
      </c>
      <c r="F1348" s="101">
        <v>3448</v>
      </c>
      <c r="G1348" s="57"/>
      <c r="H1348" s="4" t="s">
        <v>6775</v>
      </c>
      <c r="I1348" s="4"/>
      <c r="J1348" s="4" t="s">
        <v>1967</v>
      </c>
      <c r="K1348" s="54"/>
      <c r="L1348" s="57"/>
      <c r="M1348" s="57"/>
      <c r="N1348" s="4" t="s">
        <v>1012</v>
      </c>
      <c r="O1348" s="818">
        <v>595681168</v>
      </c>
      <c r="P1348" s="818">
        <v>595681167</v>
      </c>
      <c r="Q1348" s="767"/>
      <c r="R1348" s="767"/>
      <c r="S1348" s="4"/>
      <c r="T1348" s="4"/>
      <c r="U1348" s="4"/>
      <c r="V1348" s="4"/>
      <c r="W1348" s="4" t="s">
        <v>2424</v>
      </c>
      <c r="X1348" s="4" t="s">
        <v>1012</v>
      </c>
      <c r="Y1348" s="4">
        <v>3448</v>
      </c>
      <c r="Z1348" s="35"/>
      <c r="AA1348" s="1" t="str">
        <f>IFERROR(VLOOKUP(D:D,[1]Габариты!$A:$I,9,0),"")</f>
        <v>Вакансия</v>
      </c>
      <c r="AB1348" s="6" t="str">
        <f>IFERROR(VLOOKUP(D:D,[1]Габариты!$A:$D,4,0),"")</f>
        <v>СТОЛЫ</v>
      </c>
      <c r="AC1348" s="39">
        <f t="shared" si="197"/>
        <v>3448</v>
      </c>
      <c r="AD1348" s="13" t="str">
        <f t="shared" si="198"/>
        <v>FBS</v>
      </c>
    </row>
    <row r="1349" spans="1:30" s="6" customFormat="1" ht="20.100000000000001" customHeight="1" outlineLevel="1" x14ac:dyDescent="0.25">
      <c r="A1349" s="635" t="s">
        <v>992</v>
      </c>
      <c r="B1349" s="3"/>
      <c r="C1349" s="13" t="s">
        <v>2581</v>
      </c>
      <c r="D1349" s="39">
        <v>3311</v>
      </c>
      <c r="E1349" s="4">
        <v>16</v>
      </c>
      <c r="F1349" s="101">
        <v>3311</v>
      </c>
      <c r="G1349" s="57"/>
      <c r="H1349" s="4" t="s">
        <v>6776</v>
      </c>
      <c r="I1349" s="4"/>
      <c r="J1349" s="4"/>
      <c r="K1349" s="54"/>
      <c r="L1349" s="57"/>
      <c r="M1349" s="57"/>
      <c r="N1349" s="4" t="s">
        <v>1011</v>
      </c>
      <c r="O1349" s="4">
        <v>595678524</v>
      </c>
      <c r="P1349" s="4">
        <v>595678525</v>
      </c>
      <c r="Q1349" s="767"/>
      <c r="R1349" s="767"/>
      <c r="S1349" s="4"/>
      <c r="T1349" s="4"/>
      <c r="U1349" s="4"/>
      <c r="V1349" s="4"/>
      <c r="W1349" s="4" t="s">
        <v>2426</v>
      </c>
      <c r="X1349" s="4" t="s">
        <v>1011</v>
      </c>
      <c r="Y1349" s="4" t="s">
        <v>4066</v>
      </c>
      <c r="Z1349" s="35"/>
      <c r="AA1349" s="1" t="str">
        <f>IFERROR(VLOOKUP(D:D,[1]Габариты!$A:$I,9,0),"")</f>
        <v>Вакансия</v>
      </c>
      <c r="AB1349" s="6" t="str">
        <f>IFERROR(VLOOKUP(D:D,[1]Габариты!$A:$D,4,0),"")</f>
        <v>СТОЛЫ</v>
      </c>
      <c r="AC1349" s="39">
        <f t="shared" si="197"/>
        <v>3311</v>
      </c>
      <c r="AD1349" s="13" t="str">
        <f t="shared" si="198"/>
        <v>FBS</v>
      </c>
    </row>
    <row r="1350" spans="1:30" s="6" customFormat="1" ht="20.100000000000001" customHeight="1" outlineLevel="1" x14ac:dyDescent="0.25">
      <c r="A1350" s="635" t="s">
        <v>3173</v>
      </c>
      <c r="B1350" s="24"/>
      <c r="C1350" s="13" t="s">
        <v>2581</v>
      </c>
      <c r="D1350" s="40">
        <v>14030</v>
      </c>
      <c r="E1350" s="4">
        <v>24</v>
      </c>
      <c r="F1350" s="101">
        <v>14030</v>
      </c>
      <c r="G1350" s="57"/>
      <c r="H1350" s="4" t="s">
        <v>6779</v>
      </c>
      <c r="I1350" s="4"/>
      <c r="J1350" s="4" t="s">
        <v>3260</v>
      </c>
      <c r="K1350" s="54"/>
      <c r="L1350" s="57"/>
      <c r="M1350" s="57"/>
      <c r="N1350" s="4" t="s">
        <v>3229</v>
      </c>
      <c r="O1350" s="4">
        <v>998647229</v>
      </c>
      <c r="P1350" s="4">
        <v>998647228</v>
      </c>
      <c r="Q1350" s="767"/>
      <c r="R1350" s="767"/>
      <c r="S1350" s="4"/>
      <c r="T1350" s="4" t="s">
        <v>3230</v>
      </c>
      <c r="U1350" s="4">
        <v>998759704</v>
      </c>
      <c r="V1350" s="4">
        <v>998759704</v>
      </c>
      <c r="W1350" s="4"/>
      <c r="X1350" s="4" t="s">
        <v>3229</v>
      </c>
      <c r="Y1350" s="4">
        <v>14030</v>
      </c>
      <c r="Z1350" s="35"/>
      <c r="AA1350" s="1" t="str">
        <f>IFERROR(VLOOKUP(D:D,[1]Габариты!$A:$I,9,0),"")</f>
        <v>Вакансия</v>
      </c>
      <c r="AB1350" s="6" t="str">
        <f>IFERROR(VLOOKUP(D:D,[1]Габариты!$A:$D,4,0),"")</f>
        <v>СТОЛЫ</v>
      </c>
      <c r="AC1350" s="39">
        <f t="shared" si="197"/>
        <v>14030</v>
      </c>
      <c r="AD1350" s="13" t="str">
        <f t="shared" si="198"/>
        <v>FBS</v>
      </c>
    </row>
    <row r="1351" spans="1:30" s="6" customFormat="1" ht="20.100000000000001" customHeight="1" outlineLevel="1" x14ac:dyDescent="0.25">
      <c r="A1351" s="633" t="s">
        <v>3828</v>
      </c>
      <c r="B1351" s="24"/>
      <c r="C1351" s="13" t="s">
        <v>2581</v>
      </c>
      <c r="D1351" s="40">
        <v>14031</v>
      </c>
      <c r="E1351" s="4">
        <v>24</v>
      </c>
      <c r="F1351" s="101">
        <v>14031</v>
      </c>
      <c r="G1351" s="57"/>
      <c r="H1351" s="4" t="s">
        <v>6781</v>
      </c>
      <c r="I1351" s="4"/>
      <c r="J1351" s="4"/>
      <c r="K1351" s="54"/>
      <c r="L1351" s="57"/>
      <c r="M1351" s="57"/>
      <c r="N1351" s="37" t="s">
        <v>3836</v>
      </c>
      <c r="O1351" s="4">
        <v>1348535283</v>
      </c>
      <c r="P1351" s="4">
        <v>1348535283</v>
      </c>
      <c r="Q1351" s="767"/>
      <c r="R1351" s="767"/>
      <c r="S1351" s="4"/>
      <c r="T1351" s="4"/>
      <c r="U1351" s="4"/>
      <c r="V1351" s="4"/>
      <c r="W1351" s="4"/>
      <c r="X1351" s="4"/>
      <c r="Y1351" s="4" t="s">
        <v>4066</v>
      </c>
      <c r="Z1351" s="35"/>
      <c r="AA1351" s="1" t="str">
        <f>IFERROR(VLOOKUP(D:D,[1]Габариты!$A:$I,9,0),"")</f>
        <v>Вакансия</v>
      </c>
      <c r="AB1351" s="6" t="str">
        <f>IFERROR(VLOOKUP(D:D,[1]Габариты!$A:$D,4,0),"")</f>
        <v>СТОЛЫ</v>
      </c>
      <c r="AC1351" s="39">
        <f t="shared" si="197"/>
        <v>14031</v>
      </c>
      <c r="AD1351" s="13" t="str">
        <f t="shared" si="198"/>
        <v>FBS</v>
      </c>
    </row>
    <row r="1352" spans="1:30" s="6" customFormat="1" ht="20.100000000000001" customHeight="1" outlineLevel="1" x14ac:dyDescent="0.25">
      <c r="A1352" s="635" t="s">
        <v>3916</v>
      </c>
      <c r="B1352" s="3"/>
      <c r="C1352" s="13" t="s">
        <v>2582</v>
      </c>
      <c r="D1352" s="40">
        <v>3790</v>
      </c>
      <c r="E1352" s="4">
        <v>22</v>
      </c>
      <c r="F1352" s="101">
        <v>3790</v>
      </c>
      <c r="G1352" s="57"/>
      <c r="H1352" s="4" t="s">
        <v>6788</v>
      </c>
      <c r="I1352" s="4"/>
      <c r="J1352" s="4"/>
      <c r="K1352" s="54"/>
      <c r="L1352" s="57"/>
      <c r="M1352" s="57"/>
      <c r="N1352" s="4" t="s">
        <v>4026</v>
      </c>
      <c r="O1352" s="4">
        <v>1483048245</v>
      </c>
      <c r="P1352" s="4">
        <v>1483048245</v>
      </c>
      <c r="Q1352" s="4"/>
      <c r="R1352" s="4"/>
      <c r="S1352" s="4"/>
      <c r="T1352" s="4" t="s">
        <v>4762</v>
      </c>
      <c r="U1352" s="4"/>
      <c r="V1352" s="4"/>
      <c r="W1352" s="4"/>
      <c r="X1352" s="4" t="s">
        <v>4026</v>
      </c>
      <c r="Y1352" s="4" t="s">
        <v>4066</v>
      </c>
      <c r="AA1352" s="1" t="str">
        <f>IFERROR(VLOOKUP(D:D,[1]Габариты!$A:$I,9,0),"")</f>
        <v>Вакансия</v>
      </c>
      <c r="AB1352" s="6" t="str">
        <f>IFERROR(VLOOKUP(D:D,[1]Габариты!$A:$D,4,0),"")</f>
        <v>СТОЛЫ</v>
      </c>
      <c r="AC1352" s="39">
        <f t="shared" si="197"/>
        <v>3790</v>
      </c>
      <c r="AD1352" s="13" t="str">
        <f t="shared" si="198"/>
        <v>FBO</v>
      </c>
    </row>
    <row r="1353" spans="1:30" s="6" customFormat="1" ht="20.100000000000001" customHeight="1" outlineLevel="1" x14ac:dyDescent="0.25">
      <c r="A1353" s="665" t="s">
        <v>218</v>
      </c>
      <c r="B1353" s="16"/>
      <c r="C1353" s="13" t="s">
        <v>2581</v>
      </c>
      <c r="D1353" s="39">
        <v>2958</v>
      </c>
      <c r="E1353" s="4">
        <v>17</v>
      </c>
      <c r="F1353" s="101">
        <v>2958</v>
      </c>
      <c r="G1353" s="57" t="s">
        <v>4914</v>
      </c>
      <c r="H1353" s="4" t="s">
        <v>6789</v>
      </c>
      <c r="I1353" s="4" t="s">
        <v>1263</v>
      </c>
      <c r="J1353" s="4" t="s">
        <v>1863</v>
      </c>
      <c r="K1353" s="54" t="s">
        <v>2331</v>
      </c>
      <c r="L1353" s="57">
        <v>284257034</v>
      </c>
      <c r="M1353" s="57">
        <v>284257034</v>
      </c>
      <c r="N1353" s="4" t="s">
        <v>697</v>
      </c>
      <c r="O1353" s="4">
        <v>284253725</v>
      </c>
      <c r="P1353" s="4">
        <v>284253746</v>
      </c>
      <c r="Q1353" s="767" t="s">
        <v>2837</v>
      </c>
      <c r="R1353" s="767">
        <v>322810399</v>
      </c>
      <c r="S1353" s="4">
        <v>322810403</v>
      </c>
      <c r="T1353" s="4" t="s">
        <v>4764</v>
      </c>
      <c r="U1353" s="4">
        <v>889196064</v>
      </c>
      <c r="V1353" s="4">
        <v>889196064</v>
      </c>
      <c r="W1353" s="4" t="s">
        <v>2331</v>
      </c>
      <c r="X1353" s="4" t="s">
        <v>697</v>
      </c>
      <c r="Y1353" s="4">
        <v>2958</v>
      </c>
      <c r="Z1353" s="35"/>
      <c r="AA1353" s="1" t="str">
        <f>IFERROR(VLOOKUP(D:D,[1]Габариты!$A:$I,9,0),"")</f>
        <v>Вакансия</v>
      </c>
      <c r="AB1353" s="6" t="str">
        <f>IFERROR(VLOOKUP(D:D,[1]Габариты!$A:$D,4,0),"")</f>
        <v>СТОЛЫ</v>
      </c>
      <c r="AC1353" s="39">
        <f t="shared" si="197"/>
        <v>2958</v>
      </c>
      <c r="AD1353" s="13" t="str">
        <f t="shared" si="198"/>
        <v>FBS</v>
      </c>
    </row>
    <row r="1354" spans="1:30" s="6" customFormat="1" ht="20.100000000000001" customHeight="1" outlineLevel="1" x14ac:dyDescent="0.25">
      <c r="A1354" s="665" t="s">
        <v>220</v>
      </c>
      <c r="B1354" s="16"/>
      <c r="C1354" s="13" t="s">
        <v>2581</v>
      </c>
      <c r="D1354" s="39">
        <v>2960</v>
      </c>
      <c r="E1354" s="4">
        <v>17</v>
      </c>
      <c r="F1354" s="101">
        <v>2960</v>
      </c>
      <c r="G1354" s="57" t="s">
        <v>4916</v>
      </c>
      <c r="H1354" s="4" t="s">
        <v>6791</v>
      </c>
      <c r="I1354" s="4" t="s">
        <v>1265</v>
      </c>
      <c r="J1354" s="4" t="s">
        <v>1865</v>
      </c>
      <c r="K1354" s="54" t="s">
        <v>2333</v>
      </c>
      <c r="L1354" s="57">
        <v>281496657</v>
      </c>
      <c r="M1354" s="57">
        <v>281496657</v>
      </c>
      <c r="N1354" s="4" t="s">
        <v>699</v>
      </c>
      <c r="O1354" s="4">
        <v>279703406</v>
      </c>
      <c r="P1354" s="4">
        <v>279703444</v>
      </c>
      <c r="Q1354" s="767" t="s">
        <v>2839</v>
      </c>
      <c r="R1354" s="767">
        <v>322808038</v>
      </c>
      <c r="S1354" s="4">
        <v>322808069</v>
      </c>
      <c r="T1354" s="4" t="s">
        <v>3029</v>
      </c>
      <c r="U1354" s="4">
        <v>888909172</v>
      </c>
      <c r="V1354" s="4">
        <v>888909172</v>
      </c>
      <c r="W1354" s="4" t="s">
        <v>2333</v>
      </c>
      <c r="X1354" s="4" t="s">
        <v>699</v>
      </c>
      <c r="Y1354" s="4">
        <v>2960</v>
      </c>
      <c r="Z1354" s="35"/>
      <c r="AA1354" s="1" t="str">
        <f>IFERROR(VLOOKUP(D:D,[1]Габариты!$A:$I,9,0),"")</f>
        <v>Вакансия</v>
      </c>
      <c r="AB1354" s="6" t="str">
        <f>IFERROR(VLOOKUP(D:D,[1]Габариты!$A:$D,4,0),"")</f>
        <v>СТОЛЫ</v>
      </c>
      <c r="AC1354" s="39">
        <f t="shared" si="197"/>
        <v>2960</v>
      </c>
      <c r="AD1354" s="13" t="str">
        <f t="shared" si="198"/>
        <v>FBS</v>
      </c>
    </row>
    <row r="1355" spans="1:30" s="6" customFormat="1" ht="20.100000000000001" customHeight="1" outlineLevel="1" x14ac:dyDescent="0.25">
      <c r="A1355" s="635" t="s">
        <v>1572</v>
      </c>
      <c r="B1355" s="25"/>
      <c r="C1355" s="13" t="s">
        <v>4050</v>
      </c>
      <c r="D1355" s="40">
        <v>14023</v>
      </c>
      <c r="E1355" s="4">
        <v>14</v>
      </c>
      <c r="F1355" s="101">
        <v>14023</v>
      </c>
      <c r="G1355" s="57"/>
      <c r="H1355" s="4" t="s">
        <v>6792</v>
      </c>
      <c r="I1355" s="4"/>
      <c r="J1355" s="4"/>
      <c r="K1355" s="54"/>
      <c r="L1355" s="57"/>
      <c r="M1355" s="57"/>
      <c r="N1355" s="4" t="s">
        <v>2638</v>
      </c>
      <c r="O1355" s="4">
        <v>790113061</v>
      </c>
      <c r="P1355" s="4">
        <v>790113060</v>
      </c>
      <c r="Q1355" s="767"/>
      <c r="R1355" s="767"/>
      <c r="S1355" s="4"/>
      <c r="T1355" s="4"/>
      <c r="U1355" s="4"/>
      <c r="V1355" s="4"/>
      <c r="W1355" s="4"/>
      <c r="X1355" s="4"/>
      <c r="Y1355" s="4">
        <v>14023</v>
      </c>
      <c r="Z1355" s="35"/>
      <c r="AA1355" s="1" t="str">
        <f>IFERROR(VLOOKUP(D:D,[1]Габариты!$A:$I,9,0),"")</f>
        <v>Вакансия</v>
      </c>
      <c r="AB1355" s="6" t="str">
        <f>IFERROR(VLOOKUP(D:D,[1]Габариты!$A:$D,4,0),"")</f>
        <v>СТОЛЫ</v>
      </c>
      <c r="AC1355" s="39">
        <f t="shared" si="197"/>
        <v>14023</v>
      </c>
      <c r="AD1355" s="13" t="str">
        <f t="shared" si="198"/>
        <v>СКГТ (ОЗОН)</v>
      </c>
    </row>
    <row r="1356" spans="1:30" s="6" customFormat="1" ht="20.100000000000001" customHeight="1" outlineLevel="1" x14ac:dyDescent="0.25">
      <c r="A1356" s="635" t="s">
        <v>2010</v>
      </c>
      <c r="B1356" s="24"/>
      <c r="C1356" s="13" t="s">
        <v>2582</v>
      </c>
      <c r="D1356" s="40">
        <v>3605</v>
      </c>
      <c r="E1356" s="4">
        <v>22</v>
      </c>
      <c r="F1356" s="101">
        <v>3605</v>
      </c>
      <c r="G1356" s="57" t="s">
        <v>5097</v>
      </c>
      <c r="H1356" s="4" t="s">
        <v>6806</v>
      </c>
      <c r="I1356" s="4" t="s">
        <v>2573</v>
      </c>
      <c r="J1356" s="4" t="s">
        <v>2051</v>
      </c>
      <c r="K1356" s="54" t="s">
        <v>7912</v>
      </c>
      <c r="L1356" s="57">
        <v>943126459</v>
      </c>
      <c r="M1356" s="57">
        <v>943126459</v>
      </c>
      <c r="N1356" s="4" t="s">
        <v>2642</v>
      </c>
      <c r="O1356" s="4">
        <v>940296200</v>
      </c>
      <c r="P1356" s="4">
        <v>940296199</v>
      </c>
      <c r="Q1356" s="767"/>
      <c r="R1356" s="767"/>
      <c r="S1356" s="4"/>
      <c r="T1356" s="4" t="s">
        <v>3071</v>
      </c>
      <c r="U1356" s="4">
        <v>940583797</v>
      </c>
      <c r="V1356" s="4">
        <v>940583797</v>
      </c>
      <c r="W1356" s="4"/>
      <c r="X1356" s="4"/>
      <c r="Y1356" s="4">
        <v>3605</v>
      </c>
      <c r="Z1356" s="35"/>
      <c r="AA1356" s="1" t="str">
        <f>IFERROR(VLOOKUP(D:D,[1]Габариты!$A:$I,9,0),"")</f>
        <v>Вакансия</v>
      </c>
      <c r="AB1356" s="6" t="str">
        <f>IFERROR(VLOOKUP(D:D,[1]Габариты!$A:$D,4,0),"")</f>
        <v>СТОЛЫ</v>
      </c>
      <c r="AC1356" s="39">
        <f t="shared" si="197"/>
        <v>3605</v>
      </c>
      <c r="AD1356" s="13" t="str">
        <f t="shared" si="198"/>
        <v>FBO</v>
      </c>
    </row>
    <row r="1357" spans="1:30" s="6" customFormat="1" ht="20.100000000000001" customHeight="1" outlineLevel="1" x14ac:dyDescent="0.25">
      <c r="A1357" s="635" t="s">
        <v>3238</v>
      </c>
      <c r="B1357" s="24"/>
      <c r="C1357" s="13" t="s">
        <v>2582</v>
      </c>
      <c r="D1357" s="40">
        <v>3642</v>
      </c>
      <c r="E1357" s="4">
        <v>22</v>
      </c>
      <c r="F1357" s="101">
        <v>3642</v>
      </c>
      <c r="G1357" s="57"/>
      <c r="H1357" s="4" t="s">
        <v>6807</v>
      </c>
      <c r="I1357" s="4" t="s">
        <v>3280</v>
      </c>
      <c r="J1357" s="4" t="s">
        <v>3269</v>
      </c>
      <c r="K1357" s="54"/>
      <c r="L1357" s="57"/>
      <c r="M1357" s="57"/>
      <c r="N1357" s="37" t="s">
        <v>3429</v>
      </c>
      <c r="O1357" s="4">
        <v>1004065407</v>
      </c>
      <c r="P1357" s="4">
        <v>1004065406</v>
      </c>
      <c r="Q1357" s="767" t="s">
        <v>3397</v>
      </c>
      <c r="R1357" s="767">
        <v>1004303338</v>
      </c>
      <c r="S1357" s="4">
        <v>1004303339</v>
      </c>
      <c r="T1357" s="4" t="s">
        <v>3332</v>
      </c>
      <c r="U1357" s="4">
        <v>1004260862</v>
      </c>
      <c r="V1357" s="4">
        <v>1004260862</v>
      </c>
      <c r="W1357" s="4"/>
      <c r="X1357" s="4" t="s">
        <v>3429</v>
      </c>
      <c r="Y1357" s="4">
        <v>3642</v>
      </c>
      <c r="Z1357" s="35"/>
      <c r="AA1357" s="1" t="str">
        <f>IFERROR(VLOOKUP(D:D,[1]Габариты!$A:$I,9,0),"")</f>
        <v>Вакансия</v>
      </c>
      <c r="AB1357" s="6" t="str">
        <f>IFERROR(VLOOKUP(D:D,[1]Габариты!$A:$D,4,0),"")</f>
        <v>СТОЛЫ</v>
      </c>
      <c r="AC1357" s="39">
        <f t="shared" si="197"/>
        <v>3642</v>
      </c>
      <c r="AD1357" s="13" t="str">
        <f t="shared" si="198"/>
        <v>FBO</v>
      </c>
    </row>
    <row r="1358" spans="1:30" s="6" customFormat="1" ht="20.100000000000001" customHeight="1" outlineLevel="1" x14ac:dyDescent="0.25">
      <c r="A1358" s="635" t="s">
        <v>3239</v>
      </c>
      <c r="B1358" s="24"/>
      <c r="C1358" s="13" t="s">
        <v>2582</v>
      </c>
      <c r="D1358" s="40">
        <v>3643</v>
      </c>
      <c r="E1358" s="4">
        <v>22</v>
      </c>
      <c r="F1358" s="101">
        <v>3643</v>
      </c>
      <c r="G1358" s="57"/>
      <c r="H1358" s="4" t="s">
        <v>6808</v>
      </c>
      <c r="I1358" s="4" t="s">
        <v>3279</v>
      </c>
      <c r="J1358" s="4" t="s">
        <v>3270</v>
      </c>
      <c r="K1358" s="54"/>
      <c r="L1358" s="57"/>
      <c r="M1358" s="57"/>
      <c r="N1358" s="37" t="s">
        <v>3285</v>
      </c>
      <c r="O1358" s="4">
        <v>1004074920</v>
      </c>
      <c r="P1358" s="4">
        <v>1004074921</v>
      </c>
      <c r="Q1358" s="767" t="s">
        <v>3398</v>
      </c>
      <c r="R1358" s="767">
        <v>1004293683</v>
      </c>
      <c r="S1358" s="4">
        <v>1004293682</v>
      </c>
      <c r="T1358" s="4" t="s">
        <v>3333</v>
      </c>
      <c r="U1358" s="4">
        <v>1004277059</v>
      </c>
      <c r="V1358" s="4">
        <v>1004277059</v>
      </c>
      <c r="W1358" s="4"/>
      <c r="X1358" s="4" t="s">
        <v>3285</v>
      </c>
      <c r="Y1358" s="4" t="s">
        <v>4066</v>
      </c>
      <c r="Z1358" s="35"/>
      <c r="AA1358" s="1" t="str">
        <f>IFERROR(VLOOKUP(D:D,[1]Габариты!$A:$I,9,0),"")</f>
        <v>Вакансия</v>
      </c>
      <c r="AB1358" s="6" t="str">
        <f>IFERROR(VLOOKUP(D:D,[1]Габариты!$A:$D,4,0),"")</f>
        <v>СТОЛЫ</v>
      </c>
      <c r="AC1358" s="39">
        <f t="shared" si="197"/>
        <v>3643</v>
      </c>
      <c r="AD1358" s="13" t="str">
        <f t="shared" si="198"/>
        <v>FBO</v>
      </c>
    </row>
    <row r="1359" spans="1:30" s="6" customFormat="1" ht="20.100000000000001" customHeight="1" outlineLevel="1" x14ac:dyDescent="0.25">
      <c r="A1359" s="635" t="s">
        <v>3240</v>
      </c>
      <c r="B1359" s="24"/>
      <c r="C1359" s="13" t="s">
        <v>2582</v>
      </c>
      <c r="D1359" s="40">
        <v>3641</v>
      </c>
      <c r="E1359" s="4">
        <v>22</v>
      </c>
      <c r="F1359" s="101">
        <v>3641</v>
      </c>
      <c r="G1359" s="57"/>
      <c r="H1359" s="4" t="s">
        <v>6809</v>
      </c>
      <c r="I1359" s="4" t="s">
        <v>3281</v>
      </c>
      <c r="J1359" s="4" t="s">
        <v>3268</v>
      </c>
      <c r="K1359" s="54"/>
      <c r="L1359" s="57"/>
      <c r="M1359" s="57"/>
      <c r="N1359" s="37" t="s">
        <v>3286</v>
      </c>
      <c r="O1359" s="4">
        <v>1004077677</v>
      </c>
      <c r="P1359" s="4">
        <v>1004077676</v>
      </c>
      <c r="Q1359" s="767" t="s">
        <v>3381</v>
      </c>
      <c r="R1359" s="767">
        <v>1004307532</v>
      </c>
      <c r="S1359" s="4">
        <v>1004307531</v>
      </c>
      <c r="T1359" s="4" t="s">
        <v>3334</v>
      </c>
      <c r="U1359" s="4">
        <v>1004243009</v>
      </c>
      <c r="V1359" s="4">
        <v>1004243009</v>
      </c>
      <c r="W1359" s="4"/>
      <c r="X1359" s="4" t="s">
        <v>3286</v>
      </c>
      <c r="Y1359" s="4" t="s">
        <v>4066</v>
      </c>
      <c r="Z1359" s="35"/>
      <c r="AA1359" s="1" t="str">
        <f>IFERROR(VLOOKUP(D:D,[1]Габариты!$A:$I,9,0),"")</f>
        <v>Вакансия</v>
      </c>
      <c r="AB1359" s="6" t="str">
        <f>IFERROR(VLOOKUP(D:D,[1]Габариты!$A:$D,4,0),"")</f>
        <v>СТОЛЫ</v>
      </c>
      <c r="AC1359" s="39">
        <f t="shared" si="197"/>
        <v>3641</v>
      </c>
      <c r="AD1359" s="13" t="str">
        <f t="shared" si="198"/>
        <v>FBO</v>
      </c>
    </row>
    <row r="1360" spans="1:30" s="6" customFormat="1" ht="20.100000000000001" customHeight="1" outlineLevel="1" x14ac:dyDescent="0.25">
      <c r="A1360" s="635" t="s">
        <v>80</v>
      </c>
      <c r="B1360" s="16"/>
      <c r="C1360" s="13" t="s">
        <v>2582</v>
      </c>
      <c r="D1360" s="39">
        <v>2492</v>
      </c>
      <c r="E1360" s="4">
        <v>38</v>
      </c>
      <c r="F1360" s="101">
        <v>2492</v>
      </c>
      <c r="G1360" s="57" t="s">
        <v>4799</v>
      </c>
      <c r="H1360" s="4" t="s">
        <v>6824</v>
      </c>
      <c r="I1360" s="4" t="s">
        <v>1266</v>
      </c>
      <c r="J1360" s="4" t="s">
        <v>2528</v>
      </c>
      <c r="K1360" s="54" t="s">
        <v>2334</v>
      </c>
      <c r="L1360" s="57">
        <v>198749307</v>
      </c>
      <c r="M1360" s="57">
        <v>198749307</v>
      </c>
      <c r="N1360" s="4" t="s">
        <v>588</v>
      </c>
      <c r="O1360" s="4">
        <v>262892826</v>
      </c>
      <c r="P1360" s="4">
        <v>262892829</v>
      </c>
      <c r="Q1360" s="767" t="s">
        <v>2840</v>
      </c>
      <c r="R1360" s="767">
        <v>322825991</v>
      </c>
      <c r="S1360" s="4">
        <v>322825991</v>
      </c>
      <c r="T1360" s="4" t="s">
        <v>3030</v>
      </c>
      <c r="U1360" s="4">
        <v>953267365</v>
      </c>
      <c r="V1360" s="4">
        <v>953267365</v>
      </c>
      <c r="W1360" s="4" t="s">
        <v>2334</v>
      </c>
      <c r="X1360" s="4" t="s">
        <v>588</v>
      </c>
      <c r="Y1360" s="4">
        <v>2492</v>
      </c>
      <c r="Z1360" s="35"/>
      <c r="AA1360" s="1" t="str">
        <f>IFERROR(VLOOKUP(D:D,[1]Габариты!$A:$I,9,0),"")</f>
        <v>Вакансия</v>
      </c>
      <c r="AB1360" s="6" t="str">
        <f>IFERROR(VLOOKUP(D:D,[1]Габариты!$A:$D,4,0),"")</f>
        <v>СТОЛЫ</v>
      </c>
      <c r="AC1360" s="39">
        <f t="shared" si="197"/>
        <v>2492</v>
      </c>
      <c r="AD1360" s="13" t="str">
        <f t="shared" si="198"/>
        <v>FBO</v>
      </c>
    </row>
    <row r="1361" spans="1:30" s="6" customFormat="1" ht="20.100000000000001" customHeight="1" outlineLevel="1" x14ac:dyDescent="0.25">
      <c r="A1361" s="635" t="s">
        <v>81</v>
      </c>
      <c r="B1361" s="16"/>
      <c r="C1361" s="13" t="s">
        <v>2582</v>
      </c>
      <c r="D1361" s="39">
        <v>2493</v>
      </c>
      <c r="E1361" s="4">
        <v>38</v>
      </c>
      <c r="F1361" s="101">
        <v>2493</v>
      </c>
      <c r="G1361" s="57" t="s">
        <v>4800</v>
      </c>
      <c r="H1361" s="4" t="s">
        <v>6825</v>
      </c>
      <c r="I1361" s="4" t="s">
        <v>1267</v>
      </c>
      <c r="J1361" s="4" t="s">
        <v>2526</v>
      </c>
      <c r="K1361" s="54" t="s">
        <v>2335</v>
      </c>
      <c r="L1361" s="57">
        <v>197398464</v>
      </c>
      <c r="M1361" s="57">
        <v>197398464</v>
      </c>
      <c r="N1361" s="4" t="s">
        <v>589</v>
      </c>
      <c r="O1361" s="4">
        <v>265260780</v>
      </c>
      <c r="P1361" s="4">
        <v>265260790</v>
      </c>
      <c r="Q1361" s="767" t="s">
        <v>2841</v>
      </c>
      <c r="R1361" s="767">
        <v>322835962</v>
      </c>
      <c r="S1361" s="4">
        <v>322835994</v>
      </c>
      <c r="T1361" s="4" t="s">
        <v>3031</v>
      </c>
      <c r="U1361" s="4">
        <v>953375531</v>
      </c>
      <c r="V1361" s="4">
        <v>953375531</v>
      </c>
      <c r="W1361" s="4" t="s">
        <v>2335</v>
      </c>
      <c r="X1361" s="4" t="s">
        <v>589</v>
      </c>
      <c r="Y1361" s="4" t="s">
        <v>4066</v>
      </c>
      <c r="Z1361" s="35"/>
      <c r="AA1361" s="1" t="str">
        <f>IFERROR(VLOOKUP(D:D,[1]Габариты!$A:$I,9,0),"")</f>
        <v>Вакансия</v>
      </c>
      <c r="AB1361" s="6" t="str">
        <f>IFERROR(VLOOKUP(D:D,[1]Габариты!$A:$D,4,0),"")</f>
        <v>СТОЛЫ</v>
      </c>
      <c r="AC1361" s="39">
        <f t="shared" si="197"/>
        <v>2493</v>
      </c>
      <c r="AD1361" s="13" t="str">
        <f t="shared" si="198"/>
        <v>FBO</v>
      </c>
    </row>
    <row r="1362" spans="1:30" s="6" customFormat="1" ht="20.100000000000001" customHeight="1" outlineLevel="1" x14ac:dyDescent="0.25">
      <c r="A1362" s="635" t="s">
        <v>82</v>
      </c>
      <c r="B1362" s="16"/>
      <c r="C1362" s="13" t="s">
        <v>2582</v>
      </c>
      <c r="D1362" s="39">
        <v>2494</v>
      </c>
      <c r="E1362" s="4">
        <v>38</v>
      </c>
      <c r="F1362" s="101">
        <v>2494</v>
      </c>
      <c r="G1362" s="57" t="s">
        <v>4801</v>
      </c>
      <c r="H1362" s="4" t="s">
        <v>6826</v>
      </c>
      <c r="I1362" s="4" t="s">
        <v>1268</v>
      </c>
      <c r="J1362" s="4" t="s">
        <v>2527</v>
      </c>
      <c r="K1362" s="54" t="s">
        <v>2336</v>
      </c>
      <c r="L1362" s="57">
        <v>198749314</v>
      </c>
      <c r="M1362" s="57">
        <v>198749314</v>
      </c>
      <c r="N1362" s="4" t="s">
        <v>590</v>
      </c>
      <c r="O1362" s="4">
        <v>262871756</v>
      </c>
      <c r="P1362" s="4">
        <v>262871762</v>
      </c>
      <c r="Q1362" s="767" t="s">
        <v>2842</v>
      </c>
      <c r="R1362" s="767">
        <v>322858019</v>
      </c>
      <c r="S1362" s="4">
        <v>322858055</v>
      </c>
      <c r="T1362" s="4" t="s">
        <v>3032</v>
      </c>
      <c r="U1362" s="4">
        <v>953386580</v>
      </c>
      <c r="V1362" s="4">
        <v>953386580</v>
      </c>
      <c r="W1362" s="4" t="s">
        <v>2336</v>
      </c>
      <c r="X1362" s="4" t="s">
        <v>590</v>
      </c>
      <c r="Y1362" s="4">
        <v>2494</v>
      </c>
      <c r="Z1362" s="35"/>
      <c r="AA1362" s="1" t="str">
        <f>IFERROR(VLOOKUP(D:D,[1]Габариты!$A:$I,9,0),"")</f>
        <v>Вакансия</v>
      </c>
      <c r="AB1362" s="6" t="str">
        <f>IFERROR(VLOOKUP(D:D,[1]Габариты!$A:$D,4,0),"")</f>
        <v>СТОЛЫ</v>
      </c>
      <c r="AC1362" s="39">
        <f t="shared" si="197"/>
        <v>2494</v>
      </c>
      <c r="AD1362" s="13" t="str">
        <f t="shared" si="198"/>
        <v>FBO</v>
      </c>
    </row>
    <row r="1363" spans="1:30" s="6" customFormat="1" ht="20.100000000000001" customHeight="1" outlineLevel="1" x14ac:dyDescent="0.25">
      <c r="A1363" s="665" t="s">
        <v>288</v>
      </c>
      <c r="B1363" s="16"/>
      <c r="C1363" s="13" t="s">
        <v>2582</v>
      </c>
      <c r="D1363" s="39">
        <v>3056</v>
      </c>
      <c r="E1363" s="4">
        <v>38</v>
      </c>
      <c r="F1363" s="101">
        <v>3056</v>
      </c>
      <c r="G1363" s="57" t="s">
        <v>4981</v>
      </c>
      <c r="H1363" s="4" t="s">
        <v>6827</v>
      </c>
      <c r="I1363" s="4" t="s">
        <v>1269</v>
      </c>
      <c r="J1363" s="4" t="s">
        <v>2579</v>
      </c>
      <c r="K1363" s="54"/>
      <c r="L1363" s="57"/>
      <c r="M1363" s="57"/>
      <c r="N1363" s="4" t="s">
        <v>2627</v>
      </c>
      <c r="O1363" s="4">
        <v>284278619</v>
      </c>
      <c r="P1363" s="4">
        <v>284278628</v>
      </c>
      <c r="Q1363" s="767" t="s">
        <v>2843</v>
      </c>
      <c r="R1363" s="767">
        <v>322858761</v>
      </c>
      <c r="S1363" s="4">
        <v>322858763</v>
      </c>
      <c r="T1363" s="4" t="s">
        <v>3033</v>
      </c>
      <c r="U1363" s="4">
        <v>953394222</v>
      </c>
      <c r="V1363" s="4">
        <v>953394222</v>
      </c>
      <c r="W1363" s="4" t="s">
        <v>2337</v>
      </c>
      <c r="X1363" s="4"/>
      <c r="Y1363" s="4">
        <v>3056</v>
      </c>
      <c r="Z1363" s="35"/>
      <c r="AA1363" s="1" t="str">
        <f>IFERROR(VLOOKUP(D:D,[1]Габариты!$A:$I,9,0),"")</f>
        <v>Вакансия</v>
      </c>
      <c r="AB1363" s="6" t="str">
        <f>IFERROR(VLOOKUP(D:D,[1]Габариты!$A:$D,4,0),"")</f>
        <v>СТОЛЫ</v>
      </c>
      <c r="AC1363" s="39">
        <f t="shared" si="197"/>
        <v>3056</v>
      </c>
      <c r="AD1363" s="13" t="str">
        <f t="shared" si="198"/>
        <v>FBO</v>
      </c>
    </row>
    <row r="1364" spans="1:30" s="6" customFormat="1" ht="20.100000000000001" customHeight="1" outlineLevel="1" x14ac:dyDescent="0.25">
      <c r="A1364" s="635" t="s">
        <v>3309</v>
      </c>
      <c r="B1364" s="24"/>
      <c r="C1364" s="13" t="s">
        <v>4328</v>
      </c>
      <c r="D1364" s="40">
        <v>135600</v>
      </c>
      <c r="E1364" s="4">
        <v>14</v>
      </c>
      <c r="F1364" s="101">
        <v>135600</v>
      </c>
      <c r="G1364" s="57"/>
      <c r="H1364" s="4" t="s">
        <v>6831</v>
      </c>
      <c r="I1364" s="4"/>
      <c r="J1364" s="4"/>
      <c r="K1364" s="54"/>
      <c r="L1364" s="57"/>
      <c r="M1364" s="57"/>
      <c r="N1364" s="37" t="s">
        <v>3356</v>
      </c>
      <c r="O1364" s="4">
        <v>1024156162</v>
      </c>
      <c r="P1364" s="4">
        <v>1024156163</v>
      </c>
      <c r="Q1364" s="767" t="s">
        <v>3483</v>
      </c>
      <c r="R1364" s="767">
        <v>1035909220</v>
      </c>
      <c r="S1364" s="4">
        <v>1035909221</v>
      </c>
      <c r="T1364" s="4" t="s">
        <v>3443</v>
      </c>
      <c r="U1364" s="4">
        <v>1035845444</v>
      </c>
      <c r="V1364" s="4">
        <v>1035845444</v>
      </c>
      <c r="W1364" s="4"/>
      <c r="X1364" s="4" t="s">
        <v>3356</v>
      </c>
      <c r="Y1364" s="4" t="s">
        <v>4066</v>
      </c>
      <c r="Z1364" s="35"/>
      <c r="AA1364" s="1" t="str">
        <f>IFERROR(VLOOKUP(D:D,[1]Габариты!$A:$I,9,0),"")</f>
        <v>Вакансия</v>
      </c>
      <c r="AB1364" s="6" t="str">
        <f>IFERROR(VLOOKUP(D:D,[1]Габариты!$A:$D,4,0),"")</f>
        <v>СТОЛЫ</v>
      </c>
      <c r="AC1364" s="39">
        <f t="shared" si="197"/>
        <v>135600</v>
      </c>
      <c r="AD1364" s="13" t="str">
        <f t="shared" si="198"/>
        <v>СКГТ</v>
      </c>
    </row>
    <row r="1365" spans="1:30" s="6" customFormat="1" ht="20.100000000000001" customHeight="1" outlineLevel="1" x14ac:dyDescent="0.25">
      <c r="A1365" s="635" t="s">
        <v>3310</v>
      </c>
      <c r="B1365" s="24"/>
      <c r="C1365" s="13" t="s">
        <v>4328</v>
      </c>
      <c r="D1365" s="40">
        <v>135601</v>
      </c>
      <c r="E1365" s="4">
        <v>14</v>
      </c>
      <c r="F1365" s="101">
        <v>135601</v>
      </c>
      <c r="G1365" s="57"/>
      <c r="H1365" s="4" t="s">
        <v>6832</v>
      </c>
      <c r="I1365" s="4"/>
      <c r="J1365" s="4"/>
      <c r="K1365" s="54"/>
      <c r="L1365" s="57"/>
      <c r="M1365" s="57"/>
      <c r="N1365" s="37" t="s">
        <v>3357</v>
      </c>
      <c r="O1365" s="4">
        <v>1024170417</v>
      </c>
      <c r="P1365" s="4">
        <v>1024170416</v>
      </c>
      <c r="Q1365" s="767" t="s">
        <v>3484</v>
      </c>
      <c r="R1365" s="767">
        <v>1035920900</v>
      </c>
      <c r="S1365" s="4">
        <v>1035920901</v>
      </c>
      <c r="T1365" s="4" t="s">
        <v>3444</v>
      </c>
      <c r="U1365" s="4">
        <v>1035861914</v>
      </c>
      <c r="V1365" s="4">
        <v>1035861914</v>
      </c>
      <c r="W1365" s="4"/>
      <c r="X1365" s="4" t="s">
        <v>3357</v>
      </c>
      <c r="Y1365" s="4">
        <v>135601</v>
      </c>
      <c r="Z1365" s="35"/>
      <c r="AA1365" s="1" t="str">
        <f>IFERROR(VLOOKUP(D:D,[1]Габариты!$A:$I,9,0),"")</f>
        <v>Вакансия</v>
      </c>
      <c r="AB1365" s="6" t="str">
        <f>IFERROR(VLOOKUP(D:D,[1]Габариты!$A:$D,4,0),"")</f>
        <v>СТОЛЫ</v>
      </c>
      <c r="AC1365" s="39">
        <f t="shared" si="197"/>
        <v>135601</v>
      </c>
      <c r="AD1365" s="13" t="str">
        <f t="shared" si="198"/>
        <v>СКГТ</v>
      </c>
    </row>
    <row r="1366" spans="1:30" s="6" customFormat="1" ht="20.100000000000001" customHeight="1" outlineLevel="1" x14ac:dyDescent="0.25">
      <c r="A1366" s="635" t="s">
        <v>3175</v>
      </c>
      <c r="B1366" s="24"/>
      <c r="C1366" s="13" t="s">
        <v>3172</v>
      </c>
      <c r="D1366" s="40">
        <v>3265</v>
      </c>
      <c r="E1366" s="4">
        <v>14</v>
      </c>
      <c r="F1366" s="101">
        <v>3265</v>
      </c>
      <c r="G1366" s="57"/>
      <c r="H1366" s="4" t="s">
        <v>6874</v>
      </c>
      <c r="I1366" s="4"/>
      <c r="J1366" s="4"/>
      <c r="K1366" s="74"/>
      <c r="L1366" s="57"/>
      <c r="M1366" s="57"/>
      <c r="N1366" s="4" t="s">
        <v>3232</v>
      </c>
      <c r="O1366" s="4">
        <v>987446117</v>
      </c>
      <c r="P1366" s="4">
        <v>987446118</v>
      </c>
      <c r="Q1366" s="767"/>
      <c r="R1366" s="767"/>
      <c r="S1366" s="4"/>
      <c r="T1366" s="4"/>
      <c r="U1366" s="4"/>
      <c r="V1366" s="4"/>
      <c r="W1366" s="4"/>
      <c r="X1366" s="4"/>
      <c r="Y1366" s="4" t="s">
        <v>4066</v>
      </c>
      <c r="Z1366" s="35"/>
      <c r="AA1366" s="1" t="str">
        <f>IFERROR(VLOOKUP(D:D,[1]Габариты!$A:$I,9,0),"")</f>
        <v>Вакансия</v>
      </c>
      <c r="AB1366" s="6" t="str">
        <f>IFERROR(VLOOKUP(D:D,[1]Габариты!$A:$D,4,0),"")</f>
        <v>СТОЛЫ</v>
      </c>
      <c r="AC1366" s="39">
        <f t="shared" si="197"/>
        <v>3265</v>
      </c>
      <c r="AD1366" s="13" t="str">
        <f t="shared" si="198"/>
        <v xml:space="preserve">СКГТ </v>
      </c>
    </row>
    <row r="1367" spans="1:30" s="6" customFormat="1" ht="20.100000000000001" customHeight="1" outlineLevel="1" x14ac:dyDescent="0.25">
      <c r="A1367" s="635" t="s">
        <v>3747</v>
      </c>
      <c r="B1367" s="24"/>
      <c r="C1367" s="13" t="s">
        <v>2581</v>
      </c>
      <c r="D1367" s="40" t="s">
        <v>3746</v>
      </c>
      <c r="E1367" s="4">
        <v>20</v>
      </c>
      <c r="F1367" s="101" t="s">
        <v>4676</v>
      </c>
      <c r="G1367" s="57" t="s">
        <v>5224</v>
      </c>
      <c r="H1367" s="4" t="s">
        <v>6803</v>
      </c>
      <c r="I1367" s="4"/>
      <c r="J1367" s="4"/>
      <c r="K1367" s="54" t="s">
        <v>4676</v>
      </c>
      <c r="L1367" s="57">
        <v>1197800064</v>
      </c>
      <c r="M1367" s="57">
        <v>1197800064</v>
      </c>
      <c r="N1367" s="37" t="s">
        <v>3760</v>
      </c>
      <c r="O1367" s="4">
        <v>1219797609</v>
      </c>
      <c r="P1367" s="4">
        <v>1219797608</v>
      </c>
      <c r="Q1367" s="767"/>
      <c r="R1367" s="767"/>
      <c r="S1367" s="4"/>
      <c r="T1367" s="4"/>
      <c r="U1367" s="4"/>
      <c r="V1367" s="4"/>
      <c r="W1367" s="4"/>
      <c r="X1367" s="4" t="s">
        <v>3760</v>
      </c>
      <c r="Y1367" s="4" t="s">
        <v>4066</v>
      </c>
      <c r="Z1367" s="35"/>
      <c r="AA1367" s="1" t="str">
        <f>IFERROR(VLOOKUP(D:D,[1]Габариты!$A:$I,9,0),"")</f>
        <v>Вакансия</v>
      </c>
      <c r="AB1367" s="6" t="str">
        <f>IFERROR(VLOOKUP(D:D,[1]Габариты!$A:$D,4,0),"")</f>
        <v>СТОЛЫ</v>
      </c>
      <c r="AC1367" s="39" t="str">
        <f t="shared" si="197"/>
        <v>MK1620901</v>
      </c>
      <c r="AD1367" s="13" t="str">
        <f t="shared" si="198"/>
        <v>FBS</v>
      </c>
    </row>
    <row r="1368" spans="1:30" s="6" customFormat="1" ht="20.100000000000001" customHeight="1" outlineLevel="1" x14ac:dyDescent="0.25">
      <c r="A1368" s="635" t="s">
        <v>1035</v>
      </c>
      <c r="B1368" s="3"/>
      <c r="C1368" s="13" t="s">
        <v>2581</v>
      </c>
      <c r="D1368" s="39" t="s">
        <v>1503</v>
      </c>
      <c r="E1368" s="4">
        <v>20</v>
      </c>
      <c r="F1368" s="101" t="s">
        <v>4734</v>
      </c>
      <c r="G1368" s="57" t="s">
        <v>5168</v>
      </c>
      <c r="H1368" s="4" t="s">
        <v>6777</v>
      </c>
      <c r="I1368" s="4"/>
      <c r="J1368" s="4"/>
      <c r="K1368" s="54" t="s">
        <v>4734</v>
      </c>
      <c r="L1368" s="57">
        <v>884285741</v>
      </c>
      <c r="M1368" s="57">
        <v>884285741</v>
      </c>
      <c r="N1368" s="4" t="s">
        <v>1427</v>
      </c>
      <c r="O1368" s="4">
        <v>603785569</v>
      </c>
      <c r="P1368" s="4">
        <v>603785568</v>
      </c>
      <c r="Q1368" s="767"/>
      <c r="R1368" s="767"/>
      <c r="S1368" s="4"/>
      <c r="T1368" s="4"/>
      <c r="U1368" s="4"/>
      <c r="V1368" s="4"/>
      <c r="W1368" s="4"/>
      <c r="X1368" s="4" t="s">
        <v>1427</v>
      </c>
      <c r="Y1368" s="4" t="s">
        <v>4066</v>
      </c>
      <c r="Z1368" s="35"/>
      <c r="AA1368" s="1" t="str">
        <f>IFERROR(VLOOKUP(D:D,[1]Габариты!$A:$I,9,0),"")</f>
        <v>Вакансия</v>
      </c>
      <c r="AB1368" s="6" t="str">
        <f>IFERROR(VLOOKUP(D:D,[1]Габариты!$A:$D,4,0),"")</f>
        <v>СТОЛЫ</v>
      </c>
      <c r="AC1368" s="39" t="str">
        <f t="shared" si="197"/>
        <v>MK00023</v>
      </c>
      <c r="AD1368" s="13" t="str">
        <f t="shared" si="198"/>
        <v>FBS</v>
      </c>
    </row>
    <row r="1369" spans="1:30" s="6" customFormat="1" ht="20.100000000000001" customHeight="1" outlineLevel="1" x14ac:dyDescent="0.25">
      <c r="A1369" s="635" t="s">
        <v>1356</v>
      </c>
      <c r="B1369" s="25"/>
      <c r="C1369" s="13" t="s">
        <v>2581</v>
      </c>
      <c r="D1369" s="40" t="s">
        <v>1505</v>
      </c>
      <c r="E1369" s="4">
        <v>18</v>
      </c>
      <c r="F1369" s="101" t="s">
        <v>4723</v>
      </c>
      <c r="G1369" s="57" t="s">
        <v>5205</v>
      </c>
      <c r="H1369" s="4" t="s">
        <v>6778</v>
      </c>
      <c r="I1369" s="4"/>
      <c r="J1369" s="4"/>
      <c r="K1369" s="54" t="s">
        <v>4723</v>
      </c>
      <c r="L1369" s="57">
        <v>933458405</v>
      </c>
      <c r="M1369" s="57">
        <v>933458405</v>
      </c>
      <c r="N1369" s="4" t="s">
        <v>1814</v>
      </c>
      <c r="O1369" s="4">
        <v>678048095</v>
      </c>
      <c r="P1369" s="4">
        <v>678048096</v>
      </c>
      <c r="Q1369" s="767"/>
      <c r="R1369" s="767"/>
      <c r="S1369" s="4"/>
      <c r="T1369" s="4"/>
      <c r="U1369" s="4"/>
      <c r="V1369" s="4"/>
      <c r="W1369" s="4"/>
      <c r="X1369" s="4" t="s">
        <v>1814</v>
      </c>
      <c r="Y1369" s="4" t="s">
        <v>4066</v>
      </c>
      <c r="Z1369" s="35"/>
      <c r="AA1369" s="1" t="str">
        <f>IFERROR(VLOOKUP(D:D,[1]Габариты!$A:$I,9,0),"")</f>
        <v>Вакансия</v>
      </c>
      <c r="AB1369" s="6" t="str">
        <f>IFERROR(VLOOKUP(D:D,[1]Габариты!$A:$D,4,0),"")</f>
        <v>СТОЛЫ</v>
      </c>
      <c r="AC1369" s="39" t="str">
        <f t="shared" si="197"/>
        <v>MK1290101</v>
      </c>
      <c r="AD1369" s="13" t="str">
        <f t="shared" si="198"/>
        <v>FBS</v>
      </c>
    </row>
    <row r="1370" spans="1:30" s="6" customFormat="1" ht="20.100000000000001" customHeight="1" outlineLevel="1" x14ac:dyDescent="0.25">
      <c r="A1370" s="635" t="s">
        <v>3903</v>
      </c>
      <c r="B1370" s="3"/>
      <c r="C1370" s="13" t="s">
        <v>2581</v>
      </c>
      <c r="D1370" s="40" t="s">
        <v>3902</v>
      </c>
      <c r="E1370" s="4">
        <v>14</v>
      </c>
      <c r="F1370" s="101" t="s">
        <v>4677</v>
      </c>
      <c r="G1370" s="57" t="s">
        <v>5226</v>
      </c>
      <c r="H1370" s="4" t="s">
        <v>7278</v>
      </c>
      <c r="I1370" s="4"/>
      <c r="J1370" s="4"/>
      <c r="K1370" s="54" t="s">
        <v>4677</v>
      </c>
      <c r="L1370" s="57">
        <v>1422181965</v>
      </c>
      <c r="M1370" s="57">
        <v>1422181965</v>
      </c>
      <c r="N1370" s="4" t="s">
        <v>8064</v>
      </c>
      <c r="O1370" s="4"/>
      <c r="P1370" s="4"/>
      <c r="Q1370" s="4"/>
      <c r="R1370" s="4"/>
      <c r="S1370" s="4"/>
      <c r="T1370" s="4"/>
      <c r="U1370" s="4"/>
      <c r="V1370" s="4"/>
      <c r="W1370" s="4"/>
      <c r="X1370" s="4" t="s">
        <v>8064</v>
      </c>
      <c r="Y1370" s="4" t="s">
        <v>4066</v>
      </c>
      <c r="AA1370" s="1" t="str">
        <f>IFERROR(VLOOKUP(D:D,[1]Габариты!$A:$I,9,0),"")</f>
        <v>Вакансия</v>
      </c>
      <c r="AB1370" s="6" t="str">
        <f>IFERROR(VLOOKUP(D:D,[1]Габариты!$A:$D,4,0),"")</f>
        <v>СТОЛЫ</v>
      </c>
      <c r="AC1370" s="39" t="str">
        <f t="shared" si="197"/>
        <v>MK1710101</v>
      </c>
      <c r="AD1370" s="13" t="str">
        <f t="shared" si="198"/>
        <v>FBS</v>
      </c>
    </row>
    <row r="1371" spans="1:30" s="6" customFormat="1" ht="20.100000000000001" customHeight="1" outlineLevel="1" x14ac:dyDescent="0.25">
      <c r="A1371" s="702" t="s">
        <v>7565</v>
      </c>
      <c r="B1371" s="172"/>
      <c r="C1371" s="13" t="s">
        <v>4050</v>
      </c>
      <c r="D1371" s="165" t="s">
        <v>7581</v>
      </c>
      <c r="E1371" s="166">
        <v>15</v>
      </c>
      <c r="F1371" s="167" t="s">
        <v>7798</v>
      </c>
      <c r="G1371" s="168" t="s">
        <v>7607</v>
      </c>
      <c r="H1371" s="166" t="s">
        <v>7566</v>
      </c>
      <c r="I1371" s="166"/>
      <c r="J1371" s="166"/>
      <c r="K1371" s="167"/>
      <c r="L1371" s="168"/>
      <c r="M1371" s="168"/>
      <c r="N1371" s="166" t="s">
        <v>7642</v>
      </c>
      <c r="O1371" s="166">
        <v>1719168549</v>
      </c>
      <c r="P1371" s="166">
        <v>1719168549</v>
      </c>
      <c r="Q1371" s="793"/>
      <c r="R1371" s="793"/>
      <c r="S1371" s="166"/>
      <c r="T1371" s="166"/>
      <c r="U1371" s="166"/>
      <c r="V1371" s="166"/>
      <c r="W1371" s="166"/>
      <c r="X1371" s="166" t="s">
        <v>7642</v>
      </c>
      <c r="Y1371" s="166"/>
      <c r="Z1371" s="35"/>
      <c r="AA1371" s="1" t="str">
        <f>IFERROR(VLOOKUP(D:D,[1]Габариты!$A:$I,9,0),"")</f>
        <v>Вакансия</v>
      </c>
      <c r="AB1371" s="6" t="str">
        <f>IFERROR(VLOOKUP(D:D,[1]Габариты!$A:$D,4,0),"")</f>
        <v>СТОЛЫ</v>
      </c>
      <c r="AC1371" s="39" t="str">
        <f>D1371</f>
        <v>MK3471701</v>
      </c>
      <c r="AD1371" s="13" t="str">
        <f>C1371</f>
        <v>СКГТ (ОЗОН)</v>
      </c>
    </row>
    <row r="1372" spans="1:30" s="6" customFormat="1" ht="20.100000000000001" customHeight="1" outlineLevel="1" x14ac:dyDescent="0.25">
      <c r="A1372" s="633" t="s">
        <v>4600</v>
      </c>
      <c r="B1372" s="24"/>
      <c r="C1372" s="13" t="s">
        <v>4328</v>
      </c>
      <c r="D1372" s="40" t="s">
        <v>4598</v>
      </c>
      <c r="E1372" s="4">
        <v>15</v>
      </c>
      <c r="F1372" s="101" t="s">
        <v>7913</v>
      </c>
      <c r="G1372" s="57"/>
      <c r="H1372" s="4" t="s">
        <v>6821</v>
      </c>
      <c r="I1372" s="4"/>
      <c r="J1372" s="4"/>
      <c r="K1372" s="54"/>
      <c r="L1372" s="57"/>
      <c r="M1372" s="57"/>
      <c r="N1372" s="4" t="s">
        <v>4599</v>
      </c>
      <c r="O1372" s="4">
        <v>1658233818</v>
      </c>
      <c r="P1372" s="4">
        <v>1658233818</v>
      </c>
      <c r="Q1372" s="767"/>
      <c r="R1372" s="767"/>
      <c r="S1372" s="4"/>
      <c r="T1372" s="4"/>
      <c r="U1372" s="4"/>
      <c r="V1372" s="4"/>
      <c r="W1372" s="4"/>
      <c r="X1372" s="4"/>
      <c r="Y1372" s="4"/>
      <c r="Z1372" s="35"/>
      <c r="AA1372" s="1" t="str">
        <f>IFERROR(VLOOKUP(D:D,[1]Габариты!$A:$I,9,0),"")</f>
        <v>Вакансия</v>
      </c>
      <c r="AB1372" s="6" t="str">
        <f>IFERROR(VLOOKUP(D:D,[1]Габариты!$A:$D,4,0),"")</f>
        <v>СТОЛЫ</v>
      </c>
      <c r="AC1372" s="39" t="str">
        <f>D1372</f>
        <v>3921.17/01</v>
      </c>
      <c r="AD1372" s="13" t="str">
        <f>C1372</f>
        <v>СКГТ</v>
      </c>
    </row>
    <row r="1373" spans="1:30" s="6" customFormat="1" ht="20.100000000000001" customHeight="1" outlineLevel="1" x14ac:dyDescent="0.25">
      <c r="A1373" s="633" t="s">
        <v>3827</v>
      </c>
      <c r="B1373" s="24"/>
      <c r="C1373" s="13" t="s">
        <v>2581</v>
      </c>
      <c r="D1373" s="40">
        <v>7774</v>
      </c>
      <c r="E1373" s="4">
        <v>22</v>
      </c>
      <c r="F1373" s="101"/>
      <c r="G1373" s="57"/>
      <c r="H1373" s="4" t="s">
        <v>6850</v>
      </c>
      <c r="I1373" s="4"/>
      <c r="J1373" s="4"/>
      <c r="K1373" s="54"/>
      <c r="L1373" s="57"/>
      <c r="M1373" s="57"/>
      <c r="N1373" s="37" t="s">
        <v>3835</v>
      </c>
      <c r="O1373" s="4">
        <v>1346996238</v>
      </c>
      <c r="P1373" s="4">
        <v>1346996238</v>
      </c>
      <c r="Q1373" s="767"/>
      <c r="R1373" s="767"/>
      <c r="S1373" s="4"/>
      <c r="T1373" s="4"/>
      <c r="U1373" s="4"/>
      <c r="V1373" s="4"/>
      <c r="W1373" s="4"/>
      <c r="X1373" s="4" t="s">
        <v>3835</v>
      </c>
      <c r="Y1373" s="4" t="s">
        <v>4066</v>
      </c>
      <c r="Z1373" s="35"/>
      <c r="AA1373" s="1" t="str">
        <f>IFERROR(VLOOKUP(D:D,[1]Габариты!$A:$I,9,0),"")</f>
        <v>Вакансия</v>
      </c>
      <c r="AB1373" s="6" t="str">
        <f>IFERROR(VLOOKUP(D:D,[1]Габариты!$A:$D,4,0),"")</f>
        <v>СТОЛЫ</v>
      </c>
      <c r="AC1373" s="39">
        <f>D1373</f>
        <v>7774</v>
      </c>
      <c r="AD1373" s="13" t="str">
        <f>C1373</f>
        <v>FBS</v>
      </c>
    </row>
    <row r="1374" spans="1:30" s="6" customFormat="1" ht="20.100000000000001" customHeight="1" outlineLevel="1" x14ac:dyDescent="0.25">
      <c r="A1374" s="702" t="s">
        <v>7564</v>
      </c>
      <c r="B1374" s="172"/>
      <c r="C1374" s="13" t="s">
        <v>4050</v>
      </c>
      <c r="D1374" s="165" t="s">
        <v>7580</v>
      </c>
      <c r="E1374" s="166">
        <v>14</v>
      </c>
      <c r="F1374" s="167" t="s">
        <v>8248</v>
      </c>
      <c r="G1374" s="168"/>
      <c r="H1374" s="166" t="s">
        <v>7563</v>
      </c>
      <c r="I1374" s="166"/>
      <c r="J1374" s="166"/>
      <c r="K1374" s="167"/>
      <c r="L1374" s="168"/>
      <c r="M1374" s="168"/>
      <c r="N1374" s="166" t="s">
        <v>7643</v>
      </c>
      <c r="O1374" s="166">
        <v>1719188880</v>
      </c>
      <c r="P1374" s="166">
        <v>1719188880</v>
      </c>
      <c r="Q1374" s="793"/>
      <c r="R1374" s="793"/>
      <c r="S1374" s="166"/>
      <c r="T1374" s="166"/>
      <c r="U1374" s="166"/>
      <c r="V1374" s="166"/>
      <c r="W1374" s="166"/>
      <c r="X1374" s="166" t="s">
        <v>7643</v>
      </c>
      <c r="Y1374" s="166"/>
      <c r="Z1374" s="35"/>
      <c r="AA1374" s="1" t="str">
        <f>IFERROR(VLOOKUP(D:D,[1]Габариты!$A:$I,9,0),"")</f>
        <v>Вакансия</v>
      </c>
      <c r="AB1374" s="6" t="str">
        <f>IFERROR(VLOOKUP(D:D,[1]Габариты!$A:$D,4,0),"")</f>
        <v>СТОЛЫ</v>
      </c>
      <c r="AC1374" s="39" t="str">
        <f>D1374</f>
        <v>MK348170901</v>
      </c>
      <c r="AD1374" s="13" t="str">
        <f>C1374</f>
        <v>СКГТ (ОЗОН)</v>
      </c>
    </row>
    <row r="1375" spans="1:30" s="6" customFormat="1" ht="20.100000000000001" customHeight="1" outlineLevel="1" x14ac:dyDescent="0.2">
      <c r="A1375" s="754" t="s">
        <v>3654</v>
      </c>
      <c r="B1375" s="756" t="s">
        <v>3846</v>
      </c>
      <c r="C1375" s="13"/>
      <c r="D1375" s="40"/>
      <c r="E1375" s="4"/>
      <c r="F1375" s="101"/>
      <c r="G1375" s="57"/>
      <c r="H1375" s="4"/>
      <c r="I1375" s="4"/>
      <c r="J1375" s="4"/>
      <c r="K1375" s="54"/>
      <c r="L1375" s="57"/>
      <c r="M1375" s="57"/>
      <c r="N1375" s="766"/>
      <c r="O1375" s="4"/>
      <c r="P1375" s="4"/>
      <c r="Q1375" s="767"/>
      <c r="R1375" s="767"/>
      <c r="S1375" s="4"/>
      <c r="T1375" s="4"/>
      <c r="U1375" s="4"/>
      <c r="V1375" s="4"/>
      <c r="W1375" s="4"/>
      <c r="X1375" s="4"/>
      <c r="Y1375" s="4" t="s">
        <v>4066</v>
      </c>
      <c r="Z1375" s="35"/>
      <c r="AA1375" s="1" t="str">
        <f>IFERROR(VLOOKUP(D:D,[1]Габариты!$A:$I,9,0),"")</f>
        <v/>
      </c>
      <c r="AB1375" s="6" t="str">
        <f>IFERROR(VLOOKUP(D:D,[1]Габариты!$A:$D,4,0),"")</f>
        <v/>
      </c>
      <c r="AC1375" s="39"/>
      <c r="AD1375" s="3"/>
    </row>
    <row r="1376" spans="1:30" s="6" customFormat="1" ht="20.100000000000001" customHeight="1" outlineLevel="1" x14ac:dyDescent="0.25">
      <c r="A1376" s="635" t="s">
        <v>1446</v>
      </c>
      <c r="B1376" s="25"/>
      <c r="C1376" s="13" t="s">
        <v>2582</v>
      </c>
      <c r="D1376" s="40">
        <v>3397</v>
      </c>
      <c r="E1376" s="4">
        <v>24</v>
      </c>
      <c r="F1376" s="101">
        <v>3397</v>
      </c>
      <c r="G1376" s="57"/>
      <c r="H1376" s="4" t="s">
        <v>6877</v>
      </c>
      <c r="I1376" s="4"/>
      <c r="J1376" s="4" t="s">
        <v>1971</v>
      </c>
      <c r="K1376" s="54" t="s">
        <v>7917</v>
      </c>
      <c r="L1376" s="57"/>
      <c r="M1376" s="57"/>
      <c r="N1376" s="4" t="s">
        <v>1575</v>
      </c>
      <c r="O1376" s="4">
        <v>723631835</v>
      </c>
      <c r="P1376" s="4">
        <v>723631836</v>
      </c>
      <c r="Q1376" s="767"/>
      <c r="R1376" s="767"/>
      <c r="S1376" s="4"/>
      <c r="T1376" s="4" t="s">
        <v>3062</v>
      </c>
      <c r="U1376" s="4">
        <v>926543271</v>
      </c>
      <c r="V1376" s="4">
        <v>926543271</v>
      </c>
      <c r="W1376" s="4"/>
      <c r="X1376" s="4" t="s">
        <v>1575</v>
      </c>
      <c r="Y1376" s="4">
        <v>3397</v>
      </c>
      <c r="Z1376" s="35"/>
      <c r="AA1376" s="1" t="str">
        <f>IFERROR(VLOOKUP(D:D,[1]Габариты!$A:$I,9,0),"")</f>
        <v>Вакансия</v>
      </c>
      <c r="AB1376" s="6" t="str">
        <f>IFERROR(VLOOKUP(D:D,[1]Габариты!$A:$D,4,0),"")</f>
        <v>СТОЛЫ МАНИКЮРНЫЕ</v>
      </c>
      <c r="AC1376" s="39">
        <f t="shared" si="197"/>
        <v>3397</v>
      </c>
      <c r="AD1376" s="13" t="str">
        <f>C1376</f>
        <v>FBO</v>
      </c>
    </row>
    <row r="1377" spans="1:30" s="6" customFormat="1" ht="20.100000000000001" customHeight="1" outlineLevel="1" x14ac:dyDescent="0.25">
      <c r="A1377" s="635" t="s">
        <v>1591</v>
      </c>
      <c r="B1377" s="25"/>
      <c r="C1377" s="13" t="s">
        <v>2581</v>
      </c>
      <c r="D1377" s="40">
        <v>3580</v>
      </c>
      <c r="E1377" s="4">
        <v>51</v>
      </c>
      <c r="F1377" s="101">
        <v>3580</v>
      </c>
      <c r="G1377" s="57" t="s">
        <v>5092</v>
      </c>
      <c r="H1377" s="4" t="s">
        <v>6882</v>
      </c>
      <c r="I1377" s="4"/>
      <c r="J1377" s="4" t="s">
        <v>1975</v>
      </c>
      <c r="K1377" s="54" t="s">
        <v>7921</v>
      </c>
      <c r="L1377" s="57">
        <v>1411136702</v>
      </c>
      <c r="M1377" s="57">
        <v>1411136702</v>
      </c>
      <c r="N1377" s="4" t="s">
        <v>1635</v>
      </c>
      <c r="O1377" s="4">
        <v>807088395</v>
      </c>
      <c r="P1377" s="4">
        <v>807088394</v>
      </c>
      <c r="Q1377" s="767"/>
      <c r="R1377" s="767"/>
      <c r="S1377" s="4"/>
      <c r="T1377" s="4" t="s">
        <v>3852</v>
      </c>
      <c r="U1377" s="4">
        <v>1386362092</v>
      </c>
      <c r="V1377" s="4">
        <v>1386362092</v>
      </c>
      <c r="W1377" s="4"/>
      <c r="X1377" s="4" t="s">
        <v>1635</v>
      </c>
      <c r="Y1377" s="4" t="s">
        <v>4066</v>
      </c>
      <c r="Z1377" s="35"/>
      <c r="AA1377" s="1" t="str">
        <f>IFERROR(VLOOKUP(D:D,[1]Габариты!$A:$I,9,0),"")</f>
        <v>Вакансия</v>
      </c>
      <c r="AB1377" s="6" t="str">
        <f>IFERROR(VLOOKUP(D:D,[1]Габариты!$A:$D,4,0),"")</f>
        <v>СТОЛЫ МАНИКЮРНЫЕ</v>
      </c>
      <c r="AC1377" s="39">
        <f>D1377</f>
        <v>3580</v>
      </c>
      <c r="AD1377" s="13" t="str">
        <f>C1377</f>
        <v>FBS</v>
      </c>
    </row>
    <row r="1378" spans="1:30" s="6" customFormat="1" ht="20.100000000000001" customHeight="1" outlineLevel="1" x14ac:dyDescent="0.2">
      <c r="A1378" s="754" t="s">
        <v>1757</v>
      </c>
      <c r="B1378" s="754" t="s">
        <v>3846</v>
      </c>
      <c r="C1378" s="13"/>
      <c r="D1378" s="39"/>
      <c r="E1378" s="4"/>
      <c r="F1378" s="101"/>
      <c r="G1378" s="57"/>
      <c r="H1378" s="4"/>
      <c r="I1378" s="4"/>
      <c r="J1378" s="4"/>
      <c r="K1378" s="54"/>
      <c r="L1378" s="57"/>
      <c r="M1378" s="57"/>
      <c r="N1378" s="4"/>
      <c r="O1378" s="4"/>
      <c r="P1378" s="4"/>
      <c r="Q1378" s="767"/>
      <c r="R1378" s="767"/>
      <c r="S1378" s="4"/>
      <c r="T1378" s="4"/>
      <c r="U1378" s="4"/>
      <c r="V1378" s="4"/>
      <c r="W1378" s="4"/>
      <c r="X1378" s="4"/>
      <c r="Y1378" s="4" t="s">
        <v>4066</v>
      </c>
      <c r="Z1378" s="35"/>
      <c r="AA1378" s="1" t="str">
        <f>IFERROR(VLOOKUP(D:D,[1]Габариты!$A:$I,9,0),"")</f>
        <v/>
      </c>
      <c r="AB1378" s="6" t="str">
        <f>IFERROR(VLOOKUP(D:D,[1]Габариты!$A:$D,4,0),"")</f>
        <v/>
      </c>
      <c r="AC1378" s="39"/>
      <c r="AD1378" s="3"/>
    </row>
    <row r="1379" spans="1:30" s="6" customFormat="1" ht="20.100000000000001" customHeight="1" outlineLevel="1" x14ac:dyDescent="0.25">
      <c r="A1379" s="635" t="s">
        <v>71</v>
      </c>
      <c r="B1379" s="3"/>
      <c r="C1379" s="13" t="s">
        <v>2581</v>
      </c>
      <c r="D1379" s="39">
        <v>2475</v>
      </c>
      <c r="E1379" s="4">
        <v>38</v>
      </c>
      <c r="F1379" s="101">
        <v>2475</v>
      </c>
      <c r="G1379" s="57" t="s">
        <v>4788</v>
      </c>
      <c r="H1379" s="4"/>
      <c r="I1379" s="4"/>
      <c r="J1379" s="4"/>
      <c r="K1379" s="54"/>
      <c r="L1379" s="57"/>
      <c r="M1379" s="57"/>
      <c r="N1379" s="4"/>
      <c r="O1379" s="4"/>
      <c r="P1379" s="4"/>
      <c r="Q1379" s="767"/>
      <c r="R1379" s="767"/>
      <c r="S1379" s="4"/>
      <c r="T1379" s="4"/>
      <c r="U1379" s="4"/>
      <c r="V1379" s="4"/>
      <c r="W1379" s="4" t="s">
        <v>2429</v>
      </c>
      <c r="X1379" s="4"/>
      <c r="Y1379" s="4" t="s">
        <v>4066</v>
      </c>
      <c r="Z1379" s="35"/>
      <c r="AA1379" s="1" t="str">
        <f>IFERROR(VLOOKUP(D:D,[1]Габариты!$A:$I,9,0),"")</f>
        <v>Вакансия</v>
      </c>
      <c r="AB1379" s="6" t="str">
        <f>IFERROR(VLOOKUP(D:D,[1]Габариты!$A:$D,4,0),"")</f>
        <v>СТОЛЫ ОБЕДЕННЫЕ</v>
      </c>
      <c r="AC1379" s="39">
        <f t="shared" si="197"/>
        <v>2475</v>
      </c>
      <c r="AD1379" s="13" t="str">
        <f t="shared" si="196"/>
        <v>FBS</v>
      </c>
    </row>
    <row r="1380" spans="1:30" s="6" customFormat="1" ht="20.100000000000001" customHeight="1" outlineLevel="1" x14ac:dyDescent="0.25">
      <c r="A1380" s="734" t="s">
        <v>309</v>
      </c>
      <c r="B1380" s="11"/>
      <c r="C1380" s="13" t="s">
        <v>2581</v>
      </c>
      <c r="D1380" s="40">
        <v>9014</v>
      </c>
      <c r="E1380" s="4"/>
      <c r="F1380" s="101">
        <v>9014</v>
      </c>
      <c r="G1380" s="57"/>
      <c r="H1380" s="4" t="s">
        <v>7280</v>
      </c>
      <c r="I1380" s="4" t="s">
        <v>1277</v>
      </c>
      <c r="J1380" s="4"/>
      <c r="K1380" s="54"/>
      <c r="L1380" s="57"/>
      <c r="M1380" s="57"/>
      <c r="N1380" s="806" t="s">
        <v>7685</v>
      </c>
      <c r="O1380" s="4">
        <v>295761617</v>
      </c>
      <c r="P1380" s="4">
        <v>295761621</v>
      </c>
      <c r="Q1380" s="767"/>
      <c r="R1380" s="767"/>
      <c r="S1380" s="4"/>
      <c r="T1380" s="4"/>
      <c r="U1380" s="4"/>
      <c r="V1380" s="4"/>
      <c r="W1380" s="4"/>
      <c r="X1380" s="4"/>
      <c r="Y1380" s="4" t="s">
        <v>4066</v>
      </c>
      <c r="Z1380" s="35"/>
      <c r="AA1380" s="1" t="str">
        <f>IFERROR(VLOOKUP(D:D,[1]Габариты!$A:$I,9,0),"")</f>
        <v>Вакансия</v>
      </c>
      <c r="AB1380" s="6" t="str">
        <f>IFERROR(VLOOKUP(D:D,[1]Габариты!$A:$D,4,0),"")</f>
        <v>СТОЛЫ ОБЕДЕННЫЕ</v>
      </c>
      <c r="AC1380" s="39">
        <f t="shared" si="197"/>
        <v>9014</v>
      </c>
      <c r="AD1380" s="13" t="str">
        <f t="shared" si="196"/>
        <v>FBS</v>
      </c>
    </row>
    <row r="1381" spans="1:30" s="6" customFormat="1" ht="20.100000000000001" customHeight="1" outlineLevel="1" x14ac:dyDescent="0.25">
      <c r="A1381" s="734" t="s">
        <v>319</v>
      </c>
      <c r="B1381" s="11"/>
      <c r="C1381" s="13" t="s">
        <v>2581</v>
      </c>
      <c r="D1381" s="40">
        <v>12351</v>
      </c>
      <c r="E1381" s="4"/>
      <c r="F1381" s="101">
        <v>12351</v>
      </c>
      <c r="G1381" s="57"/>
      <c r="H1381" s="4" t="s">
        <v>7281</v>
      </c>
      <c r="I1381" s="4"/>
      <c r="J1381" s="4"/>
      <c r="K1381" s="54"/>
      <c r="L1381" s="57"/>
      <c r="M1381" s="57"/>
      <c r="N1381" s="806" t="s">
        <v>7686</v>
      </c>
      <c r="O1381" s="4">
        <v>292623768</v>
      </c>
      <c r="P1381" s="4">
        <v>292623798</v>
      </c>
      <c r="Q1381" s="767"/>
      <c r="R1381" s="767"/>
      <c r="S1381" s="4"/>
      <c r="T1381" s="4"/>
      <c r="U1381" s="4"/>
      <c r="V1381" s="4"/>
      <c r="W1381" s="4"/>
      <c r="X1381" s="4"/>
      <c r="Y1381" s="4" t="s">
        <v>4066</v>
      </c>
      <c r="Z1381" s="35"/>
      <c r="AA1381" s="1" t="str">
        <f>IFERROR(VLOOKUP(D:D,[1]Габариты!$A:$I,9,0),"")</f>
        <v>Вакансия</v>
      </c>
      <c r="AB1381" s="6" t="str">
        <f>IFERROR(VLOOKUP(D:D,[1]Габариты!$A:$D,4,0),"")</f>
        <v>СТОЛЫ ОБЕДЕННЫЕ</v>
      </c>
      <c r="AC1381" s="39">
        <f t="shared" si="197"/>
        <v>12351</v>
      </c>
      <c r="AD1381" s="13" t="str">
        <f t="shared" si="196"/>
        <v>FBS</v>
      </c>
    </row>
    <row r="1382" spans="1:30" s="6" customFormat="1" ht="20.100000000000001" customHeight="1" outlineLevel="1" x14ac:dyDescent="0.25">
      <c r="A1382" s="734" t="s">
        <v>318</v>
      </c>
      <c r="B1382" s="11"/>
      <c r="C1382" s="13" t="s">
        <v>2581</v>
      </c>
      <c r="D1382" s="40">
        <v>12350</v>
      </c>
      <c r="E1382" s="4"/>
      <c r="F1382" s="101">
        <v>12350</v>
      </c>
      <c r="G1382" s="57"/>
      <c r="H1382" s="4" t="s">
        <v>7282</v>
      </c>
      <c r="I1382" s="4"/>
      <c r="J1382" s="4"/>
      <c r="K1382" s="54"/>
      <c r="L1382" s="57"/>
      <c r="M1382" s="57"/>
      <c r="N1382" s="806" t="s">
        <v>7687</v>
      </c>
      <c r="O1382" s="4">
        <v>293816522</v>
      </c>
      <c r="P1382" s="4">
        <v>293816542</v>
      </c>
      <c r="Q1382" s="767"/>
      <c r="R1382" s="767"/>
      <c r="S1382" s="4"/>
      <c r="T1382" s="4"/>
      <c r="U1382" s="4"/>
      <c r="V1382" s="4"/>
      <c r="W1382" s="4"/>
      <c r="X1382" s="4"/>
      <c r="Y1382" s="4" t="s">
        <v>4066</v>
      </c>
      <c r="Z1382" s="35"/>
      <c r="AA1382" s="1" t="str">
        <f>IFERROR(VLOOKUP(D:D,[1]Габариты!$A:$I,9,0),"")</f>
        <v>Вакансия</v>
      </c>
      <c r="AB1382" s="6" t="str">
        <f>IFERROR(VLOOKUP(D:D,[1]Габариты!$A:$D,4,0),"")</f>
        <v>СТОЛЫ ОБЕДЕННЫЕ</v>
      </c>
      <c r="AC1382" s="39">
        <f t="shared" si="197"/>
        <v>12350</v>
      </c>
      <c r="AD1382" s="13" t="str">
        <f t="shared" si="196"/>
        <v>FBS</v>
      </c>
    </row>
    <row r="1383" spans="1:30" s="6" customFormat="1" ht="20.100000000000001" customHeight="1" outlineLevel="1" x14ac:dyDescent="0.25">
      <c r="A1383" s="734" t="s">
        <v>320</v>
      </c>
      <c r="B1383" s="11"/>
      <c r="C1383" s="13" t="s">
        <v>2581</v>
      </c>
      <c r="D1383" s="40">
        <v>12352</v>
      </c>
      <c r="E1383" s="4"/>
      <c r="F1383" s="101">
        <v>12352</v>
      </c>
      <c r="G1383" s="57"/>
      <c r="H1383" s="4" t="s">
        <v>7283</v>
      </c>
      <c r="I1383" s="4"/>
      <c r="J1383" s="4"/>
      <c r="K1383" s="54"/>
      <c r="L1383" s="57"/>
      <c r="M1383" s="57"/>
      <c r="N1383" s="806" t="s">
        <v>7688</v>
      </c>
      <c r="O1383" s="4">
        <v>295794481</v>
      </c>
      <c r="P1383" s="4">
        <v>295794482</v>
      </c>
      <c r="Q1383" s="767"/>
      <c r="R1383" s="767"/>
      <c r="S1383" s="4"/>
      <c r="T1383" s="4"/>
      <c r="U1383" s="4"/>
      <c r="V1383" s="4"/>
      <c r="W1383" s="4"/>
      <c r="X1383" s="4"/>
      <c r="Y1383" s="4" t="s">
        <v>4066</v>
      </c>
      <c r="Z1383" s="35"/>
      <c r="AA1383" s="1" t="str">
        <f>IFERROR(VLOOKUP(D:D,[1]Габариты!$A:$I,9,0),"")</f>
        <v>Вакансия</v>
      </c>
      <c r="AB1383" s="6" t="str">
        <f>IFERROR(VLOOKUP(D:D,[1]Габариты!$A:$D,4,0),"")</f>
        <v>СТОЛЫ ОБЕДЕННЫЕ</v>
      </c>
      <c r="AC1383" s="39">
        <f t="shared" si="197"/>
        <v>12352</v>
      </c>
      <c r="AD1383" s="13" t="str">
        <f t="shared" si="196"/>
        <v>FBS</v>
      </c>
    </row>
    <row r="1384" spans="1:30" s="6" customFormat="1" ht="20.100000000000001" customHeight="1" outlineLevel="1" x14ac:dyDescent="0.25">
      <c r="A1384" s="665" t="s">
        <v>382</v>
      </c>
      <c r="B1384" s="8"/>
      <c r="C1384" s="13" t="s">
        <v>2581</v>
      </c>
      <c r="D1384" s="820">
        <v>4563151</v>
      </c>
      <c r="E1384" s="4"/>
      <c r="F1384" s="101">
        <v>4563151</v>
      </c>
      <c r="G1384" s="57"/>
      <c r="H1384" s="4"/>
      <c r="I1384" s="4"/>
      <c r="J1384" s="4"/>
      <c r="K1384" s="54"/>
      <c r="L1384" s="57"/>
      <c r="M1384" s="57"/>
      <c r="N1384" s="4" t="s">
        <v>2644</v>
      </c>
      <c r="O1384" s="4">
        <v>324362409</v>
      </c>
      <c r="P1384" s="4">
        <v>324362421</v>
      </c>
      <c r="Q1384" s="767" t="s">
        <v>2899</v>
      </c>
      <c r="R1384" s="767">
        <v>342820017</v>
      </c>
      <c r="S1384" s="4">
        <v>342820025</v>
      </c>
      <c r="T1384" s="4"/>
      <c r="U1384" s="4"/>
      <c r="V1384" s="4"/>
      <c r="W1384" s="4"/>
      <c r="X1384" s="4"/>
      <c r="Y1384" s="4" t="s">
        <v>4066</v>
      </c>
      <c r="Z1384" s="35"/>
      <c r="AA1384" s="1" t="str">
        <f>IFERROR(VLOOKUP(D:D,[1]Габариты!$A:$I,9,0),"")</f>
        <v>Вакансия</v>
      </c>
      <c r="AB1384" s="6" t="str">
        <f>IFERROR(VLOOKUP(D:D,[1]Габариты!$A:$D,4,0),"")</f>
        <v>СТОЛЫ ОБЕДЕННЫЕ</v>
      </c>
      <c r="AC1384" s="39">
        <f t="shared" si="197"/>
        <v>4563151</v>
      </c>
      <c r="AD1384" s="13" t="str">
        <f t="shared" si="196"/>
        <v>FBS</v>
      </c>
    </row>
    <row r="1385" spans="1:30" s="6" customFormat="1" ht="20.100000000000001" customHeight="1" outlineLevel="1" x14ac:dyDescent="0.25">
      <c r="A1385" s="635" t="s">
        <v>105</v>
      </c>
      <c r="B1385" s="3"/>
      <c r="C1385" s="13" t="s">
        <v>2581</v>
      </c>
      <c r="D1385" s="39">
        <v>2625</v>
      </c>
      <c r="E1385" s="4">
        <v>23</v>
      </c>
      <c r="F1385" s="101">
        <v>2625</v>
      </c>
      <c r="G1385" s="57" t="s">
        <v>4843</v>
      </c>
      <c r="H1385" s="4" t="s">
        <v>7284</v>
      </c>
      <c r="I1385" s="4"/>
      <c r="J1385" s="4"/>
      <c r="K1385" s="54" t="s">
        <v>2430</v>
      </c>
      <c r="L1385" s="57">
        <v>200047765</v>
      </c>
      <c r="M1385" s="57">
        <v>200047765</v>
      </c>
      <c r="N1385" s="4" t="s">
        <v>2645</v>
      </c>
      <c r="O1385" s="4">
        <v>267581889</v>
      </c>
      <c r="P1385" s="4">
        <v>267581912</v>
      </c>
      <c r="Q1385" s="767" t="s">
        <v>2900</v>
      </c>
      <c r="R1385" s="767">
        <v>358849272</v>
      </c>
      <c r="S1385" s="4">
        <v>358849271</v>
      </c>
      <c r="T1385" s="4"/>
      <c r="U1385" s="4"/>
      <c r="V1385" s="4"/>
      <c r="W1385" s="4" t="s">
        <v>2430</v>
      </c>
      <c r="X1385" s="4"/>
      <c r="Y1385" s="4" t="s">
        <v>4066</v>
      </c>
      <c r="Z1385" s="35"/>
      <c r="AA1385" s="1" t="str">
        <f>IFERROR(VLOOKUP(D:D,[1]Габариты!$A:$I,9,0),"")</f>
        <v>Вакансия</v>
      </c>
      <c r="AB1385" s="6" t="str">
        <f>IFERROR(VLOOKUP(D:D,[1]Габариты!$A:$D,4,0),"")</f>
        <v>СТОЛЫ ОБЕДЕННЫЕ</v>
      </c>
      <c r="AC1385" s="39">
        <f t="shared" si="197"/>
        <v>2625</v>
      </c>
      <c r="AD1385" s="13" t="str">
        <f t="shared" si="196"/>
        <v>FBS</v>
      </c>
    </row>
    <row r="1386" spans="1:30" s="6" customFormat="1" ht="20.100000000000001" customHeight="1" outlineLevel="1" x14ac:dyDescent="0.25">
      <c r="A1386" s="635" t="s">
        <v>116</v>
      </c>
      <c r="B1386" s="3"/>
      <c r="C1386" s="13" t="s">
        <v>2581</v>
      </c>
      <c r="D1386" s="39">
        <v>2646</v>
      </c>
      <c r="E1386" s="4">
        <v>22</v>
      </c>
      <c r="F1386" s="101">
        <v>2646</v>
      </c>
      <c r="G1386" s="57" t="s">
        <v>4855</v>
      </c>
      <c r="H1386" s="4" t="s">
        <v>7285</v>
      </c>
      <c r="I1386" s="4" t="s">
        <v>1278</v>
      </c>
      <c r="J1386" s="4"/>
      <c r="K1386" s="54"/>
      <c r="L1386" s="57"/>
      <c r="M1386" s="57"/>
      <c r="N1386" s="4" t="s">
        <v>635</v>
      </c>
      <c r="O1386" s="4">
        <v>267078615</v>
      </c>
      <c r="P1386" s="4">
        <v>267078626</v>
      </c>
      <c r="Q1386" s="767" t="s">
        <v>2901</v>
      </c>
      <c r="R1386" s="767">
        <v>370372926</v>
      </c>
      <c r="S1386" s="4">
        <v>370372927</v>
      </c>
      <c r="T1386" s="4"/>
      <c r="U1386" s="4"/>
      <c r="V1386" s="4"/>
      <c r="W1386" s="4" t="s">
        <v>2431</v>
      </c>
      <c r="X1386" s="4" t="s">
        <v>635</v>
      </c>
      <c r="Y1386" s="4">
        <v>2646</v>
      </c>
      <c r="Z1386" s="35"/>
      <c r="AA1386" s="1" t="str">
        <f>IFERROR(VLOOKUP(D:D,[1]Габариты!$A:$I,9,0),"")</f>
        <v>Вакансия</v>
      </c>
      <c r="AB1386" s="6" t="str">
        <f>IFERROR(VLOOKUP(D:D,[1]Габариты!$A:$D,4,0),"")</f>
        <v>СТОЛЫ ОБЕДЕННЫЕ</v>
      </c>
      <c r="AC1386" s="39">
        <f t="shared" si="197"/>
        <v>2646</v>
      </c>
      <c r="AD1386" s="13" t="str">
        <f t="shared" si="196"/>
        <v>FBS</v>
      </c>
    </row>
    <row r="1387" spans="1:30" s="6" customFormat="1" ht="20.100000000000001" customHeight="1" outlineLevel="1" x14ac:dyDescent="0.25">
      <c r="A1387" s="635" t="s">
        <v>120</v>
      </c>
      <c r="B1387" s="3"/>
      <c r="C1387" s="13" t="s">
        <v>2581</v>
      </c>
      <c r="D1387" s="39">
        <v>2665</v>
      </c>
      <c r="E1387" s="4">
        <v>22</v>
      </c>
      <c r="F1387" s="101">
        <v>2665</v>
      </c>
      <c r="G1387" s="57" t="s">
        <v>4860</v>
      </c>
      <c r="H1387" s="4" t="s">
        <v>7286</v>
      </c>
      <c r="I1387" s="4" t="s">
        <v>1282</v>
      </c>
      <c r="J1387" s="4"/>
      <c r="K1387" s="54"/>
      <c r="L1387" s="57"/>
      <c r="M1387" s="57"/>
      <c r="N1387" s="4" t="s">
        <v>640</v>
      </c>
      <c r="O1387" s="4">
        <v>262669527</v>
      </c>
      <c r="P1387" s="4">
        <v>262669533</v>
      </c>
      <c r="Q1387" s="767" t="s">
        <v>2903</v>
      </c>
      <c r="R1387" s="767">
        <v>346564266</v>
      </c>
      <c r="S1387" s="4">
        <v>346564286</v>
      </c>
      <c r="T1387" s="4"/>
      <c r="U1387" s="4"/>
      <c r="V1387" s="4"/>
      <c r="W1387" s="4" t="s">
        <v>2435</v>
      </c>
      <c r="X1387" s="4" t="s">
        <v>640</v>
      </c>
      <c r="Y1387" s="4">
        <v>2665</v>
      </c>
      <c r="Z1387" s="35"/>
      <c r="AA1387" s="1" t="str">
        <f>IFERROR(VLOOKUP(D:D,[1]Габариты!$A:$I,9,0),"")</f>
        <v>Вакансия</v>
      </c>
      <c r="AB1387" s="6" t="str">
        <f>IFERROR(VLOOKUP(D:D,[1]Габариты!$A:$D,4,0),"")</f>
        <v>СТОЛЫ ОБЕДЕННЫЕ</v>
      </c>
      <c r="AC1387" s="39">
        <f t="shared" si="197"/>
        <v>2665</v>
      </c>
      <c r="AD1387" s="13" t="str">
        <f t="shared" si="196"/>
        <v>FBS</v>
      </c>
    </row>
    <row r="1388" spans="1:30" s="6" customFormat="1" ht="20.100000000000001" customHeight="1" outlineLevel="1" x14ac:dyDescent="0.25">
      <c r="A1388" s="635" t="s">
        <v>117</v>
      </c>
      <c r="B1388" s="3"/>
      <c r="C1388" s="13" t="s">
        <v>2581</v>
      </c>
      <c r="D1388" s="39">
        <v>2648</v>
      </c>
      <c r="E1388" s="4">
        <v>20</v>
      </c>
      <c r="F1388" s="101">
        <v>2648</v>
      </c>
      <c r="G1388" s="57" t="s">
        <v>4856</v>
      </c>
      <c r="H1388" s="4" t="s">
        <v>7287</v>
      </c>
      <c r="I1388" s="4"/>
      <c r="J1388" s="4"/>
      <c r="K1388" s="54" t="s">
        <v>2436</v>
      </c>
      <c r="L1388" s="57">
        <v>238441032</v>
      </c>
      <c r="M1388" s="57">
        <v>238441032</v>
      </c>
      <c r="N1388" s="4" t="s">
        <v>636</v>
      </c>
      <c r="O1388" s="4">
        <v>265857294</v>
      </c>
      <c r="P1388" s="4">
        <v>265857297</v>
      </c>
      <c r="Q1388" s="767"/>
      <c r="R1388" s="767"/>
      <c r="S1388" s="4"/>
      <c r="T1388" s="4"/>
      <c r="U1388" s="4"/>
      <c r="V1388" s="4"/>
      <c r="W1388" s="4" t="s">
        <v>2436</v>
      </c>
      <c r="X1388" s="4" t="s">
        <v>636</v>
      </c>
      <c r="Y1388" s="4">
        <v>2648</v>
      </c>
      <c r="Z1388" s="35"/>
      <c r="AA1388" s="1" t="str">
        <f>IFERROR(VLOOKUP(D:D,[1]Габариты!$A:$I,9,0),"")</f>
        <v>Вакансия</v>
      </c>
      <c r="AB1388" s="6" t="str">
        <f>IFERROR(VLOOKUP(D:D,[1]Габариты!$A:$D,4,0),"")</f>
        <v>СТОЛЫ ОБЕДЕННЫЕ</v>
      </c>
      <c r="AC1388" s="39">
        <f t="shared" si="197"/>
        <v>2648</v>
      </c>
      <c r="AD1388" s="13" t="str">
        <f t="shared" si="196"/>
        <v>FBS</v>
      </c>
    </row>
    <row r="1389" spans="1:30" s="6" customFormat="1" ht="20.100000000000001" customHeight="1" outlineLevel="1" x14ac:dyDescent="0.25">
      <c r="A1389" s="635" t="s">
        <v>163</v>
      </c>
      <c r="B1389" s="3"/>
      <c r="C1389" s="13" t="s">
        <v>2581</v>
      </c>
      <c r="D1389" s="39">
        <v>2666</v>
      </c>
      <c r="E1389" s="4">
        <v>20</v>
      </c>
      <c r="F1389" s="101">
        <v>2666</v>
      </c>
      <c r="G1389" s="57" t="s">
        <v>4861</v>
      </c>
      <c r="H1389" s="4" t="s">
        <v>7288</v>
      </c>
      <c r="I1389" s="4"/>
      <c r="J1389" s="4"/>
      <c r="K1389" s="54"/>
      <c r="L1389" s="57"/>
      <c r="M1389" s="57"/>
      <c r="N1389" s="4" t="s">
        <v>641</v>
      </c>
      <c r="O1389" s="4">
        <v>266915467</v>
      </c>
      <c r="P1389" s="4">
        <v>266915470</v>
      </c>
      <c r="Q1389" s="767"/>
      <c r="R1389" s="767"/>
      <c r="S1389" s="4"/>
      <c r="T1389" s="4"/>
      <c r="U1389" s="4"/>
      <c r="V1389" s="4"/>
      <c r="W1389" s="4" t="s">
        <v>2437</v>
      </c>
      <c r="X1389" s="4" t="s">
        <v>641</v>
      </c>
      <c r="Y1389" s="4" t="s">
        <v>4066</v>
      </c>
      <c r="Z1389" s="35"/>
      <c r="AA1389" s="1" t="str">
        <f>IFERROR(VLOOKUP(D:D,[1]Габариты!$A:$I,9,0),"")</f>
        <v>Вакансия</v>
      </c>
      <c r="AB1389" s="6" t="str">
        <f>IFERROR(VLOOKUP(D:D,[1]Габариты!$A:$D,4,0),"")</f>
        <v>СТОЛЫ ОБЕДЕННЫЕ</v>
      </c>
      <c r="AC1389" s="39">
        <f t="shared" si="197"/>
        <v>2666</v>
      </c>
      <c r="AD1389" s="13" t="str">
        <f t="shared" si="196"/>
        <v>FBS</v>
      </c>
    </row>
    <row r="1390" spans="1:30" s="6" customFormat="1" ht="20.100000000000001" customHeight="1" outlineLevel="1" x14ac:dyDescent="0.25">
      <c r="A1390" s="635" t="s">
        <v>152</v>
      </c>
      <c r="B1390" s="3"/>
      <c r="C1390" s="13" t="s">
        <v>2581</v>
      </c>
      <c r="D1390" s="39">
        <v>2649</v>
      </c>
      <c r="E1390" s="4">
        <v>20</v>
      </c>
      <c r="F1390" s="101">
        <v>2649</v>
      </c>
      <c r="G1390" s="57"/>
      <c r="H1390" s="4"/>
      <c r="I1390" s="4"/>
      <c r="J1390" s="4"/>
      <c r="K1390" s="54"/>
      <c r="L1390" s="57"/>
      <c r="M1390" s="57"/>
      <c r="N1390" s="766"/>
      <c r="O1390" s="4"/>
      <c r="P1390" s="4"/>
      <c r="Q1390" s="767"/>
      <c r="R1390" s="767"/>
      <c r="S1390" s="4"/>
      <c r="T1390" s="4"/>
      <c r="U1390" s="4"/>
      <c r="V1390" s="4"/>
      <c r="W1390" s="4" t="s">
        <v>2438</v>
      </c>
      <c r="X1390" s="4"/>
      <c r="Y1390" s="4" t="s">
        <v>4066</v>
      </c>
      <c r="Z1390" s="35"/>
      <c r="AA1390" s="1" t="str">
        <f>IFERROR(VLOOKUP(D:D,[1]Габариты!$A:$I,9,0),"")</f>
        <v>Вакансия</v>
      </c>
      <c r="AB1390" s="6" t="str">
        <f>IFERROR(VLOOKUP(D:D,[1]Габариты!$A:$D,4,0),"")</f>
        <v>СТОЛЫ ОБЕДЕННЫЕ</v>
      </c>
      <c r="AC1390" s="39">
        <f t="shared" si="197"/>
        <v>2649</v>
      </c>
      <c r="AD1390" s="13" t="str">
        <f t="shared" si="196"/>
        <v>FBS</v>
      </c>
    </row>
    <row r="1391" spans="1:30" s="6" customFormat="1" ht="20.100000000000001" customHeight="1" outlineLevel="1" x14ac:dyDescent="0.25">
      <c r="A1391" s="665" t="s">
        <v>315</v>
      </c>
      <c r="B1391" s="5"/>
      <c r="C1391" s="13" t="s">
        <v>2581</v>
      </c>
      <c r="D1391" s="820">
        <v>9394</v>
      </c>
      <c r="E1391" s="4">
        <v>30</v>
      </c>
      <c r="F1391" s="101">
        <v>9394</v>
      </c>
      <c r="G1391" s="57"/>
      <c r="H1391" s="4" t="s">
        <v>7289</v>
      </c>
      <c r="I1391" s="4" t="s">
        <v>1284</v>
      </c>
      <c r="J1391" s="4"/>
      <c r="K1391" s="54"/>
      <c r="L1391" s="57"/>
      <c r="M1391" s="57"/>
      <c r="N1391" s="4" t="s">
        <v>908</v>
      </c>
      <c r="O1391" s="4">
        <v>323335239</v>
      </c>
      <c r="P1391" s="4">
        <v>323335263</v>
      </c>
      <c r="Q1391" s="767" t="s">
        <v>2905</v>
      </c>
      <c r="R1391" s="767">
        <v>340929131</v>
      </c>
      <c r="S1391" s="4">
        <v>340929132</v>
      </c>
      <c r="T1391" s="4"/>
      <c r="U1391" s="4"/>
      <c r="V1391" s="4"/>
      <c r="W1391" s="4" t="s">
        <v>2440</v>
      </c>
      <c r="X1391" s="4" t="s">
        <v>908</v>
      </c>
      <c r="Y1391" s="4" t="s">
        <v>4066</v>
      </c>
      <c r="Z1391" s="35"/>
      <c r="AA1391" s="1" t="str">
        <f>IFERROR(VLOOKUP(D:D,[1]Габариты!$A:$I,9,0),"")</f>
        <v>Вакансия</v>
      </c>
      <c r="AB1391" s="6" t="str">
        <f>IFERROR(VLOOKUP(D:D,[1]Габариты!$A:$D,4,0),"")</f>
        <v>СТОЛЫ ОБЕДЕННЫЕ</v>
      </c>
      <c r="AC1391" s="39">
        <f t="shared" si="197"/>
        <v>9394</v>
      </c>
      <c r="AD1391" s="13" t="str">
        <f t="shared" si="196"/>
        <v>FBS</v>
      </c>
    </row>
    <row r="1392" spans="1:30" s="6" customFormat="1" ht="20.100000000000001" customHeight="1" outlineLevel="1" x14ac:dyDescent="0.25">
      <c r="A1392" s="665" t="s">
        <v>316</v>
      </c>
      <c r="B1392" s="5"/>
      <c r="C1392" s="13" t="s">
        <v>2581</v>
      </c>
      <c r="D1392" s="820">
        <v>9395</v>
      </c>
      <c r="E1392" s="4">
        <v>30</v>
      </c>
      <c r="F1392" s="101">
        <v>9395</v>
      </c>
      <c r="G1392" s="57"/>
      <c r="H1392" s="4" t="s">
        <v>7290</v>
      </c>
      <c r="I1392" s="4" t="s">
        <v>1285</v>
      </c>
      <c r="J1392" s="4"/>
      <c r="K1392" s="54"/>
      <c r="L1392" s="57"/>
      <c r="M1392" s="57"/>
      <c r="N1392" s="4" t="s">
        <v>909</v>
      </c>
      <c r="O1392" s="4">
        <v>322910998</v>
      </c>
      <c r="P1392" s="4">
        <v>322911020</v>
      </c>
      <c r="Q1392" s="767"/>
      <c r="R1392" s="767"/>
      <c r="S1392" s="4"/>
      <c r="T1392" s="4"/>
      <c r="U1392" s="4"/>
      <c r="V1392" s="4"/>
      <c r="W1392" s="4" t="s">
        <v>2441</v>
      </c>
      <c r="X1392" s="4" t="s">
        <v>909</v>
      </c>
      <c r="Y1392" s="4" t="s">
        <v>4066</v>
      </c>
      <c r="Z1392" s="35"/>
      <c r="AA1392" s="1" t="str">
        <f>IFERROR(VLOOKUP(D:D,[1]Габариты!$A:$I,9,0),"")</f>
        <v>Вакансия</v>
      </c>
      <c r="AB1392" s="6" t="str">
        <f>IFERROR(VLOOKUP(D:D,[1]Габариты!$A:$D,4,0),"")</f>
        <v>СТОЛЫ ОБЕДЕННЫЕ</v>
      </c>
      <c r="AC1392" s="39">
        <f t="shared" si="197"/>
        <v>9395</v>
      </c>
      <c r="AD1392" s="13" t="str">
        <f t="shared" si="196"/>
        <v>FBS</v>
      </c>
    </row>
    <row r="1393" spans="1:30" s="6" customFormat="1" ht="20.100000000000001" customHeight="1" outlineLevel="1" x14ac:dyDescent="0.25">
      <c r="A1393" s="635" t="s">
        <v>108</v>
      </c>
      <c r="B1393" s="3"/>
      <c r="C1393" s="13" t="s">
        <v>2581</v>
      </c>
      <c r="D1393" s="39">
        <v>2851</v>
      </c>
      <c r="E1393" s="4">
        <v>30</v>
      </c>
      <c r="F1393" s="101">
        <v>2851</v>
      </c>
      <c r="G1393" s="57" t="s">
        <v>4883</v>
      </c>
      <c r="H1393" s="4" t="s">
        <v>7291</v>
      </c>
      <c r="I1393" s="4" t="s">
        <v>1286</v>
      </c>
      <c r="J1393" s="4"/>
      <c r="K1393" s="54"/>
      <c r="L1393" s="57"/>
      <c r="M1393" s="57"/>
      <c r="N1393" s="766" t="s">
        <v>661</v>
      </c>
      <c r="O1393" s="818">
        <v>262613135</v>
      </c>
      <c r="P1393" s="818">
        <v>262613142</v>
      </c>
      <c r="Q1393" s="767" t="s">
        <v>2906</v>
      </c>
      <c r="R1393" s="767">
        <v>323294907</v>
      </c>
      <c r="S1393" s="4">
        <v>323294938</v>
      </c>
      <c r="T1393" s="4"/>
      <c r="U1393" s="4"/>
      <c r="V1393" s="4"/>
      <c r="W1393" s="4" t="s">
        <v>2442</v>
      </c>
      <c r="X1393" s="4" t="s">
        <v>661</v>
      </c>
      <c r="Y1393" s="4">
        <v>2851</v>
      </c>
      <c r="Z1393" s="35"/>
      <c r="AA1393" s="1" t="str">
        <f>IFERROR(VLOOKUP(D:D,[1]Габариты!$A:$I,9,0),"")</f>
        <v>Вакансия</v>
      </c>
      <c r="AB1393" s="6" t="str">
        <f>IFERROR(VLOOKUP(D:D,[1]Габариты!$A:$D,4,0),"")</f>
        <v>СТОЛЫ ОБЕДЕННЫЕ</v>
      </c>
      <c r="AC1393" s="39">
        <f t="shared" si="197"/>
        <v>2851</v>
      </c>
      <c r="AD1393" s="13" t="str">
        <f t="shared" si="196"/>
        <v>FBS</v>
      </c>
    </row>
    <row r="1394" spans="1:30" s="6" customFormat="1" ht="20.100000000000001" customHeight="1" outlineLevel="1" x14ac:dyDescent="0.25">
      <c r="A1394" s="635" t="s">
        <v>122</v>
      </c>
      <c r="B1394" s="3"/>
      <c r="C1394" s="13" t="s">
        <v>2581</v>
      </c>
      <c r="D1394" s="39">
        <v>2853</v>
      </c>
      <c r="E1394" s="4">
        <v>26</v>
      </c>
      <c r="F1394" s="101">
        <v>2853</v>
      </c>
      <c r="G1394" s="57" t="s">
        <v>4885</v>
      </c>
      <c r="H1394" s="4" t="s">
        <v>7292</v>
      </c>
      <c r="I1394" s="4" t="s">
        <v>1287</v>
      </c>
      <c r="J1394" s="4"/>
      <c r="K1394" s="54"/>
      <c r="L1394" s="57"/>
      <c r="M1394" s="57"/>
      <c r="N1394" s="4" t="s">
        <v>663</v>
      </c>
      <c r="O1394" s="4">
        <v>263614330</v>
      </c>
      <c r="P1394" s="4">
        <v>263614335</v>
      </c>
      <c r="Q1394" s="767" t="s">
        <v>2907</v>
      </c>
      <c r="R1394" s="767">
        <v>323302535</v>
      </c>
      <c r="S1394" s="4">
        <v>323302597</v>
      </c>
      <c r="T1394" s="4"/>
      <c r="U1394" s="4"/>
      <c r="V1394" s="4"/>
      <c r="W1394" s="4" t="s">
        <v>2443</v>
      </c>
      <c r="X1394" s="4" t="s">
        <v>663</v>
      </c>
      <c r="Y1394" s="4" t="s">
        <v>4066</v>
      </c>
      <c r="Z1394" s="35"/>
      <c r="AA1394" s="1" t="str">
        <f>IFERROR(VLOOKUP(D:D,[1]Габариты!$A:$I,9,0),"")</f>
        <v>Вакансия</v>
      </c>
      <c r="AB1394" s="6" t="str">
        <f>IFERROR(VLOOKUP(D:D,[1]Габариты!$A:$D,4,0),"")</f>
        <v>СТОЛЫ ОБЕДЕННЫЕ</v>
      </c>
      <c r="AC1394" s="39">
        <f t="shared" si="197"/>
        <v>2853</v>
      </c>
      <c r="AD1394" s="13" t="str">
        <f t="shared" si="196"/>
        <v>FBS</v>
      </c>
    </row>
    <row r="1395" spans="1:30" s="6" customFormat="1" ht="20.100000000000001" customHeight="1" outlineLevel="1" x14ac:dyDescent="0.25">
      <c r="A1395" s="635" t="s">
        <v>134</v>
      </c>
      <c r="B1395" s="3"/>
      <c r="C1395" s="13" t="s">
        <v>2581</v>
      </c>
      <c r="D1395" s="39">
        <v>2439</v>
      </c>
      <c r="E1395" s="4">
        <v>18</v>
      </c>
      <c r="F1395" s="101">
        <v>2439</v>
      </c>
      <c r="G1395" s="57"/>
      <c r="H1395" s="4"/>
      <c r="I1395" s="4"/>
      <c r="J1395" s="4"/>
      <c r="K1395" s="54"/>
      <c r="L1395" s="57"/>
      <c r="M1395" s="57"/>
      <c r="N1395" s="766"/>
      <c r="O1395" s="4"/>
      <c r="P1395" s="4"/>
      <c r="Q1395" s="767"/>
      <c r="R1395" s="767"/>
      <c r="S1395" s="4"/>
      <c r="T1395" s="4"/>
      <c r="U1395" s="4"/>
      <c r="V1395" s="4"/>
      <c r="W1395" s="4" t="s">
        <v>2444</v>
      </c>
      <c r="X1395" s="4"/>
      <c r="Y1395" s="4" t="s">
        <v>4066</v>
      </c>
      <c r="Z1395" s="35"/>
      <c r="AA1395" s="1" t="str">
        <f>IFERROR(VLOOKUP(D:D,[1]Габариты!$A:$I,9,0),"")</f>
        <v>Вакансия</v>
      </c>
      <c r="AB1395" s="6" t="str">
        <f>IFERROR(VLOOKUP(D:D,[1]Габариты!$A:$D,4,0),"")</f>
        <v>СТОЛЫ ОБЕДЕННЫЕ</v>
      </c>
      <c r="AC1395" s="39">
        <f t="shared" si="197"/>
        <v>2439</v>
      </c>
      <c r="AD1395" s="13" t="str">
        <f t="shared" si="196"/>
        <v>FBS</v>
      </c>
    </row>
    <row r="1396" spans="1:30" s="6" customFormat="1" ht="20.100000000000001" customHeight="1" outlineLevel="1" x14ac:dyDescent="0.25">
      <c r="A1396" s="635" t="s">
        <v>133</v>
      </c>
      <c r="B1396" s="3"/>
      <c r="C1396" s="13" t="s">
        <v>2581</v>
      </c>
      <c r="D1396" s="39">
        <v>2438</v>
      </c>
      <c r="E1396" s="4">
        <v>18</v>
      </c>
      <c r="F1396" s="101">
        <v>2438</v>
      </c>
      <c r="G1396" s="57"/>
      <c r="H1396" s="4"/>
      <c r="I1396" s="4"/>
      <c r="J1396" s="4"/>
      <c r="K1396" s="54"/>
      <c r="L1396" s="57"/>
      <c r="M1396" s="57"/>
      <c r="N1396" s="766"/>
      <c r="O1396" s="4"/>
      <c r="P1396" s="4"/>
      <c r="Q1396" s="767"/>
      <c r="R1396" s="767"/>
      <c r="S1396" s="4"/>
      <c r="T1396" s="4"/>
      <c r="U1396" s="4"/>
      <c r="V1396" s="4"/>
      <c r="W1396" s="4" t="s">
        <v>2445</v>
      </c>
      <c r="X1396" s="4"/>
      <c r="Y1396" s="4" t="s">
        <v>4066</v>
      </c>
      <c r="Z1396" s="35"/>
      <c r="AA1396" s="1" t="str">
        <f>IFERROR(VLOOKUP(D:D,[1]Габариты!$A:$I,9,0),"")</f>
        <v>Вакансия</v>
      </c>
      <c r="AB1396" s="6" t="str">
        <f>IFERROR(VLOOKUP(D:D,[1]Габариты!$A:$D,4,0),"")</f>
        <v>СТОЛЫ ОБЕДЕННЫЕ</v>
      </c>
      <c r="AC1396" s="39">
        <f t="shared" si="197"/>
        <v>2438</v>
      </c>
      <c r="AD1396" s="13" t="str">
        <f t="shared" si="196"/>
        <v>FBS</v>
      </c>
    </row>
    <row r="1397" spans="1:30" s="6" customFormat="1" ht="20.100000000000001" customHeight="1" outlineLevel="1" x14ac:dyDescent="0.25">
      <c r="A1397" s="635" t="s">
        <v>1543</v>
      </c>
      <c r="B1397" s="25"/>
      <c r="C1397" s="13" t="s">
        <v>2581</v>
      </c>
      <c r="D1397" s="40">
        <v>517101</v>
      </c>
      <c r="E1397" s="4">
        <v>10</v>
      </c>
      <c r="F1397" s="101">
        <v>517101</v>
      </c>
      <c r="G1397" s="57"/>
      <c r="H1397" s="4" t="s">
        <v>7293</v>
      </c>
      <c r="I1397" s="4"/>
      <c r="J1397" s="4"/>
      <c r="K1397" s="54"/>
      <c r="L1397" s="57"/>
      <c r="M1397" s="57"/>
      <c r="N1397" s="4" t="s">
        <v>1627</v>
      </c>
      <c r="O1397" s="4">
        <v>789972677</v>
      </c>
      <c r="P1397" s="4">
        <v>789972678</v>
      </c>
      <c r="Q1397" s="767"/>
      <c r="R1397" s="767"/>
      <c r="S1397" s="4"/>
      <c r="T1397" s="4"/>
      <c r="U1397" s="4"/>
      <c r="V1397" s="4"/>
      <c r="W1397" s="4"/>
      <c r="X1397" s="4" t="s">
        <v>1627</v>
      </c>
      <c r="Y1397" s="4">
        <v>517101</v>
      </c>
      <c r="Z1397" s="35"/>
      <c r="AA1397" s="1" t="str">
        <f>IFERROR(VLOOKUP(D:D,[1]Габариты!$A:$I,9,0),"")</f>
        <v>Вакансия</v>
      </c>
      <c r="AB1397" s="6" t="str">
        <f>IFERROR(VLOOKUP(D:D,[1]Габариты!$A:$D,4,0),"")</f>
        <v>СТОЛЫ ОБЕДЕННЫЕ</v>
      </c>
      <c r="AC1397" s="39">
        <f t="shared" si="197"/>
        <v>517101</v>
      </c>
      <c r="AD1397" s="13" t="str">
        <f t="shared" si="196"/>
        <v>FBS</v>
      </c>
    </row>
    <row r="1398" spans="1:30" s="6" customFormat="1" ht="20.100000000000001" customHeight="1" outlineLevel="1" x14ac:dyDescent="0.25">
      <c r="A1398" s="635" t="s">
        <v>1544</v>
      </c>
      <c r="B1398" s="25"/>
      <c r="C1398" s="13" t="s">
        <v>2581</v>
      </c>
      <c r="D1398" s="40">
        <v>517102</v>
      </c>
      <c r="E1398" s="4">
        <v>10</v>
      </c>
      <c r="F1398" s="101">
        <v>517102</v>
      </c>
      <c r="G1398" s="57"/>
      <c r="H1398" s="4" t="s">
        <v>7294</v>
      </c>
      <c r="I1398" s="4"/>
      <c r="J1398" s="4"/>
      <c r="K1398" s="54"/>
      <c r="L1398" s="57"/>
      <c r="M1398" s="57"/>
      <c r="N1398" s="4" t="s">
        <v>1628</v>
      </c>
      <c r="O1398" s="4">
        <v>773942639</v>
      </c>
      <c r="P1398" s="4">
        <v>773942638</v>
      </c>
      <c r="Q1398" s="767"/>
      <c r="R1398" s="767"/>
      <c r="S1398" s="4"/>
      <c r="T1398" s="4"/>
      <c r="U1398" s="4"/>
      <c r="V1398" s="4"/>
      <c r="W1398" s="4"/>
      <c r="X1398" s="4" t="s">
        <v>1628</v>
      </c>
      <c r="Y1398" s="4">
        <v>517102</v>
      </c>
      <c r="Z1398" s="35"/>
      <c r="AA1398" s="1" t="str">
        <f>IFERROR(VLOOKUP(D:D,[1]Габариты!$A:$I,9,0),"")</f>
        <v>Вакансия</v>
      </c>
      <c r="AB1398" s="6" t="str">
        <f>IFERROR(VLOOKUP(D:D,[1]Габариты!$A:$D,4,0),"")</f>
        <v>СТОЛЫ ОБЕДЕННЫЕ</v>
      </c>
      <c r="AC1398" s="39">
        <f t="shared" si="197"/>
        <v>517102</v>
      </c>
      <c r="AD1398" s="13" t="str">
        <f t="shared" si="196"/>
        <v>FBS</v>
      </c>
    </row>
    <row r="1399" spans="1:30" s="6" customFormat="1" ht="20.100000000000001" customHeight="1" outlineLevel="1" x14ac:dyDescent="0.25">
      <c r="A1399" s="635" t="s">
        <v>1545</v>
      </c>
      <c r="B1399" s="25"/>
      <c r="C1399" s="13" t="s">
        <v>2581</v>
      </c>
      <c r="D1399" s="40">
        <v>517103</v>
      </c>
      <c r="E1399" s="4">
        <v>10</v>
      </c>
      <c r="F1399" s="101">
        <v>517103</v>
      </c>
      <c r="G1399" s="57"/>
      <c r="H1399" s="4" t="s">
        <v>7295</v>
      </c>
      <c r="I1399" s="4"/>
      <c r="J1399" s="4" t="s">
        <v>1981</v>
      </c>
      <c r="K1399" s="54"/>
      <c r="L1399" s="57"/>
      <c r="M1399" s="57"/>
      <c r="N1399" s="4" t="s">
        <v>1629</v>
      </c>
      <c r="O1399" s="4">
        <v>773946900</v>
      </c>
      <c r="P1399" s="4">
        <v>773946901</v>
      </c>
      <c r="Q1399" s="767"/>
      <c r="R1399" s="767"/>
      <c r="S1399" s="4"/>
      <c r="T1399" s="4"/>
      <c r="U1399" s="4"/>
      <c r="V1399" s="4"/>
      <c r="W1399" s="4"/>
      <c r="X1399" s="4" t="s">
        <v>1629</v>
      </c>
      <c r="Y1399" s="4" t="s">
        <v>4066</v>
      </c>
      <c r="Z1399" s="35"/>
      <c r="AA1399" s="1" t="str">
        <f>IFERROR(VLOOKUP(D:D,[1]Габариты!$A:$I,9,0),"")</f>
        <v>Вакансия</v>
      </c>
      <c r="AB1399" s="6" t="str">
        <f>IFERROR(VLOOKUP(D:D,[1]Габариты!$A:$D,4,0),"")</f>
        <v>СТОЛЫ ОБЕДЕННЫЕ</v>
      </c>
      <c r="AC1399" s="39">
        <f t="shared" si="197"/>
        <v>517103</v>
      </c>
      <c r="AD1399" s="13" t="str">
        <f t="shared" si="196"/>
        <v>FBS</v>
      </c>
    </row>
    <row r="1400" spans="1:30" s="6" customFormat="1" ht="20.100000000000001" customHeight="1" outlineLevel="1" x14ac:dyDescent="0.25">
      <c r="A1400" s="635" t="s">
        <v>1657</v>
      </c>
      <c r="B1400" s="25"/>
      <c r="C1400" s="13" t="s">
        <v>2582</v>
      </c>
      <c r="D1400" s="40">
        <v>3578</v>
      </c>
      <c r="E1400" s="4">
        <v>33</v>
      </c>
      <c r="F1400" s="101">
        <v>3578</v>
      </c>
      <c r="G1400" s="57" t="s">
        <v>5090</v>
      </c>
      <c r="H1400" s="4" t="s">
        <v>7296</v>
      </c>
      <c r="I1400" s="4"/>
      <c r="J1400" s="4"/>
      <c r="K1400" s="54" t="s">
        <v>7866</v>
      </c>
      <c r="L1400" s="57">
        <v>1411123452</v>
      </c>
      <c r="M1400" s="57">
        <v>1411123452</v>
      </c>
      <c r="N1400" s="4" t="s">
        <v>2646</v>
      </c>
      <c r="O1400" s="4">
        <v>807137168</v>
      </c>
      <c r="P1400" s="4">
        <v>807137169</v>
      </c>
      <c r="Q1400" s="767"/>
      <c r="R1400" s="767"/>
      <c r="S1400" s="4"/>
      <c r="T1400" s="4"/>
      <c r="U1400" s="4"/>
      <c r="V1400" s="4"/>
      <c r="W1400" s="4"/>
      <c r="X1400" s="4"/>
      <c r="Y1400" s="4" t="s">
        <v>4066</v>
      </c>
      <c r="Z1400" s="35"/>
      <c r="AA1400" s="1" t="str">
        <f>IFERROR(VLOOKUP(D:D,[1]Габариты!$A:$I,9,0),"")</f>
        <v>Вакансия</v>
      </c>
      <c r="AB1400" s="6" t="str">
        <f>IFERROR(VLOOKUP(D:D,[1]Габариты!$A:$D,4,0),"")</f>
        <v>СТОЛЫ ОБЕДЕННЫЕ</v>
      </c>
      <c r="AC1400" s="39">
        <f t="shared" ref="AC1400:AC1471" si="199">D1400</f>
        <v>3578</v>
      </c>
      <c r="AD1400" s="13" t="str">
        <f t="shared" si="196"/>
        <v>FBO</v>
      </c>
    </row>
    <row r="1401" spans="1:30" s="6" customFormat="1" ht="20.100000000000001" customHeight="1" outlineLevel="1" x14ac:dyDescent="0.25">
      <c r="A1401" s="635" t="s">
        <v>1720</v>
      </c>
      <c r="B1401" s="24"/>
      <c r="C1401" s="13" t="s">
        <v>2582</v>
      </c>
      <c r="D1401" s="40">
        <v>26981</v>
      </c>
      <c r="E1401" s="4">
        <v>17</v>
      </c>
      <c r="F1401" s="101"/>
      <c r="G1401" s="57"/>
      <c r="H1401" s="4" t="s">
        <v>6899</v>
      </c>
      <c r="I1401" s="4"/>
      <c r="J1401" s="4" t="s">
        <v>3153</v>
      </c>
      <c r="K1401" s="54"/>
      <c r="L1401" s="57"/>
      <c r="M1401" s="57"/>
      <c r="N1401" s="4" t="s">
        <v>1742</v>
      </c>
      <c r="O1401" s="4">
        <v>840624413</v>
      </c>
      <c r="P1401" s="4">
        <v>840624414</v>
      </c>
      <c r="Q1401" s="767"/>
      <c r="R1401" s="767"/>
      <c r="S1401" s="4"/>
      <c r="T1401" s="4"/>
      <c r="U1401" s="4"/>
      <c r="V1401" s="4"/>
      <c r="W1401" s="4"/>
      <c r="X1401" s="4" t="s">
        <v>1742</v>
      </c>
      <c r="Y1401" s="4">
        <v>26981</v>
      </c>
      <c r="Z1401" s="35"/>
      <c r="AA1401" s="1" t="str">
        <f>IFERROR(VLOOKUP(D:D,[1]Габариты!$A:$I,9,0),"")</f>
        <v>Вакансия</v>
      </c>
      <c r="AB1401" s="6" t="str">
        <f>IFERROR(VLOOKUP(D:D,[1]Габариты!$A:$D,4,0),"")</f>
        <v>СТОЛЫ ОБЕДЕННЫЕ</v>
      </c>
      <c r="AC1401" s="39">
        <f t="shared" si="199"/>
        <v>26981</v>
      </c>
      <c r="AD1401" s="13" t="str">
        <f t="shared" si="196"/>
        <v>FBO</v>
      </c>
    </row>
    <row r="1402" spans="1:30" s="6" customFormat="1" ht="20.100000000000001" customHeight="1" outlineLevel="1" x14ac:dyDescent="0.25">
      <c r="A1402" s="635" t="s">
        <v>1721</v>
      </c>
      <c r="B1402" s="24"/>
      <c r="C1402" s="13" t="s">
        <v>2582</v>
      </c>
      <c r="D1402" s="40">
        <v>26982</v>
      </c>
      <c r="E1402" s="4">
        <v>17</v>
      </c>
      <c r="F1402" s="101"/>
      <c r="G1402" s="57"/>
      <c r="H1402" s="4" t="s">
        <v>6900</v>
      </c>
      <c r="I1402" s="4"/>
      <c r="J1402" s="4" t="s">
        <v>3154</v>
      </c>
      <c r="K1402" s="54"/>
      <c r="L1402" s="57"/>
      <c r="M1402" s="57"/>
      <c r="N1402" s="4" t="s">
        <v>1743</v>
      </c>
      <c r="O1402" s="4">
        <v>840648899</v>
      </c>
      <c r="P1402" s="4">
        <v>840648900</v>
      </c>
      <c r="Q1402" s="767"/>
      <c r="R1402" s="767"/>
      <c r="S1402" s="4"/>
      <c r="T1402" s="4"/>
      <c r="U1402" s="4"/>
      <c r="V1402" s="4"/>
      <c r="W1402" s="4"/>
      <c r="X1402" s="4" t="s">
        <v>1743</v>
      </c>
      <c r="Y1402" s="4">
        <v>26982</v>
      </c>
      <c r="Z1402" s="35"/>
      <c r="AA1402" s="1" t="str">
        <f>IFERROR(VLOOKUP(D:D,[1]Габариты!$A:$I,9,0),"")</f>
        <v>Вакансия</v>
      </c>
      <c r="AB1402" s="6" t="str">
        <f>IFERROR(VLOOKUP(D:D,[1]Габариты!$A:$D,4,0),"")</f>
        <v>СТОЛЫ ОБЕДЕННЫЕ</v>
      </c>
      <c r="AC1402" s="39">
        <f t="shared" si="199"/>
        <v>26982</v>
      </c>
      <c r="AD1402" s="13" t="str">
        <f t="shared" si="196"/>
        <v>FBO</v>
      </c>
    </row>
    <row r="1403" spans="1:30" s="6" customFormat="1" ht="20.100000000000001" customHeight="1" outlineLevel="1" x14ac:dyDescent="0.25">
      <c r="A1403" s="635" t="s">
        <v>1786</v>
      </c>
      <c r="B1403" s="24"/>
      <c r="C1403" s="13" t="s">
        <v>2582</v>
      </c>
      <c r="D1403" s="40">
        <v>26984</v>
      </c>
      <c r="E1403" s="4">
        <v>17</v>
      </c>
      <c r="F1403" s="101"/>
      <c r="G1403" s="57"/>
      <c r="H1403" s="4" t="s">
        <v>6901</v>
      </c>
      <c r="I1403" s="4"/>
      <c r="J1403" s="4" t="s">
        <v>3155</v>
      </c>
      <c r="K1403" s="54"/>
      <c r="L1403" s="57"/>
      <c r="M1403" s="57"/>
      <c r="N1403" s="4" t="s">
        <v>2649</v>
      </c>
      <c r="O1403" s="4">
        <v>904313010</v>
      </c>
      <c r="P1403" s="4">
        <v>904313009</v>
      </c>
      <c r="Q1403" s="767"/>
      <c r="R1403" s="767"/>
      <c r="S1403" s="4"/>
      <c r="T1403" s="4"/>
      <c r="U1403" s="4"/>
      <c r="V1403" s="4"/>
      <c r="W1403" s="4"/>
      <c r="X1403" s="4" t="s">
        <v>2649</v>
      </c>
      <c r="Y1403" s="4" t="s">
        <v>4066</v>
      </c>
      <c r="Z1403" s="35"/>
      <c r="AA1403" s="1" t="str">
        <f>IFERROR(VLOOKUP(D:D,[1]Габариты!$A:$I,9,0),"")</f>
        <v>Вакансия</v>
      </c>
      <c r="AB1403" s="6" t="str">
        <f>IFERROR(VLOOKUP(D:D,[1]Габариты!$A:$D,4,0),"")</f>
        <v>СТОЛЫ ОБЕДЕННЫЕ</v>
      </c>
      <c r="AC1403" s="39">
        <f t="shared" si="199"/>
        <v>26984</v>
      </c>
      <c r="AD1403" s="13" t="str">
        <f t="shared" si="196"/>
        <v>FBO</v>
      </c>
    </row>
    <row r="1404" spans="1:30" s="6" customFormat="1" ht="20.100000000000001" customHeight="1" outlineLevel="1" x14ac:dyDescent="0.25">
      <c r="A1404" s="635" t="s">
        <v>1722</v>
      </c>
      <c r="B1404" s="24"/>
      <c r="C1404" s="13" t="s">
        <v>2582</v>
      </c>
      <c r="D1404" s="40">
        <v>26983</v>
      </c>
      <c r="E1404" s="4">
        <v>17</v>
      </c>
      <c r="F1404" s="101"/>
      <c r="G1404" s="57"/>
      <c r="H1404" s="4" t="s">
        <v>6902</v>
      </c>
      <c r="I1404" s="4"/>
      <c r="J1404" s="4" t="s">
        <v>3156</v>
      </c>
      <c r="K1404" s="54"/>
      <c r="L1404" s="57"/>
      <c r="M1404" s="57"/>
      <c r="N1404" s="4" t="s">
        <v>1744</v>
      </c>
      <c r="O1404" s="4">
        <v>840653218</v>
      </c>
      <c r="P1404" s="4">
        <v>840653217</v>
      </c>
      <c r="Q1404" s="767"/>
      <c r="R1404" s="767"/>
      <c r="S1404" s="4"/>
      <c r="T1404" s="4"/>
      <c r="U1404" s="4"/>
      <c r="V1404" s="4"/>
      <c r="W1404" s="4"/>
      <c r="X1404" s="4" t="s">
        <v>1744</v>
      </c>
      <c r="Y1404" s="4">
        <v>26983</v>
      </c>
      <c r="Z1404" s="35"/>
      <c r="AA1404" s="1" t="str">
        <f>IFERROR(VLOOKUP(D:D,[1]Габариты!$A:$I,9,0),"")</f>
        <v>Вакансия</v>
      </c>
      <c r="AB1404" s="6" t="str">
        <f>IFERROR(VLOOKUP(D:D,[1]Габариты!$A:$D,4,0),"")</f>
        <v>СТОЛЫ ОБЕДЕННЫЕ</v>
      </c>
      <c r="AC1404" s="39">
        <f t="shared" si="199"/>
        <v>26983</v>
      </c>
      <c r="AD1404" s="13" t="str">
        <f t="shared" si="196"/>
        <v>FBO</v>
      </c>
    </row>
    <row r="1405" spans="1:30" s="6" customFormat="1" ht="20.100000000000001" customHeight="1" outlineLevel="1" x14ac:dyDescent="0.25">
      <c r="A1405" s="635" t="s">
        <v>123</v>
      </c>
      <c r="B1405" s="3"/>
      <c r="C1405" s="13" t="s">
        <v>2581</v>
      </c>
      <c r="D1405" s="39">
        <v>2855</v>
      </c>
      <c r="E1405" s="4">
        <v>20</v>
      </c>
      <c r="F1405" s="101">
        <v>2855</v>
      </c>
      <c r="G1405" s="57" t="s">
        <v>4886</v>
      </c>
      <c r="H1405" s="4" t="s">
        <v>6887</v>
      </c>
      <c r="I1405" s="4" t="s">
        <v>1283</v>
      </c>
      <c r="J1405" s="4" t="s">
        <v>1889</v>
      </c>
      <c r="K1405" s="54"/>
      <c r="L1405" s="57"/>
      <c r="M1405" s="57"/>
      <c r="N1405" s="4" t="s">
        <v>664</v>
      </c>
      <c r="O1405" s="4">
        <v>263617140</v>
      </c>
      <c r="P1405" s="4">
        <v>263617149</v>
      </c>
      <c r="Q1405" s="767" t="s">
        <v>2904</v>
      </c>
      <c r="R1405" s="767">
        <v>323278775</v>
      </c>
      <c r="S1405" s="4">
        <v>323278806</v>
      </c>
      <c r="T1405" s="4" t="s">
        <v>3074</v>
      </c>
      <c r="U1405" s="4">
        <v>889293827</v>
      </c>
      <c r="V1405" s="4">
        <v>889293827</v>
      </c>
      <c r="W1405" s="4" t="s">
        <v>2439</v>
      </c>
      <c r="X1405" s="4" t="s">
        <v>664</v>
      </c>
      <c r="Y1405" s="4">
        <v>2855</v>
      </c>
      <c r="Z1405" s="35"/>
      <c r="AA1405" s="1" t="str">
        <f>IFERROR(VLOOKUP(D:D,[1]Габариты!$A:$I,9,0),"")</f>
        <v>Вакансия</v>
      </c>
      <c r="AB1405" s="6" t="str">
        <f>IFERROR(VLOOKUP(D:D,[1]Габариты!$A:$D,4,0),"")</f>
        <v>СТОЛЫ ОБЕДЕННЫЕ</v>
      </c>
      <c r="AC1405" s="39">
        <f t="shared" si="199"/>
        <v>2855</v>
      </c>
      <c r="AD1405" s="13" t="str">
        <f t="shared" ref="AD1405:AD1411" si="200">C1405</f>
        <v>FBS</v>
      </c>
    </row>
    <row r="1406" spans="1:30" s="6" customFormat="1" ht="20.100000000000001" customHeight="1" outlineLevel="1" x14ac:dyDescent="0.25">
      <c r="A1406" s="635" t="s">
        <v>1681</v>
      </c>
      <c r="B1406" s="24"/>
      <c r="C1406" s="13" t="s">
        <v>2581</v>
      </c>
      <c r="D1406" s="40">
        <v>517104</v>
      </c>
      <c r="E1406" s="4">
        <v>10</v>
      </c>
      <c r="F1406" s="101"/>
      <c r="G1406" s="57"/>
      <c r="H1406" s="4" t="s">
        <v>6888</v>
      </c>
      <c r="I1406" s="4"/>
      <c r="J1406" s="4" t="s">
        <v>3637</v>
      </c>
      <c r="K1406" s="54"/>
      <c r="L1406" s="57"/>
      <c r="M1406" s="57"/>
      <c r="N1406" s="4" t="s">
        <v>1703</v>
      </c>
      <c r="O1406" s="4">
        <v>819808200</v>
      </c>
      <c r="P1406" s="4">
        <v>819808199</v>
      </c>
      <c r="Q1406" s="767"/>
      <c r="R1406" s="767"/>
      <c r="S1406" s="4"/>
      <c r="T1406" s="4"/>
      <c r="U1406" s="4"/>
      <c r="V1406" s="4"/>
      <c r="W1406" s="4"/>
      <c r="X1406" s="4" t="s">
        <v>1703</v>
      </c>
      <c r="Y1406" s="4">
        <v>517104</v>
      </c>
      <c r="Z1406" s="35"/>
      <c r="AA1406" s="1" t="str">
        <f>IFERROR(VLOOKUP(D:D,[1]Габариты!$A:$I,9,0),"")</f>
        <v>Вакансия</v>
      </c>
      <c r="AB1406" s="6" t="str">
        <f>IFERROR(VLOOKUP(D:D,[1]Габариты!$A:$D,4,0),"")</f>
        <v>СТОЛЫ ОБЕДЕННЫЕ</v>
      </c>
      <c r="AC1406" s="39">
        <f t="shared" si="199"/>
        <v>517104</v>
      </c>
      <c r="AD1406" s="13" t="str">
        <f t="shared" si="200"/>
        <v>FBS</v>
      </c>
    </row>
    <row r="1407" spans="1:30" s="6" customFormat="1" ht="20.100000000000001" customHeight="1" outlineLevel="1" x14ac:dyDescent="0.25">
      <c r="A1407" s="635" t="s">
        <v>1541</v>
      </c>
      <c r="B1407" s="25"/>
      <c r="C1407" s="13" t="s">
        <v>2581</v>
      </c>
      <c r="D1407" s="40">
        <v>417102</v>
      </c>
      <c r="E1407" s="4">
        <v>8</v>
      </c>
      <c r="F1407" s="101"/>
      <c r="G1407" s="57"/>
      <c r="H1407" s="4" t="s">
        <v>6893</v>
      </c>
      <c r="I1407" s="4"/>
      <c r="J1407" s="4" t="s">
        <v>1979</v>
      </c>
      <c r="K1407" s="54"/>
      <c r="L1407" s="57"/>
      <c r="M1407" s="57"/>
      <c r="N1407" s="4" t="s">
        <v>1625</v>
      </c>
      <c r="O1407" s="4">
        <v>774441373</v>
      </c>
      <c r="P1407" s="4">
        <v>774441372</v>
      </c>
      <c r="Q1407" s="767"/>
      <c r="R1407" s="767"/>
      <c r="S1407" s="4"/>
      <c r="T1407" s="4"/>
      <c r="U1407" s="4"/>
      <c r="V1407" s="4"/>
      <c r="W1407" s="4"/>
      <c r="X1407" s="4" t="s">
        <v>1625</v>
      </c>
      <c r="Y1407" s="4">
        <v>417102</v>
      </c>
      <c r="Z1407" s="35"/>
      <c r="AA1407" s="1" t="str">
        <f>IFERROR(VLOOKUP(D:D,[1]Габариты!$A:$I,9,0),"")</f>
        <v>Вакансия</v>
      </c>
      <c r="AB1407" s="6" t="str">
        <f>IFERROR(VLOOKUP(D:D,[1]Габариты!$A:$D,4,0),"")</f>
        <v>СТОЛЫ ОБЕДЕННЫЕ</v>
      </c>
      <c r="AC1407" s="39">
        <f t="shared" si="199"/>
        <v>417102</v>
      </c>
      <c r="AD1407" s="13" t="str">
        <f t="shared" si="200"/>
        <v>FBS</v>
      </c>
    </row>
    <row r="1408" spans="1:30" s="6" customFormat="1" ht="20.100000000000001" customHeight="1" outlineLevel="1" x14ac:dyDescent="0.25">
      <c r="A1408" s="635" t="s">
        <v>3665</v>
      </c>
      <c r="B1408" s="24"/>
      <c r="C1408" s="13" t="s">
        <v>2581</v>
      </c>
      <c r="D1408" s="40">
        <v>417105</v>
      </c>
      <c r="E1408" s="4">
        <v>8</v>
      </c>
      <c r="F1408" s="101"/>
      <c r="G1408" s="57"/>
      <c r="H1408" s="4" t="s">
        <v>6895</v>
      </c>
      <c r="I1408" s="4"/>
      <c r="J1408" s="4" t="s">
        <v>3801</v>
      </c>
      <c r="K1408" s="54"/>
      <c r="L1408" s="57"/>
      <c r="M1408" s="57"/>
      <c r="N1408" s="4" t="s">
        <v>3710</v>
      </c>
      <c r="O1408" s="4">
        <v>1188720752</v>
      </c>
      <c r="P1408" s="4">
        <v>1188720753</v>
      </c>
      <c r="Q1408" s="767"/>
      <c r="R1408" s="767"/>
      <c r="S1408" s="4"/>
      <c r="T1408" s="4"/>
      <c r="U1408" s="4"/>
      <c r="V1408" s="4"/>
      <c r="W1408" s="4"/>
      <c r="X1408" s="4" t="s">
        <v>3710</v>
      </c>
      <c r="Y1408" s="4" t="s">
        <v>4066</v>
      </c>
      <c r="Z1408" s="35"/>
      <c r="AA1408" s="1" t="str">
        <f>IFERROR(VLOOKUP(D:D,[1]Габариты!$A:$I,9,0),"")</f>
        <v>Вакансия</v>
      </c>
      <c r="AB1408" s="6" t="str">
        <f>IFERROR(VLOOKUP(D:D,[1]Габариты!$A:$D,4,0),"")</f>
        <v>СТОЛЫ ОБЕДЕННЫЕ</v>
      </c>
      <c r="AC1408" s="39">
        <f t="shared" si="199"/>
        <v>417105</v>
      </c>
      <c r="AD1408" s="13" t="str">
        <f t="shared" si="200"/>
        <v>FBS</v>
      </c>
    </row>
    <row r="1409" spans="1:30" s="6" customFormat="1" ht="20.100000000000001" customHeight="1" outlineLevel="1" x14ac:dyDescent="0.25">
      <c r="A1409" s="635" t="s">
        <v>1539</v>
      </c>
      <c r="B1409" s="25"/>
      <c r="C1409" s="13" t="s">
        <v>2581</v>
      </c>
      <c r="D1409" s="40">
        <v>316103</v>
      </c>
      <c r="E1409" s="4">
        <v>8</v>
      </c>
      <c r="F1409" s="101"/>
      <c r="G1409" s="57"/>
      <c r="H1409" s="4" t="s">
        <v>6891</v>
      </c>
      <c r="I1409" s="4"/>
      <c r="J1409" s="4" t="s">
        <v>3754</v>
      </c>
      <c r="K1409" s="54"/>
      <c r="L1409" s="57"/>
      <c r="M1409" s="57"/>
      <c r="N1409" s="4" t="s">
        <v>1623</v>
      </c>
      <c r="O1409" s="4">
        <v>768861181</v>
      </c>
      <c r="P1409" s="4">
        <v>768861180</v>
      </c>
      <c r="Q1409" s="767"/>
      <c r="R1409" s="767"/>
      <c r="S1409" s="4"/>
      <c r="T1409" s="4"/>
      <c r="U1409" s="4"/>
      <c r="V1409" s="4"/>
      <c r="W1409" s="4"/>
      <c r="X1409" s="4" t="s">
        <v>1623</v>
      </c>
      <c r="Y1409" s="4">
        <v>316103</v>
      </c>
      <c r="Z1409" s="35"/>
      <c r="AA1409" s="1" t="str">
        <f>IFERROR(VLOOKUP(D:D,[1]Габариты!$A:$I,9,0),"")</f>
        <v>Вакансия</v>
      </c>
      <c r="AB1409" s="6" t="str">
        <f>IFERROR(VLOOKUP(D:D,[1]Габариты!$A:$D,4,0),"")</f>
        <v>СТОЛЫ ОБЕДЕННЫЕ</v>
      </c>
      <c r="AC1409" s="39">
        <f t="shared" ref="AC1409:AC1416" si="201">D1409</f>
        <v>316103</v>
      </c>
      <c r="AD1409" s="13" t="str">
        <f t="shared" si="200"/>
        <v>FBS</v>
      </c>
    </row>
    <row r="1410" spans="1:30" s="6" customFormat="1" ht="20.100000000000001" customHeight="1" outlineLevel="1" x14ac:dyDescent="0.25">
      <c r="A1410" s="635" t="s">
        <v>1540</v>
      </c>
      <c r="B1410" s="25"/>
      <c r="C1410" s="13" t="s">
        <v>2581</v>
      </c>
      <c r="D1410" s="40">
        <v>417101</v>
      </c>
      <c r="E1410" s="4">
        <v>8</v>
      </c>
      <c r="F1410" s="101"/>
      <c r="G1410" s="57"/>
      <c r="H1410" s="4" t="s">
        <v>6892</v>
      </c>
      <c r="I1410" s="4"/>
      <c r="J1410" s="4" t="s">
        <v>1978</v>
      </c>
      <c r="K1410" s="54"/>
      <c r="L1410" s="57"/>
      <c r="M1410" s="57"/>
      <c r="N1410" s="4" t="s">
        <v>1624</v>
      </c>
      <c r="O1410" s="4">
        <v>774434045</v>
      </c>
      <c r="P1410" s="4">
        <v>774434044</v>
      </c>
      <c r="Q1410" s="767"/>
      <c r="R1410" s="767"/>
      <c r="S1410" s="4"/>
      <c r="T1410" s="4"/>
      <c r="U1410" s="4"/>
      <c r="V1410" s="4"/>
      <c r="W1410" s="4"/>
      <c r="X1410" s="4" t="s">
        <v>1624</v>
      </c>
      <c r="Y1410" s="4">
        <v>417101</v>
      </c>
      <c r="Z1410" s="35"/>
      <c r="AA1410" s="1" t="str">
        <f>IFERROR(VLOOKUP(D:D,[1]Габариты!$A:$I,9,0),"")</f>
        <v>Вакансия</v>
      </c>
      <c r="AB1410" s="6" t="str">
        <f>IFERROR(VLOOKUP(D:D,[1]Габариты!$A:$D,4,0),"")</f>
        <v>СТОЛЫ ОБЕДЕННЫЕ</v>
      </c>
      <c r="AC1410" s="39">
        <f t="shared" si="201"/>
        <v>417101</v>
      </c>
      <c r="AD1410" s="13" t="str">
        <f t="shared" si="200"/>
        <v>FBS</v>
      </c>
    </row>
    <row r="1411" spans="1:30" s="6" customFormat="1" ht="20.100000000000001" customHeight="1" outlineLevel="1" x14ac:dyDescent="0.25">
      <c r="A1411" s="635" t="s">
        <v>1765</v>
      </c>
      <c r="B1411" s="24"/>
      <c r="C1411" s="13" t="s">
        <v>2581</v>
      </c>
      <c r="D1411" s="40">
        <v>417104</v>
      </c>
      <c r="E1411" s="4">
        <v>8</v>
      </c>
      <c r="F1411" s="101"/>
      <c r="G1411" s="57"/>
      <c r="H1411" s="4" t="s">
        <v>6894</v>
      </c>
      <c r="I1411" s="4"/>
      <c r="J1411" s="4" t="s">
        <v>1982</v>
      </c>
      <c r="K1411" s="54"/>
      <c r="L1411" s="57"/>
      <c r="M1411" s="57"/>
      <c r="N1411" s="4" t="s">
        <v>1799</v>
      </c>
      <c r="O1411" s="4">
        <v>882102928</v>
      </c>
      <c r="P1411" s="4">
        <v>882102929</v>
      </c>
      <c r="Q1411" s="767"/>
      <c r="R1411" s="767"/>
      <c r="S1411" s="4"/>
      <c r="T1411" s="4"/>
      <c r="U1411" s="4"/>
      <c r="V1411" s="4"/>
      <c r="W1411" s="4"/>
      <c r="X1411" s="4" t="s">
        <v>1799</v>
      </c>
      <c r="Y1411" s="4" t="s">
        <v>4066</v>
      </c>
      <c r="Z1411" s="35"/>
      <c r="AA1411" s="1" t="str">
        <f>IFERROR(VLOOKUP(D:D,[1]Габариты!$A:$I,9,0),"")</f>
        <v>Вакансия</v>
      </c>
      <c r="AB1411" s="6" t="str">
        <f>IFERROR(VLOOKUP(D:D,[1]Габариты!$A:$D,4,0),"")</f>
        <v>СТОЛЫ ОБЕДЕННЫЕ</v>
      </c>
      <c r="AC1411" s="39">
        <f t="shared" si="201"/>
        <v>417104</v>
      </c>
      <c r="AD1411" s="13" t="str">
        <f t="shared" si="200"/>
        <v>FBS</v>
      </c>
    </row>
    <row r="1412" spans="1:30" s="6" customFormat="1" ht="20.100000000000001" customHeight="1" outlineLevel="1" x14ac:dyDescent="0.25">
      <c r="A1412" s="635" t="s">
        <v>1542</v>
      </c>
      <c r="B1412" s="25"/>
      <c r="C1412" s="13" t="s">
        <v>2581</v>
      </c>
      <c r="D1412" s="40">
        <v>417103</v>
      </c>
      <c r="E1412" s="4">
        <v>8</v>
      </c>
      <c r="F1412" s="101"/>
      <c r="G1412" s="57"/>
      <c r="H1412" s="4" t="s">
        <v>6896</v>
      </c>
      <c r="I1412" s="4"/>
      <c r="J1412" s="4" t="s">
        <v>1980</v>
      </c>
      <c r="K1412" s="54"/>
      <c r="L1412" s="57"/>
      <c r="M1412" s="57"/>
      <c r="N1412" s="4" t="s">
        <v>1626</v>
      </c>
      <c r="O1412" s="4">
        <v>774465811</v>
      </c>
      <c r="P1412" s="4">
        <v>774465813</v>
      </c>
      <c r="Q1412" s="767"/>
      <c r="R1412" s="767"/>
      <c r="S1412" s="4"/>
      <c r="T1412" s="4"/>
      <c r="U1412" s="4"/>
      <c r="V1412" s="4"/>
      <c r="W1412" s="4"/>
      <c r="X1412" s="4" t="s">
        <v>1626</v>
      </c>
      <c r="Y1412" s="4">
        <v>417103</v>
      </c>
      <c r="Z1412" s="35"/>
      <c r="AA1412" s="1" t="str">
        <f>IFERROR(VLOOKUP(D:D,[1]Габариты!$A:$I,9,0),"")</f>
        <v>Вакансия</v>
      </c>
      <c r="AB1412" s="6" t="str">
        <f>IFERROR(VLOOKUP(D:D,[1]Габариты!$A:$D,4,0),"")</f>
        <v>СТОЛЫ ОБЕДЕННЫЕ</v>
      </c>
      <c r="AC1412" s="39">
        <f t="shared" si="201"/>
        <v>417103</v>
      </c>
      <c r="AD1412" s="13" t="str">
        <f>C1412</f>
        <v>FBS</v>
      </c>
    </row>
    <row r="1413" spans="1:30" s="6" customFormat="1" ht="20.100000000000001" customHeight="1" outlineLevel="1" x14ac:dyDescent="0.25">
      <c r="A1413" s="635" t="s">
        <v>1537</v>
      </c>
      <c r="B1413" s="25"/>
      <c r="C1413" s="13" t="s">
        <v>2581</v>
      </c>
      <c r="D1413" s="40">
        <v>316101</v>
      </c>
      <c r="E1413" s="4">
        <v>8</v>
      </c>
      <c r="F1413" s="101"/>
      <c r="G1413" s="57"/>
      <c r="H1413" s="4" t="s">
        <v>6889</v>
      </c>
      <c r="I1413" s="4"/>
      <c r="J1413" s="4" t="s">
        <v>1977</v>
      </c>
      <c r="K1413" s="54"/>
      <c r="L1413" s="57"/>
      <c r="M1413" s="57"/>
      <c r="N1413" s="4" t="s">
        <v>1621</v>
      </c>
      <c r="O1413" s="4">
        <v>761858271</v>
      </c>
      <c r="P1413" s="4">
        <v>761858272</v>
      </c>
      <c r="Q1413" s="767"/>
      <c r="R1413" s="767"/>
      <c r="S1413" s="4"/>
      <c r="T1413" s="4"/>
      <c r="U1413" s="4"/>
      <c r="V1413" s="4"/>
      <c r="W1413" s="4"/>
      <c r="X1413" s="4" t="s">
        <v>1621</v>
      </c>
      <c r="Y1413" s="4">
        <v>316101</v>
      </c>
      <c r="Z1413" s="35"/>
      <c r="AA1413" s="1" t="str">
        <f>IFERROR(VLOOKUP(D:D,[1]Габариты!$A:$I,9,0),"")</f>
        <v>Вакансия</v>
      </c>
      <c r="AB1413" s="6" t="str">
        <f>IFERROR(VLOOKUP(D:D,[1]Габариты!$A:$D,4,0),"")</f>
        <v>СТОЛЫ ОБЕДЕННЫЕ</v>
      </c>
      <c r="AC1413" s="39">
        <f t="shared" si="201"/>
        <v>316101</v>
      </c>
      <c r="AD1413" s="13" t="str">
        <f>C1413</f>
        <v>FBS</v>
      </c>
    </row>
    <row r="1414" spans="1:30" s="6" customFormat="1" ht="20.100000000000001" customHeight="1" outlineLevel="1" x14ac:dyDescent="0.25">
      <c r="A1414" s="635" t="s">
        <v>1538</v>
      </c>
      <c r="B1414" s="25"/>
      <c r="C1414" s="13" t="s">
        <v>2581</v>
      </c>
      <c r="D1414" s="40">
        <v>316102</v>
      </c>
      <c r="E1414" s="4">
        <v>8</v>
      </c>
      <c r="F1414" s="101"/>
      <c r="G1414" s="57"/>
      <c r="H1414" s="4" t="s">
        <v>6890</v>
      </c>
      <c r="I1414" s="4"/>
      <c r="J1414" s="4"/>
      <c r="K1414" s="54"/>
      <c r="L1414" s="57"/>
      <c r="M1414" s="57"/>
      <c r="N1414" s="4" t="s">
        <v>1622</v>
      </c>
      <c r="O1414" s="4">
        <v>768841217</v>
      </c>
      <c r="P1414" s="4">
        <v>768841216</v>
      </c>
      <c r="Q1414" s="767"/>
      <c r="R1414" s="767"/>
      <c r="S1414" s="4"/>
      <c r="T1414" s="4"/>
      <c r="U1414" s="4"/>
      <c r="V1414" s="4"/>
      <c r="W1414" s="4"/>
      <c r="X1414" s="4" t="s">
        <v>1622</v>
      </c>
      <c r="Y1414" s="4">
        <v>316102</v>
      </c>
      <c r="Z1414" s="35"/>
      <c r="AA1414" s="1" t="str">
        <f>IFERROR(VLOOKUP(D:D,[1]Габариты!$A:$I,9,0),"")</f>
        <v>Вакансия</v>
      </c>
      <c r="AB1414" s="6" t="str">
        <f>IFERROR(VLOOKUP(D:D,[1]Габариты!$A:$D,4,0),"")</f>
        <v>СТОЛЫ ОБЕДЕННЫЕ</v>
      </c>
      <c r="AC1414" s="39">
        <f t="shared" si="201"/>
        <v>316102</v>
      </c>
      <c r="AD1414" s="13" t="str">
        <f>C1414</f>
        <v>FBS</v>
      </c>
    </row>
    <row r="1415" spans="1:30" s="6" customFormat="1" ht="20.100000000000001" customHeight="1" outlineLevel="1" x14ac:dyDescent="0.25">
      <c r="A1415" s="664" t="s">
        <v>8044</v>
      </c>
      <c r="B1415" s="282"/>
      <c r="C1415" s="259" t="s">
        <v>2582</v>
      </c>
      <c r="D1415" s="281" t="s">
        <v>8043</v>
      </c>
      <c r="E1415" s="261">
        <v>9</v>
      </c>
      <c r="F1415" s="279" t="s">
        <v>8260</v>
      </c>
      <c r="G1415" s="280"/>
      <c r="H1415" s="278" t="s">
        <v>8056</v>
      </c>
      <c r="I1415" s="278"/>
      <c r="J1415" s="278"/>
      <c r="K1415" s="279"/>
      <c r="L1415" s="280"/>
      <c r="M1415" s="280"/>
      <c r="N1415" s="884" t="s">
        <v>8356</v>
      </c>
      <c r="O1415" s="278">
        <v>1865905613</v>
      </c>
      <c r="P1415" s="278">
        <v>1865905613</v>
      </c>
      <c r="Q1415" s="803"/>
      <c r="R1415" s="803"/>
      <c r="S1415" s="278"/>
      <c r="T1415" s="278"/>
      <c r="U1415" s="278"/>
      <c r="V1415" s="278"/>
      <c r="W1415" s="278"/>
      <c r="X1415" s="278" t="s">
        <v>8356</v>
      </c>
      <c r="Y1415" s="278"/>
      <c r="Z1415" s="35"/>
      <c r="AA1415" s="1" t="str">
        <f>IFERROR(VLOOKUP(D:D,[1]Габариты!$A:$I,9,0),"")</f>
        <v>Вакансия</v>
      </c>
      <c r="AB1415" s="6" t="str">
        <f>IFERROR(VLOOKUP(D:D,[1]Габариты!$A:$D,4,0),"")</f>
        <v>СТОЛЫ ОБЕДЕННЫЕ</v>
      </c>
      <c r="AC1415" s="39" t="str">
        <f t="shared" si="201"/>
        <v>MK3080501</v>
      </c>
      <c r="AD1415" s="13" t="str">
        <f>C1415</f>
        <v>FBO</v>
      </c>
    </row>
    <row r="1416" spans="1:30" s="6" customFormat="1" ht="20.100000000000001" customHeight="1" outlineLevel="1" x14ac:dyDescent="0.25">
      <c r="A1416" s="689" t="s">
        <v>8021</v>
      </c>
      <c r="B1416" s="273"/>
      <c r="C1416" s="259" t="s">
        <v>2582</v>
      </c>
      <c r="D1416" s="272" t="s">
        <v>8019</v>
      </c>
      <c r="E1416" s="261">
        <v>9</v>
      </c>
      <c r="F1416" s="270" t="s">
        <v>8259</v>
      </c>
      <c r="G1416" s="271"/>
      <c r="H1416" s="269" t="s">
        <v>8031</v>
      </c>
      <c r="I1416" s="269"/>
      <c r="J1416" s="269"/>
      <c r="K1416" s="270"/>
      <c r="L1416" s="271"/>
      <c r="M1416" s="271"/>
      <c r="N1416" s="836" t="s">
        <v>8355</v>
      </c>
      <c r="O1416" s="269">
        <v>1865897412</v>
      </c>
      <c r="P1416" s="269">
        <v>1865897412</v>
      </c>
      <c r="Q1416" s="816"/>
      <c r="R1416" s="816"/>
      <c r="S1416" s="269"/>
      <c r="T1416" s="269"/>
      <c r="U1416" s="269"/>
      <c r="V1416" s="269"/>
      <c r="W1416" s="269"/>
      <c r="X1416" s="269" t="s">
        <v>8355</v>
      </c>
      <c r="Y1416" s="269"/>
      <c r="Z1416" s="35"/>
      <c r="AA1416" s="1" t="str">
        <f>IFERROR(VLOOKUP(D:D,[1]Габариты!$A:$I,9,0),"")</f>
        <v>Вакансия</v>
      </c>
      <c r="AB1416" s="6" t="str">
        <f>IFERROR(VLOOKUP(D:D,[1]Габариты!$A:$D,4,0),"")</f>
        <v>СТОЛЫ ОБЕДЕННЫЕ</v>
      </c>
      <c r="AC1416" s="39" t="str">
        <f t="shared" si="201"/>
        <v>MK3080901</v>
      </c>
      <c r="AD1416" s="13" t="str">
        <f>C1416</f>
        <v>FBO</v>
      </c>
    </row>
    <row r="1417" spans="1:30" s="1" customFormat="1" ht="20.100000000000001" customHeight="1" outlineLevel="1" x14ac:dyDescent="0.2">
      <c r="A1417" s="754" t="s">
        <v>436</v>
      </c>
      <c r="B1417" s="754" t="s">
        <v>3846</v>
      </c>
      <c r="C1417" s="13"/>
      <c r="D1417" s="42"/>
      <c r="E1417" s="4"/>
      <c r="F1417" s="101"/>
      <c r="G1417" s="57"/>
      <c r="H1417" s="4"/>
      <c r="I1417" s="4"/>
      <c r="J1417" s="4"/>
      <c r="K1417" s="54"/>
      <c r="L1417" s="57"/>
      <c r="M1417" s="57"/>
      <c r="N1417" s="766"/>
      <c r="O1417" s="4"/>
      <c r="P1417" s="4"/>
      <c r="Q1417" s="767"/>
      <c r="R1417" s="767"/>
      <c r="S1417" s="4"/>
      <c r="T1417" s="4"/>
      <c r="U1417" s="4"/>
      <c r="V1417" s="4"/>
      <c r="W1417" s="4"/>
      <c r="X1417" s="4"/>
      <c r="Y1417" s="4" t="s">
        <v>4066</v>
      </c>
      <c r="Z1417" s="35"/>
      <c r="AA1417" s="1" t="str">
        <f>IFERROR(VLOOKUP(D:D,[1]Габариты!$A:$I,9,0),"")</f>
        <v/>
      </c>
      <c r="AB1417" s="6" t="str">
        <f>IFERROR(VLOOKUP(D:D,[1]Габариты!$A:$D,4,0),"")</f>
        <v/>
      </c>
      <c r="AC1417" s="39"/>
      <c r="AD1417" s="3"/>
    </row>
    <row r="1418" spans="1:30" s="6" customFormat="1" ht="20.100000000000001" customHeight="1" outlineLevel="1" x14ac:dyDescent="0.25">
      <c r="A1418" s="734" t="s">
        <v>342</v>
      </c>
      <c r="B1418" s="11"/>
      <c r="C1418" s="13" t="s">
        <v>3172</v>
      </c>
      <c r="D1418" s="40">
        <v>412319</v>
      </c>
      <c r="E1418" s="4">
        <v>6</v>
      </c>
      <c r="F1418" s="101">
        <v>412319</v>
      </c>
      <c r="G1418" s="57"/>
      <c r="H1418" s="4" t="s">
        <v>7297</v>
      </c>
      <c r="I1418" s="4"/>
      <c r="J1418" s="4"/>
      <c r="K1418" s="54"/>
      <c r="L1418" s="57"/>
      <c r="M1418" s="57"/>
      <c r="N1418" s="4" t="s">
        <v>2651</v>
      </c>
      <c r="O1418" s="4">
        <v>285033047</v>
      </c>
      <c r="P1418" s="4">
        <v>285033060</v>
      </c>
      <c r="Q1418" s="767" t="s">
        <v>2908</v>
      </c>
      <c r="R1418" s="767">
        <v>384137822</v>
      </c>
      <c r="S1418" s="4">
        <v>384137821</v>
      </c>
      <c r="T1418" s="4"/>
      <c r="U1418" s="4"/>
      <c r="V1418" s="4"/>
      <c r="W1418" s="4"/>
      <c r="X1418" s="4"/>
      <c r="Y1418" s="4" t="s">
        <v>4066</v>
      </c>
      <c r="Z1418" s="35"/>
      <c r="AA1418" s="1" t="str">
        <f>IFERROR(VLOOKUP(D:D,[1]Габариты!$A:$I,9,0),"")</f>
        <v>Вакансия</v>
      </c>
      <c r="AB1418" s="6" t="str">
        <f>IFERROR(VLOOKUP(D:D,[1]Габариты!$A:$D,4,0),"")</f>
        <v>СТУЛЬЯ</v>
      </c>
      <c r="AC1418" s="39">
        <f t="shared" si="199"/>
        <v>412319</v>
      </c>
      <c r="AD1418" s="13" t="str">
        <f t="shared" si="196"/>
        <v xml:space="preserve">СКГТ </v>
      </c>
    </row>
    <row r="1419" spans="1:30" s="6" customFormat="1" ht="20.100000000000001" customHeight="1" outlineLevel="1" x14ac:dyDescent="0.25">
      <c r="A1419" s="734" t="s">
        <v>343</v>
      </c>
      <c r="B1419" s="11"/>
      <c r="C1419" s="13" t="s">
        <v>3172</v>
      </c>
      <c r="D1419" s="40">
        <v>412320</v>
      </c>
      <c r="E1419" s="4">
        <v>6</v>
      </c>
      <c r="F1419" s="101">
        <v>412320</v>
      </c>
      <c r="G1419" s="57"/>
      <c r="H1419" s="4" t="s">
        <v>7298</v>
      </c>
      <c r="I1419" s="4"/>
      <c r="J1419" s="4"/>
      <c r="K1419" s="54"/>
      <c r="L1419" s="57"/>
      <c r="M1419" s="57"/>
      <c r="N1419" s="806" t="s">
        <v>7689</v>
      </c>
      <c r="O1419" s="4">
        <v>285281445</v>
      </c>
      <c r="P1419" s="4">
        <v>285281446</v>
      </c>
      <c r="Q1419" s="767" t="s">
        <v>2909</v>
      </c>
      <c r="R1419" s="767">
        <v>381751737</v>
      </c>
      <c r="S1419" s="4">
        <v>381751738</v>
      </c>
      <c r="T1419" s="4"/>
      <c r="U1419" s="4"/>
      <c r="V1419" s="4"/>
      <c r="W1419" s="4"/>
      <c r="X1419" s="4"/>
      <c r="Y1419" s="4" t="s">
        <v>4066</v>
      </c>
      <c r="Z1419" s="35"/>
      <c r="AA1419" s="1" t="str">
        <f>IFERROR(VLOOKUP(D:D,[1]Габариты!$A:$I,9,0),"")</f>
        <v>Вакансия</v>
      </c>
      <c r="AB1419" s="6" t="str">
        <f>IFERROR(VLOOKUP(D:D,[1]Габариты!$A:$D,4,0),"")</f>
        <v>СТУЛЬЯ</v>
      </c>
      <c r="AC1419" s="39">
        <f t="shared" si="199"/>
        <v>412320</v>
      </c>
      <c r="AD1419" s="13" t="str">
        <f t="shared" si="196"/>
        <v xml:space="preserve">СКГТ </v>
      </c>
    </row>
    <row r="1420" spans="1:30" s="6" customFormat="1" ht="20.100000000000001" customHeight="1" outlineLevel="1" x14ac:dyDescent="0.25">
      <c r="A1420" s="734" t="s">
        <v>364</v>
      </c>
      <c r="B1420" s="11"/>
      <c r="C1420" s="13" t="s">
        <v>3172</v>
      </c>
      <c r="D1420" s="40">
        <v>412341</v>
      </c>
      <c r="E1420" s="4">
        <v>6</v>
      </c>
      <c r="F1420" s="101">
        <v>412341</v>
      </c>
      <c r="G1420" s="57"/>
      <c r="H1420" s="4" t="s">
        <v>7299</v>
      </c>
      <c r="I1420" s="4"/>
      <c r="J1420" s="4"/>
      <c r="K1420" s="54"/>
      <c r="L1420" s="57"/>
      <c r="M1420" s="57"/>
      <c r="N1420" s="4"/>
      <c r="O1420" s="4">
        <v>285095428</v>
      </c>
      <c r="P1420" s="4">
        <v>285095464</v>
      </c>
      <c r="Q1420" s="767" t="s">
        <v>2910</v>
      </c>
      <c r="R1420" s="767">
        <v>384214835</v>
      </c>
      <c r="S1420" s="4">
        <v>384214836</v>
      </c>
      <c r="T1420" s="4"/>
      <c r="U1420" s="4"/>
      <c r="V1420" s="4"/>
      <c r="W1420" s="4"/>
      <c r="X1420" s="4"/>
      <c r="Y1420" s="4" t="s">
        <v>4066</v>
      </c>
      <c r="Z1420" s="35"/>
      <c r="AA1420" s="1" t="str">
        <f>IFERROR(VLOOKUP(D:D,[1]Габариты!$A:$I,9,0),"")</f>
        <v>Вакансия</v>
      </c>
      <c r="AB1420" s="6" t="str">
        <f>IFERROR(VLOOKUP(D:D,[1]Габариты!$A:$D,4,0),"")</f>
        <v>СТУЛЬЯ</v>
      </c>
      <c r="AC1420" s="39">
        <f t="shared" si="199"/>
        <v>412341</v>
      </c>
      <c r="AD1420" s="13" t="str">
        <f t="shared" si="196"/>
        <v xml:space="preserve">СКГТ </v>
      </c>
    </row>
    <row r="1421" spans="1:30" s="6" customFormat="1" ht="20.100000000000001" customHeight="1" outlineLevel="1" x14ac:dyDescent="0.25">
      <c r="A1421" s="734" t="s">
        <v>365</v>
      </c>
      <c r="B1421" s="11"/>
      <c r="C1421" s="13" t="s">
        <v>3172</v>
      </c>
      <c r="D1421" s="40">
        <v>412342</v>
      </c>
      <c r="E1421" s="4">
        <v>6</v>
      </c>
      <c r="F1421" s="101">
        <v>412342</v>
      </c>
      <c r="G1421" s="57"/>
      <c r="H1421" s="4" t="s">
        <v>7300</v>
      </c>
      <c r="I1421" s="4"/>
      <c r="J1421" s="4"/>
      <c r="K1421" s="54"/>
      <c r="L1421" s="57"/>
      <c r="M1421" s="57"/>
      <c r="N1421" s="4"/>
      <c r="O1421" s="4">
        <v>285026818</v>
      </c>
      <c r="P1421" s="4">
        <v>285026825</v>
      </c>
      <c r="Q1421" s="767" t="s">
        <v>2911</v>
      </c>
      <c r="R1421" s="767">
        <v>384178573</v>
      </c>
      <c r="S1421" s="4">
        <v>384178574</v>
      </c>
      <c r="T1421" s="4"/>
      <c r="U1421" s="4"/>
      <c r="V1421" s="4"/>
      <c r="W1421" s="4"/>
      <c r="X1421" s="4"/>
      <c r="Y1421" s="4" t="s">
        <v>4066</v>
      </c>
      <c r="Z1421" s="35"/>
      <c r="AA1421" s="1" t="str">
        <f>IFERROR(VLOOKUP(D:D,[1]Габариты!$A:$I,9,0),"")</f>
        <v>Вакансия</v>
      </c>
      <c r="AB1421" s="6" t="str">
        <f>IFERROR(VLOOKUP(D:D,[1]Габариты!$A:$D,4,0),"")</f>
        <v>СТУЛЬЯ</v>
      </c>
      <c r="AC1421" s="39">
        <f t="shared" si="199"/>
        <v>412342</v>
      </c>
      <c r="AD1421" s="13" t="str">
        <f t="shared" si="196"/>
        <v xml:space="preserve">СКГТ </v>
      </c>
    </row>
    <row r="1422" spans="1:30" s="6" customFormat="1" ht="20.100000000000001" customHeight="1" outlineLevel="1" x14ac:dyDescent="0.25">
      <c r="A1422" s="734" t="s">
        <v>344</v>
      </c>
      <c r="B1422" s="11"/>
      <c r="C1422" s="13" t="s">
        <v>3172</v>
      </c>
      <c r="D1422" s="40">
        <v>412321</v>
      </c>
      <c r="E1422" s="4">
        <v>6</v>
      </c>
      <c r="F1422" s="101">
        <v>412321</v>
      </c>
      <c r="G1422" s="57"/>
      <c r="H1422" s="4" t="s">
        <v>7301</v>
      </c>
      <c r="I1422" s="4" t="s">
        <v>1310</v>
      </c>
      <c r="J1422" s="4"/>
      <c r="K1422" s="54"/>
      <c r="L1422" s="57"/>
      <c r="M1422" s="57"/>
      <c r="N1422" s="4"/>
      <c r="O1422" s="4">
        <v>285350770</v>
      </c>
      <c r="P1422" s="4">
        <v>285350773</v>
      </c>
      <c r="Q1422" s="767"/>
      <c r="R1422" s="767"/>
      <c r="S1422" s="4"/>
      <c r="T1422" s="4"/>
      <c r="U1422" s="4"/>
      <c r="V1422" s="4"/>
      <c r="W1422" s="4"/>
      <c r="X1422" s="4"/>
      <c r="Y1422" s="4" t="s">
        <v>4066</v>
      </c>
      <c r="Z1422" s="35"/>
      <c r="AA1422" s="1" t="str">
        <f>IFERROR(VLOOKUP(D:D,[1]Габариты!$A:$I,9,0),"")</f>
        <v>Вакансия</v>
      </c>
      <c r="AB1422" s="6" t="str">
        <f>IFERROR(VLOOKUP(D:D,[1]Габариты!$A:$D,4,0),"")</f>
        <v>СТУЛЬЯ</v>
      </c>
      <c r="AC1422" s="39">
        <f t="shared" si="199"/>
        <v>412321</v>
      </c>
      <c r="AD1422" s="13" t="str">
        <f t="shared" si="196"/>
        <v xml:space="preserve">СКГТ </v>
      </c>
    </row>
    <row r="1423" spans="1:30" s="6" customFormat="1" ht="20.100000000000001" customHeight="1" outlineLevel="1" x14ac:dyDescent="0.25">
      <c r="A1423" s="734" t="s">
        <v>345</v>
      </c>
      <c r="B1423" s="11"/>
      <c r="C1423" s="13" t="s">
        <v>3172</v>
      </c>
      <c r="D1423" s="40">
        <v>412322</v>
      </c>
      <c r="E1423" s="4">
        <v>6</v>
      </c>
      <c r="F1423" s="101">
        <v>412322</v>
      </c>
      <c r="G1423" s="57"/>
      <c r="H1423" s="4" t="s">
        <v>7302</v>
      </c>
      <c r="I1423" s="4" t="s">
        <v>1311</v>
      </c>
      <c r="J1423" s="4"/>
      <c r="K1423" s="54"/>
      <c r="L1423" s="57"/>
      <c r="M1423" s="57"/>
      <c r="N1423" s="806" t="s">
        <v>7690</v>
      </c>
      <c r="O1423" s="4">
        <v>285328622</v>
      </c>
      <c r="P1423" s="4">
        <v>285328624</v>
      </c>
      <c r="Q1423" s="767" t="s">
        <v>2914</v>
      </c>
      <c r="R1423" s="767">
        <v>381652752</v>
      </c>
      <c r="S1423" s="4">
        <v>381652753</v>
      </c>
      <c r="T1423" s="4"/>
      <c r="U1423" s="4"/>
      <c r="V1423" s="4"/>
      <c r="W1423" s="4"/>
      <c r="X1423" s="4"/>
      <c r="Y1423" s="4" t="s">
        <v>4066</v>
      </c>
      <c r="Z1423" s="35"/>
      <c r="AA1423" s="1" t="str">
        <f>IFERROR(VLOOKUP(D:D,[1]Габариты!$A:$I,9,0),"")</f>
        <v>Вакансия</v>
      </c>
      <c r="AB1423" s="6" t="str">
        <f>IFERROR(VLOOKUP(D:D,[1]Габариты!$A:$D,4,0),"")</f>
        <v>СТУЛЬЯ</v>
      </c>
      <c r="AC1423" s="39">
        <f t="shared" si="199"/>
        <v>412322</v>
      </c>
      <c r="AD1423" s="13" t="str">
        <f t="shared" si="196"/>
        <v xml:space="preserve">СКГТ </v>
      </c>
    </row>
    <row r="1424" spans="1:30" s="6" customFormat="1" ht="20.100000000000001" customHeight="1" outlineLevel="1" x14ac:dyDescent="0.25">
      <c r="A1424" s="734" t="s">
        <v>346</v>
      </c>
      <c r="B1424" s="11"/>
      <c r="C1424" s="13" t="s">
        <v>3172</v>
      </c>
      <c r="D1424" s="40">
        <v>412323</v>
      </c>
      <c r="E1424" s="4">
        <v>6</v>
      </c>
      <c r="F1424" s="101">
        <v>412323</v>
      </c>
      <c r="G1424" s="57"/>
      <c r="H1424" s="4" t="s">
        <v>7303</v>
      </c>
      <c r="I1424" s="4" t="s">
        <v>1312</v>
      </c>
      <c r="J1424" s="4"/>
      <c r="K1424" s="54"/>
      <c r="L1424" s="57"/>
      <c r="M1424" s="57"/>
      <c r="N1424" s="806" t="s">
        <v>7691</v>
      </c>
      <c r="O1424" s="4">
        <v>285313142</v>
      </c>
      <c r="P1424" s="4">
        <v>285313165</v>
      </c>
      <c r="Q1424" s="767" t="s">
        <v>2915</v>
      </c>
      <c r="R1424" s="767">
        <v>381654825</v>
      </c>
      <c r="S1424" s="4">
        <v>381654826</v>
      </c>
      <c r="T1424" s="4"/>
      <c r="U1424" s="4"/>
      <c r="V1424" s="4"/>
      <c r="W1424" s="4"/>
      <c r="X1424" s="4"/>
      <c r="Y1424" s="4" t="s">
        <v>4066</v>
      </c>
      <c r="Z1424" s="35"/>
      <c r="AA1424" s="1" t="str">
        <f>IFERROR(VLOOKUP(D:D,[1]Габариты!$A:$I,9,0),"")</f>
        <v>Вакансия</v>
      </c>
      <c r="AB1424" s="6" t="str">
        <f>IFERROR(VLOOKUP(D:D,[1]Габариты!$A:$D,4,0),"")</f>
        <v>СТУЛЬЯ</v>
      </c>
      <c r="AC1424" s="39">
        <f t="shared" si="199"/>
        <v>412323</v>
      </c>
      <c r="AD1424" s="13" t="str">
        <f t="shared" si="196"/>
        <v xml:space="preserve">СКГТ </v>
      </c>
    </row>
    <row r="1425" spans="1:30" s="6" customFormat="1" ht="20.100000000000001" customHeight="1" outlineLevel="1" x14ac:dyDescent="0.25">
      <c r="A1425" s="734" t="s">
        <v>347</v>
      </c>
      <c r="B1425" s="11"/>
      <c r="C1425" s="13" t="s">
        <v>3172</v>
      </c>
      <c r="D1425" s="40">
        <v>412324</v>
      </c>
      <c r="E1425" s="4">
        <v>6</v>
      </c>
      <c r="F1425" s="101">
        <v>412324</v>
      </c>
      <c r="G1425" s="57"/>
      <c r="H1425" s="4" t="s">
        <v>7304</v>
      </c>
      <c r="I1425" s="4"/>
      <c r="J1425" s="4"/>
      <c r="K1425" s="54"/>
      <c r="L1425" s="57"/>
      <c r="M1425" s="57"/>
      <c r="N1425" s="806" t="s">
        <v>7692</v>
      </c>
      <c r="O1425" s="4">
        <v>285305327</v>
      </c>
      <c r="P1425" s="4">
        <v>285305331</v>
      </c>
      <c r="Q1425" s="767" t="s">
        <v>2916</v>
      </c>
      <c r="R1425" s="767">
        <v>381658712</v>
      </c>
      <c r="S1425" s="4">
        <v>381658711</v>
      </c>
      <c r="T1425" s="4"/>
      <c r="U1425" s="4"/>
      <c r="V1425" s="4"/>
      <c r="W1425" s="4"/>
      <c r="X1425" s="4"/>
      <c r="Y1425" s="4" t="s">
        <v>4066</v>
      </c>
      <c r="Z1425" s="35"/>
      <c r="AA1425" s="1" t="str">
        <f>IFERROR(VLOOKUP(D:D,[1]Габариты!$A:$I,9,0),"")</f>
        <v>Вакансия</v>
      </c>
      <c r="AB1425" s="6" t="str">
        <f>IFERROR(VLOOKUP(D:D,[1]Габариты!$A:$D,4,0),"")</f>
        <v>СТУЛЬЯ</v>
      </c>
      <c r="AC1425" s="39">
        <f t="shared" si="199"/>
        <v>412324</v>
      </c>
      <c r="AD1425" s="13" t="str">
        <f t="shared" si="196"/>
        <v xml:space="preserve">СКГТ </v>
      </c>
    </row>
    <row r="1426" spans="1:30" s="6" customFormat="1" ht="20.100000000000001" customHeight="1" outlineLevel="1" x14ac:dyDescent="0.25">
      <c r="A1426" s="734" t="s">
        <v>348</v>
      </c>
      <c r="B1426" s="11"/>
      <c r="C1426" s="13" t="s">
        <v>3172</v>
      </c>
      <c r="D1426" s="40">
        <v>412325</v>
      </c>
      <c r="E1426" s="4">
        <v>6</v>
      </c>
      <c r="F1426" s="101">
        <v>412325</v>
      </c>
      <c r="G1426" s="57"/>
      <c r="H1426" s="4" t="s">
        <v>7305</v>
      </c>
      <c r="I1426" s="4"/>
      <c r="J1426" s="4"/>
      <c r="K1426" s="54"/>
      <c r="L1426" s="57"/>
      <c r="M1426" s="57"/>
      <c r="N1426" s="806" t="s">
        <v>7693</v>
      </c>
      <c r="O1426" s="4">
        <v>285415369</v>
      </c>
      <c r="P1426" s="4">
        <v>285415407</v>
      </c>
      <c r="Q1426" s="767" t="s">
        <v>2917</v>
      </c>
      <c r="R1426" s="767">
        <v>381666269</v>
      </c>
      <c r="S1426" s="4">
        <v>381666268</v>
      </c>
      <c r="T1426" s="4"/>
      <c r="U1426" s="4"/>
      <c r="V1426" s="4"/>
      <c r="W1426" s="4"/>
      <c r="X1426" s="4"/>
      <c r="Y1426" s="4" t="s">
        <v>4066</v>
      </c>
      <c r="Z1426" s="35"/>
      <c r="AA1426" s="1" t="str">
        <f>IFERROR(VLOOKUP(D:D,[1]Габариты!$A:$I,9,0),"")</f>
        <v>Вакансия</v>
      </c>
      <c r="AB1426" s="6" t="str">
        <f>IFERROR(VLOOKUP(D:D,[1]Габариты!$A:$D,4,0),"")</f>
        <v>СТУЛЬЯ</v>
      </c>
      <c r="AC1426" s="39">
        <f t="shared" si="199"/>
        <v>412325</v>
      </c>
      <c r="AD1426" s="13" t="str">
        <f t="shared" si="196"/>
        <v xml:space="preserve">СКГТ </v>
      </c>
    </row>
    <row r="1427" spans="1:30" s="6" customFormat="1" ht="20.100000000000001" customHeight="1" outlineLevel="1" x14ac:dyDescent="0.25">
      <c r="A1427" s="734" t="s">
        <v>349</v>
      </c>
      <c r="B1427" s="11"/>
      <c r="C1427" s="13" t="s">
        <v>3172</v>
      </c>
      <c r="D1427" s="40">
        <v>412326</v>
      </c>
      <c r="E1427" s="4">
        <v>6</v>
      </c>
      <c r="F1427" s="101">
        <v>412326</v>
      </c>
      <c r="G1427" s="57"/>
      <c r="H1427" s="4" t="s">
        <v>7306</v>
      </c>
      <c r="I1427" s="4"/>
      <c r="J1427" s="4"/>
      <c r="K1427" s="54"/>
      <c r="L1427" s="57"/>
      <c r="M1427" s="57"/>
      <c r="N1427" s="806" t="s">
        <v>7694</v>
      </c>
      <c r="O1427" s="4">
        <v>285386847</v>
      </c>
      <c r="P1427" s="4">
        <v>285386895</v>
      </c>
      <c r="Q1427" s="767" t="s">
        <v>2918</v>
      </c>
      <c r="R1427" s="767">
        <v>381662684</v>
      </c>
      <c r="S1427" s="4">
        <v>381662683</v>
      </c>
      <c r="T1427" s="4"/>
      <c r="U1427" s="4"/>
      <c r="V1427" s="4"/>
      <c r="W1427" s="4"/>
      <c r="X1427" s="4"/>
      <c r="Y1427" s="4" t="s">
        <v>4066</v>
      </c>
      <c r="Z1427" s="35"/>
      <c r="AA1427" s="1" t="str">
        <f>IFERROR(VLOOKUP(D:D,[1]Габариты!$A:$I,9,0),"")</f>
        <v>Вакансия</v>
      </c>
      <c r="AB1427" s="6" t="str">
        <f>IFERROR(VLOOKUP(D:D,[1]Габариты!$A:$D,4,0),"")</f>
        <v>СТУЛЬЯ</v>
      </c>
      <c r="AC1427" s="39">
        <f t="shared" si="199"/>
        <v>412326</v>
      </c>
      <c r="AD1427" s="13" t="str">
        <f t="shared" si="196"/>
        <v xml:space="preserve">СКГТ </v>
      </c>
    </row>
    <row r="1428" spans="1:30" s="6" customFormat="1" ht="20.100000000000001" customHeight="1" outlineLevel="1" x14ac:dyDescent="0.25">
      <c r="A1428" s="734" t="s">
        <v>350</v>
      </c>
      <c r="B1428" s="11"/>
      <c r="C1428" s="13" t="s">
        <v>3172</v>
      </c>
      <c r="D1428" s="40">
        <v>412327</v>
      </c>
      <c r="E1428" s="4">
        <v>6</v>
      </c>
      <c r="F1428" s="101">
        <v>412327</v>
      </c>
      <c r="G1428" s="57"/>
      <c r="H1428" s="4"/>
      <c r="I1428" s="4" t="s">
        <v>1313</v>
      </c>
      <c r="J1428" s="4"/>
      <c r="K1428" s="54"/>
      <c r="L1428" s="57"/>
      <c r="M1428" s="57"/>
      <c r="N1428" s="806" t="s">
        <v>7664</v>
      </c>
      <c r="O1428" s="4">
        <v>285377767</v>
      </c>
      <c r="P1428" s="4">
        <v>285377772</v>
      </c>
      <c r="Q1428" s="767" t="s">
        <v>2919</v>
      </c>
      <c r="R1428" s="767">
        <v>381324320</v>
      </c>
      <c r="S1428" s="4">
        <v>381324319</v>
      </c>
      <c r="T1428" s="4"/>
      <c r="U1428" s="4"/>
      <c r="V1428" s="4"/>
      <c r="W1428" s="4"/>
      <c r="X1428" s="4"/>
      <c r="Y1428" s="4" t="s">
        <v>4066</v>
      </c>
      <c r="Z1428" s="35"/>
      <c r="AA1428" s="1" t="str">
        <f>IFERROR(VLOOKUP(D:D,[1]Габариты!$A:$I,9,0),"")</f>
        <v>Вакансия</v>
      </c>
      <c r="AB1428" s="6" t="str">
        <f>IFERROR(VLOOKUP(D:D,[1]Габариты!$A:$D,4,0),"")</f>
        <v>СТУЛЬЯ</v>
      </c>
      <c r="AC1428" s="39">
        <f t="shared" si="199"/>
        <v>412327</v>
      </c>
      <c r="AD1428" s="13" t="str">
        <f t="shared" si="196"/>
        <v xml:space="preserve">СКГТ </v>
      </c>
    </row>
    <row r="1429" spans="1:30" s="6" customFormat="1" ht="20.100000000000001" customHeight="1" outlineLevel="1" x14ac:dyDescent="0.25">
      <c r="A1429" s="734" t="s">
        <v>351</v>
      </c>
      <c r="B1429" s="11"/>
      <c r="C1429" s="13" t="s">
        <v>3172</v>
      </c>
      <c r="D1429" s="40">
        <v>412328</v>
      </c>
      <c r="E1429" s="4">
        <v>6</v>
      </c>
      <c r="F1429" s="101">
        <v>412328</v>
      </c>
      <c r="G1429" s="57"/>
      <c r="H1429" s="4" t="s">
        <v>7307</v>
      </c>
      <c r="I1429" s="4"/>
      <c r="J1429" s="4"/>
      <c r="K1429" s="54"/>
      <c r="L1429" s="57"/>
      <c r="M1429" s="57"/>
      <c r="N1429" s="806" t="s">
        <v>7665</v>
      </c>
      <c r="O1429" s="4">
        <v>285381977</v>
      </c>
      <c r="P1429" s="4">
        <v>285381993</v>
      </c>
      <c r="Q1429" s="767" t="s">
        <v>2920</v>
      </c>
      <c r="R1429" s="767">
        <v>381662273</v>
      </c>
      <c r="S1429" s="4">
        <v>381662274</v>
      </c>
      <c r="T1429" s="4"/>
      <c r="U1429" s="4"/>
      <c r="V1429" s="4"/>
      <c r="W1429" s="4"/>
      <c r="X1429" s="4"/>
      <c r="Y1429" s="4" t="s">
        <v>4066</v>
      </c>
      <c r="Z1429" s="35"/>
      <c r="AA1429" s="1" t="str">
        <f>IFERROR(VLOOKUP(D:D,[1]Габариты!$A:$I,9,0),"")</f>
        <v>Вакансия</v>
      </c>
      <c r="AB1429" s="6" t="str">
        <f>IFERROR(VLOOKUP(D:D,[1]Габариты!$A:$D,4,0),"")</f>
        <v>СТУЛЬЯ</v>
      </c>
      <c r="AC1429" s="39">
        <f t="shared" si="199"/>
        <v>412328</v>
      </c>
      <c r="AD1429" s="13" t="str">
        <f t="shared" si="196"/>
        <v xml:space="preserve">СКГТ </v>
      </c>
    </row>
    <row r="1430" spans="1:30" s="6" customFormat="1" ht="20.100000000000001" customHeight="1" outlineLevel="1" x14ac:dyDescent="0.25">
      <c r="A1430" s="734" t="s">
        <v>352</v>
      </c>
      <c r="B1430" s="11"/>
      <c r="C1430" s="13" t="s">
        <v>3172</v>
      </c>
      <c r="D1430" s="40">
        <v>412329</v>
      </c>
      <c r="E1430" s="4">
        <v>6</v>
      </c>
      <c r="F1430" s="101">
        <v>412329</v>
      </c>
      <c r="G1430" s="57"/>
      <c r="H1430" s="4" t="s">
        <v>7308</v>
      </c>
      <c r="I1430" s="4" t="s">
        <v>1314</v>
      </c>
      <c r="J1430" s="4"/>
      <c r="K1430" s="54"/>
      <c r="L1430" s="57"/>
      <c r="M1430" s="57"/>
      <c r="N1430" s="4"/>
      <c r="O1430" s="4">
        <v>285807643</v>
      </c>
      <c r="P1430" s="4">
        <v>285807644</v>
      </c>
      <c r="Q1430" s="767" t="s">
        <v>2921</v>
      </c>
      <c r="R1430" s="767">
        <v>382572583</v>
      </c>
      <c r="S1430" s="4">
        <v>382572584</v>
      </c>
      <c r="T1430" s="4"/>
      <c r="U1430" s="4"/>
      <c r="V1430" s="4"/>
      <c r="W1430" s="4"/>
      <c r="X1430" s="4"/>
      <c r="Y1430" s="4" t="s">
        <v>4066</v>
      </c>
      <c r="Z1430" s="35"/>
      <c r="AA1430" s="1" t="str">
        <f>IFERROR(VLOOKUP(D:D,[1]Габариты!$A:$I,9,0),"")</f>
        <v>Вакансия</v>
      </c>
      <c r="AB1430" s="6" t="str">
        <f>IFERROR(VLOOKUP(D:D,[1]Габариты!$A:$D,4,0),"")</f>
        <v>СТУЛЬЯ</v>
      </c>
      <c r="AC1430" s="39">
        <f t="shared" si="199"/>
        <v>412329</v>
      </c>
      <c r="AD1430" s="13" t="str">
        <f t="shared" si="196"/>
        <v xml:space="preserve">СКГТ </v>
      </c>
    </row>
    <row r="1431" spans="1:30" s="6" customFormat="1" ht="20.100000000000001" customHeight="1" outlineLevel="1" x14ac:dyDescent="0.25">
      <c r="A1431" s="734" t="s">
        <v>353</v>
      </c>
      <c r="B1431" s="11"/>
      <c r="C1431" s="13" t="s">
        <v>3172</v>
      </c>
      <c r="D1431" s="40">
        <v>412330</v>
      </c>
      <c r="E1431" s="4">
        <v>6</v>
      </c>
      <c r="F1431" s="101">
        <v>412330</v>
      </c>
      <c r="G1431" s="57"/>
      <c r="H1431" s="4"/>
      <c r="I1431" s="4" t="s">
        <v>1315</v>
      </c>
      <c r="J1431" s="4"/>
      <c r="K1431" s="54"/>
      <c r="L1431" s="57"/>
      <c r="M1431" s="57"/>
      <c r="N1431" s="4"/>
      <c r="O1431" s="4">
        <v>285608879</v>
      </c>
      <c r="P1431" s="4">
        <v>285608910</v>
      </c>
      <c r="Q1431" s="767" t="s">
        <v>2922</v>
      </c>
      <c r="R1431" s="767">
        <v>389176931</v>
      </c>
      <c r="S1431" s="4">
        <v>389176932</v>
      </c>
      <c r="T1431" s="4"/>
      <c r="U1431" s="4"/>
      <c r="V1431" s="4"/>
      <c r="W1431" s="4"/>
      <c r="X1431" s="4"/>
      <c r="Y1431" s="4" t="s">
        <v>4066</v>
      </c>
      <c r="Z1431" s="35"/>
      <c r="AA1431" s="1" t="str">
        <f>IFERROR(VLOOKUP(D:D,[1]Габариты!$A:$I,9,0),"")</f>
        <v>Вакансия</v>
      </c>
      <c r="AB1431" s="6" t="str">
        <f>IFERROR(VLOOKUP(D:D,[1]Габариты!$A:$D,4,0),"")</f>
        <v>СТУЛЬЯ</v>
      </c>
      <c r="AC1431" s="39">
        <f t="shared" si="199"/>
        <v>412330</v>
      </c>
      <c r="AD1431" s="13" t="str">
        <f t="shared" si="196"/>
        <v xml:space="preserve">СКГТ </v>
      </c>
    </row>
    <row r="1432" spans="1:30" s="6" customFormat="1" ht="20.100000000000001" customHeight="1" outlineLevel="1" x14ac:dyDescent="0.25">
      <c r="A1432" s="734" t="s">
        <v>354</v>
      </c>
      <c r="B1432" s="11"/>
      <c r="C1432" s="13" t="s">
        <v>3172</v>
      </c>
      <c r="D1432" s="40">
        <v>412331</v>
      </c>
      <c r="E1432" s="4">
        <v>6</v>
      </c>
      <c r="F1432" s="101">
        <v>412331</v>
      </c>
      <c r="G1432" s="57"/>
      <c r="H1432" s="4"/>
      <c r="I1432" s="4" t="s">
        <v>1316</v>
      </c>
      <c r="J1432" s="4"/>
      <c r="K1432" s="54"/>
      <c r="L1432" s="57"/>
      <c r="M1432" s="57"/>
      <c r="N1432" s="806" t="s">
        <v>7695</v>
      </c>
      <c r="O1432" s="4">
        <v>285806896</v>
      </c>
      <c r="P1432" s="4">
        <v>285806904</v>
      </c>
      <c r="Q1432" s="767" t="s">
        <v>2923</v>
      </c>
      <c r="R1432" s="767">
        <v>384236553</v>
      </c>
      <c r="S1432" s="4">
        <v>384236555</v>
      </c>
      <c r="T1432" s="4"/>
      <c r="U1432" s="4"/>
      <c r="V1432" s="4"/>
      <c r="W1432" s="4"/>
      <c r="X1432" s="4"/>
      <c r="Y1432" s="4" t="s">
        <v>4066</v>
      </c>
      <c r="Z1432" s="35"/>
      <c r="AA1432" s="1" t="str">
        <f>IFERROR(VLOOKUP(D:D,[1]Габариты!$A:$I,9,0),"")</f>
        <v>Вакансия</v>
      </c>
      <c r="AB1432" s="6" t="str">
        <f>IFERROR(VLOOKUP(D:D,[1]Габариты!$A:$D,4,0),"")</f>
        <v>СТУЛЬЯ</v>
      </c>
      <c r="AC1432" s="39">
        <f t="shared" si="199"/>
        <v>412331</v>
      </c>
      <c r="AD1432" s="13" t="str">
        <f t="shared" si="196"/>
        <v xml:space="preserve">СКГТ </v>
      </c>
    </row>
    <row r="1433" spans="1:30" s="6" customFormat="1" ht="20.100000000000001" customHeight="1" outlineLevel="1" x14ac:dyDescent="0.25">
      <c r="A1433" s="734" t="s">
        <v>355</v>
      </c>
      <c r="B1433" s="11"/>
      <c r="C1433" s="13" t="s">
        <v>3172</v>
      </c>
      <c r="D1433" s="40">
        <v>412332</v>
      </c>
      <c r="E1433" s="4">
        <v>6</v>
      </c>
      <c r="F1433" s="101">
        <v>412332</v>
      </c>
      <c r="G1433" s="57"/>
      <c r="H1433" s="4"/>
      <c r="I1433" s="4" t="s">
        <v>1317</v>
      </c>
      <c r="J1433" s="4"/>
      <c r="K1433" s="54"/>
      <c r="L1433" s="57"/>
      <c r="M1433" s="57"/>
      <c r="N1433" s="806" t="s">
        <v>7696</v>
      </c>
      <c r="O1433" s="4">
        <v>285530855</v>
      </c>
      <c r="P1433" s="4">
        <v>285530882</v>
      </c>
      <c r="Q1433" s="767" t="s">
        <v>2924</v>
      </c>
      <c r="R1433" s="767">
        <v>384256093</v>
      </c>
      <c r="S1433" s="4">
        <v>384256094</v>
      </c>
      <c r="T1433" s="4"/>
      <c r="U1433" s="4"/>
      <c r="V1433" s="4"/>
      <c r="W1433" s="4"/>
      <c r="X1433" s="4"/>
      <c r="Y1433" s="4" t="s">
        <v>4066</v>
      </c>
      <c r="Z1433" s="35"/>
      <c r="AA1433" s="1" t="str">
        <f>IFERROR(VLOOKUP(D:D,[1]Габариты!$A:$I,9,0),"")</f>
        <v>Вакансия</v>
      </c>
      <c r="AB1433" s="6" t="str">
        <f>IFERROR(VLOOKUP(D:D,[1]Габариты!$A:$D,4,0),"")</f>
        <v>СТУЛЬЯ</v>
      </c>
      <c r="AC1433" s="39">
        <f t="shared" si="199"/>
        <v>412332</v>
      </c>
      <c r="AD1433" s="13" t="str">
        <f t="shared" si="196"/>
        <v xml:space="preserve">СКГТ </v>
      </c>
    </row>
    <row r="1434" spans="1:30" s="6" customFormat="1" ht="20.100000000000001" customHeight="1" outlineLevel="1" x14ac:dyDescent="0.25">
      <c r="A1434" s="665" t="s">
        <v>317</v>
      </c>
      <c r="B1434" s="2"/>
      <c r="C1434" s="13" t="s">
        <v>2582</v>
      </c>
      <c r="D1434" s="39">
        <v>10268</v>
      </c>
      <c r="E1434" s="4"/>
      <c r="F1434" s="101">
        <v>10268</v>
      </c>
      <c r="G1434" s="57"/>
      <c r="H1434" s="4" t="s">
        <v>7309</v>
      </c>
      <c r="I1434" s="4"/>
      <c r="J1434" s="4"/>
      <c r="K1434" s="54"/>
      <c r="L1434" s="57"/>
      <c r="M1434" s="57"/>
      <c r="N1434" s="4"/>
      <c r="O1434" s="4"/>
      <c r="P1434" s="4"/>
      <c r="Q1434" s="767"/>
      <c r="R1434" s="767"/>
      <c r="S1434" s="4"/>
      <c r="T1434" s="4"/>
      <c r="U1434" s="4"/>
      <c r="V1434" s="4"/>
      <c r="W1434" s="4"/>
      <c r="X1434" s="4"/>
      <c r="Y1434" s="4" t="s">
        <v>4066</v>
      </c>
      <c r="Z1434" s="35"/>
      <c r="AA1434" s="1" t="str">
        <f>IFERROR(VLOOKUP(D:D,[1]Габариты!$A:$I,9,0),"")</f>
        <v>Вакансия</v>
      </c>
      <c r="AB1434" s="6" t="str">
        <f>IFERROR(VLOOKUP(D:D,[1]Габариты!$A:$D,4,0),"")</f>
        <v>СТУЛЬЯ</v>
      </c>
      <c r="AC1434" s="39">
        <f t="shared" si="199"/>
        <v>10268</v>
      </c>
      <c r="AD1434" s="13" t="str">
        <f t="shared" si="196"/>
        <v>FBO</v>
      </c>
    </row>
    <row r="1435" spans="1:30" s="6" customFormat="1" ht="20.100000000000001" customHeight="1" outlineLevel="1" x14ac:dyDescent="0.25">
      <c r="A1435" s="734" t="s">
        <v>341</v>
      </c>
      <c r="B1435" s="11"/>
      <c r="C1435" s="13" t="s">
        <v>2581</v>
      </c>
      <c r="D1435" s="40">
        <v>412284</v>
      </c>
      <c r="E1435" s="4">
        <v>6</v>
      </c>
      <c r="F1435" s="101">
        <v>412284</v>
      </c>
      <c r="G1435" s="57"/>
      <c r="H1435" s="4" t="s">
        <v>7310</v>
      </c>
      <c r="I1435" s="4"/>
      <c r="J1435" s="4"/>
      <c r="K1435" s="54"/>
      <c r="L1435" s="57"/>
      <c r="M1435" s="57"/>
      <c r="N1435" s="4"/>
      <c r="O1435" s="4">
        <v>295709501</v>
      </c>
      <c r="P1435" s="4">
        <v>295709575</v>
      </c>
      <c r="Q1435" s="767" t="s">
        <v>2925</v>
      </c>
      <c r="R1435" s="767">
        <v>389251196</v>
      </c>
      <c r="S1435" s="4">
        <v>389251195</v>
      </c>
      <c r="T1435" s="4"/>
      <c r="U1435" s="4"/>
      <c r="V1435" s="4"/>
      <c r="W1435" s="4"/>
      <c r="X1435" s="4"/>
      <c r="Y1435" s="4" t="s">
        <v>4066</v>
      </c>
      <c r="Z1435" s="35"/>
      <c r="AA1435" s="1" t="str">
        <f>IFERROR(VLOOKUP(D:D,[1]Габариты!$A:$I,9,0),"")</f>
        <v>Вакансия</v>
      </c>
      <c r="AB1435" s="6" t="str">
        <f>IFERROR(VLOOKUP(D:D,[1]Габариты!$A:$D,4,0),"")</f>
        <v>СТУЛЬЯ</v>
      </c>
      <c r="AC1435" s="39">
        <f t="shared" si="199"/>
        <v>412284</v>
      </c>
      <c r="AD1435" s="13" t="str">
        <f t="shared" si="196"/>
        <v>FBS</v>
      </c>
    </row>
    <row r="1436" spans="1:30" s="6" customFormat="1" ht="20.100000000000001" customHeight="1" outlineLevel="1" x14ac:dyDescent="0.25">
      <c r="A1436" s="734" t="s">
        <v>335</v>
      </c>
      <c r="B1436" s="11"/>
      <c r="C1436" s="13" t="s">
        <v>2581</v>
      </c>
      <c r="D1436" s="40">
        <v>112284</v>
      </c>
      <c r="E1436" s="4">
        <v>6</v>
      </c>
      <c r="F1436" s="101">
        <v>112284</v>
      </c>
      <c r="G1436" s="57"/>
      <c r="H1436" s="4" t="s">
        <v>7311</v>
      </c>
      <c r="I1436" s="4"/>
      <c r="J1436" s="4"/>
      <c r="K1436" s="54"/>
      <c r="L1436" s="57"/>
      <c r="M1436" s="57"/>
      <c r="N1436" s="4"/>
      <c r="O1436" s="4">
        <v>295146704</v>
      </c>
      <c r="P1436" s="4">
        <v>295146719</v>
      </c>
      <c r="Q1436" s="767"/>
      <c r="R1436" s="767"/>
      <c r="S1436" s="4"/>
      <c r="T1436" s="4"/>
      <c r="U1436" s="4"/>
      <c r="V1436" s="4"/>
      <c r="W1436" s="4"/>
      <c r="X1436" s="4"/>
      <c r="Y1436" s="4" t="s">
        <v>4066</v>
      </c>
      <c r="Z1436" s="35"/>
      <c r="AA1436" s="1" t="str">
        <f>IFERROR(VLOOKUP(D:D,[1]Габариты!$A:$I,9,0),"")</f>
        <v>Вакансия</v>
      </c>
      <c r="AB1436" s="6" t="str">
        <f>IFERROR(VLOOKUP(D:D,[1]Габариты!$A:$D,4,0),"")</f>
        <v>СТУЛЬЯ</v>
      </c>
      <c r="AC1436" s="39">
        <f t="shared" si="199"/>
        <v>112284</v>
      </c>
      <c r="AD1436" s="13" t="str">
        <f t="shared" si="196"/>
        <v>FBS</v>
      </c>
    </row>
    <row r="1437" spans="1:30" s="6" customFormat="1" ht="20.100000000000001" customHeight="1" outlineLevel="1" x14ac:dyDescent="0.25">
      <c r="A1437" s="734" t="s">
        <v>337</v>
      </c>
      <c r="B1437" s="11"/>
      <c r="C1437" s="13" t="s">
        <v>2581</v>
      </c>
      <c r="D1437" s="40">
        <v>212284</v>
      </c>
      <c r="E1437" s="4"/>
      <c r="F1437" s="101">
        <v>212284</v>
      </c>
      <c r="G1437" s="57"/>
      <c r="H1437" s="4" t="s">
        <v>7312</v>
      </c>
      <c r="I1437" s="4"/>
      <c r="J1437" s="4"/>
      <c r="K1437" s="54"/>
      <c r="L1437" s="57"/>
      <c r="M1437" s="57"/>
      <c r="N1437" s="4"/>
      <c r="O1437" s="4">
        <v>295147113</v>
      </c>
      <c r="P1437" s="4">
        <v>295147128</v>
      </c>
      <c r="Q1437" s="767"/>
      <c r="R1437" s="767"/>
      <c r="S1437" s="4"/>
      <c r="T1437" s="4"/>
      <c r="U1437" s="4"/>
      <c r="V1437" s="4"/>
      <c r="W1437" s="4"/>
      <c r="X1437" s="4"/>
      <c r="Y1437" s="4" t="s">
        <v>4066</v>
      </c>
      <c r="Z1437" s="35"/>
      <c r="AA1437" s="1" t="str">
        <f>IFERROR(VLOOKUP(D:D,[1]Габариты!$A:$I,9,0),"")</f>
        <v>Вакансия</v>
      </c>
      <c r="AB1437" s="6" t="str">
        <f>IFERROR(VLOOKUP(D:D,[1]Габариты!$A:$D,4,0),"")</f>
        <v>СТУЛЬЯ</v>
      </c>
      <c r="AC1437" s="39">
        <f t="shared" si="199"/>
        <v>212284</v>
      </c>
      <c r="AD1437" s="13" t="str">
        <f t="shared" si="196"/>
        <v>FBS</v>
      </c>
    </row>
    <row r="1438" spans="1:30" s="6" customFormat="1" ht="20.100000000000001" customHeight="1" outlineLevel="1" x14ac:dyDescent="0.25">
      <c r="A1438" s="734" t="s">
        <v>339</v>
      </c>
      <c r="B1438" s="11"/>
      <c r="C1438" s="13" t="s">
        <v>2581</v>
      </c>
      <c r="D1438" s="40">
        <v>312284</v>
      </c>
      <c r="E1438" s="4">
        <v>6</v>
      </c>
      <c r="F1438" s="101">
        <v>312284</v>
      </c>
      <c r="G1438" s="57"/>
      <c r="H1438" s="4" t="s">
        <v>7313</v>
      </c>
      <c r="I1438" s="4"/>
      <c r="J1438" s="4"/>
      <c r="K1438" s="54"/>
      <c r="L1438" s="57"/>
      <c r="M1438" s="57"/>
      <c r="N1438" s="4"/>
      <c r="O1438" s="4">
        <v>295709062</v>
      </c>
      <c r="P1438" s="4">
        <v>295709063</v>
      </c>
      <c r="Q1438" s="767"/>
      <c r="R1438" s="767"/>
      <c r="S1438" s="4"/>
      <c r="T1438" s="4"/>
      <c r="U1438" s="4"/>
      <c r="V1438" s="4"/>
      <c r="W1438" s="4"/>
      <c r="X1438" s="4"/>
      <c r="Y1438" s="4" t="s">
        <v>4066</v>
      </c>
      <c r="Z1438" s="35"/>
      <c r="AA1438" s="1" t="str">
        <f>IFERROR(VLOOKUP(D:D,[1]Габариты!$A:$I,9,0),"")</f>
        <v>Вакансия</v>
      </c>
      <c r="AB1438" s="6" t="str">
        <f>IFERROR(VLOOKUP(D:D,[1]Габариты!$A:$D,4,0),"")</f>
        <v>СТУЛЬЯ</v>
      </c>
      <c r="AC1438" s="39">
        <f t="shared" si="199"/>
        <v>312284</v>
      </c>
      <c r="AD1438" s="13" t="str">
        <f t="shared" si="196"/>
        <v>FBS</v>
      </c>
    </row>
    <row r="1439" spans="1:30" s="6" customFormat="1" ht="20.100000000000001" customHeight="1" outlineLevel="1" x14ac:dyDescent="0.25">
      <c r="A1439" s="734" t="s">
        <v>310</v>
      </c>
      <c r="B1439" s="11"/>
      <c r="C1439" s="13" t="s">
        <v>3172</v>
      </c>
      <c r="D1439" s="40">
        <v>9258</v>
      </c>
      <c r="E1439" s="4"/>
      <c r="F1439" s="101">
        <v>9258</v>
      </c>
      <c r="G1439" s="57"/>
      <c r="H1439" s="4"/>
      <c r="I1439" s="4"/>
      <c r="J1439" s="4"/>
      <c r="K1439" s="54"/>
      <c r="L1439" s="57"/>
      <c r="M1439" s="57"/>
      <c r="N1439" s="766"/>
      <c r="O1439" s="4"/>
      <c r="P1439" s="4"/>
      <c r="Q1439" s="767"/>
      <c r="R1439" s="767"/>
      <c r="S1439" s="4"/>
      <c r="T1439" s="4"/>
      <c r="U1439" s="4"/>
      <c r="V1439" s="4"/>
      <c r="W1439" s="4"/>
      <c r="X1439" s="4"/>
      <c r="Y1439" s="4" t="s">
        <v>4066</v>
      </c>
      <c r="Z1439" s="35"/>
      <c r="AA1439" s="1" t="str">
        <f>IFERROR(VLOOKUP(D:D,[1]Габариты!$A:$I,9,0),"")</f>
        <v>Вакансия</v>
      </c>
      <c r="AB1439" s="6" t="str">
        <f>IFERROR(VLOOKUP(D:D,[1]Габариты!$A:$D,4,0),"")</f>
        <v>СТУЛЬЯ</v>
      </c>
      <c r="AC1439" s="39">
        <f t="shared" si="199"/>
        <v>9258</v>
      </c>
      <c r="AD1439" s="13" t="str">
        <f t="shared" si="196"/>
        <v xml:space="preserve">СКГТ </v>
      </c>
    </row>
    <row r="1440" spans="1:30" s="6" customFormat="1" ht="20.100000000000001" customHeight="1" outlineLevel="1" x14ac:dyDescent="0.25">
      <c r="A1440" s="734" t="s">
        <v>336</v>
      </c>
      <c r="B1440" s="11"/>
      <c r="C1440" s="13" t="s">
        <v>2581</v>
      </c>
      <c r="D1440" s="40">
        <v>212281</v>
      </c>
      <c r="E1440" s="4">
        <v>6</v>
      </c>
      <c r="F1440" s="101">
        <v>212281</v>
      </c>
      <c r="G1440" s="57"/>
      <c r="H1440" s="4"/>
      <c r="I1440" s="4"/>
      <c r="J1440" s="4"/>
      <c r="K1440" s="54"/>
      <c r="L1440" s="57"/>
      <c r="M1440" s="57"/>
      <c r="N1440" s="4" t="s">
        <v>2652</v>
      </c>
      <c r="O1440" s="4">
        <v>294950148</v>
      </c>
      <c r="P1440" s="4">
        <v>294952822</v>
      </c>
      <c r="Q1440" s="767"/>
      <c r="R1440" s="767"/>
      <c r="S1440" s="4"/>
      <c r="T1440" s="4"/>
      <c r="U1440" s="4"/>
      <c r="V1440" s="4"/>
      <c r="W1440" s="4"/>
      <c r="X1440" s="4"/>
      <c r="Y1440" s="4" t="s">
        <v>4066</v>
      </c>
      <c r="Z1440" s="35"/>
      <c r="AA1440" s="1" t="str">
        <f>IFERROR(VLOOKUP(D:D,[1]Габариты!$A:$I,9,0),"")</f>
        <v>Вакансия</v>
      </c>
      <c r="AB1440" s="6" t="str">
        <f>IFERROR(VLOOKUP(D:D,[1]Габариты!$A:$D,4,0),"")</f>
        <v>СТУЛЬЯ</v>
      </c>
      <c r="AC1440" s="39">
        <f t="shared" si="199"/>
        <v>212281</v>
      </c>
      <c r="AD1440" s="13" t="str">
        <f t="shared" si="196"/>
        <v>FBS</v>
      </c>
    </row>
    <row r="1441" spans="1:30" s="6" customFormat="1" ht="20.100000000000001" customHeight="1" outlineLevel="1" x14ac:dyDescent="0.25">
      <c r="A1441" s="734" t="s">
        <v>340</v>
      </c>
      <c r="B1441" s="11"/>
      <c r="C1441" s="13" t="s">
        <v>2581</v>
      </c>
      <c r="D1441" s="40">
        <v>412281</v>
      </c>
      <c r="E1441" s="4">
        <v>6</v>
      </c>
      <c r="F1441" s="101">
        <v>412281</v>
      </c>
      <c r="G1441" s="57"/>
      <c r="H1441" s="4" t="s">
        <v>7314</v>
      </c>
      <c r="I1441" s="4"/>
      <c r="J1441" s="4"/>
      <c r="K1441" s="54"/>
      <c r="L1441" s="57"/>
      <c r="M1441" s="57"/>
      <c r="N1441" s="4" t="s">
        <v>2653</v>
      </c>
      <c r="O1441" s="4">
        <v>295146538</v>
      </c>
      <c r="P1441" s="4">
        <v>295146541</v>
      </c>
      <c r="Q1441" s="767" t="s">
        <v>2926</v>
      </c>
      <c r="R1441" s="767">
        <v>389268018</v>
      </c>
      <c r="S1441" s="4">
        <v>389268019</v>
      </c>
      <c r="T1441" s="4"/>
      <c r="U1441" s="4"/>
      <c r="V1441" s="4"/>
      <c r="W1441" s="4"/>
      <c r="X1441" s="4"/>
      <c r="Y1441" s="4" t="s">
        <v>4066</v>
      </c>
      <c r="Z1441" s="35"/>
      <c r="AA1441" s="1" t="str">
        <f>IFERROR(VLOOKUP(D:D,[1]Габариты!$A:$I,9,0),"")</f>
        <v>Вакансия</v>
      </c>
      <c r="AB1441" s="6" t="str">
        <f>IFERROR(VLOOKUP(D:D,[1]Габариты!$A:$D,4,0),"")</f>
        <v>СТУЛЬЯ</v>
      </c>
      <c r="AC1441" s="39">
        <f t="shared" si="199"/>
        <v>412281</v>
      </c>
      <c r="AD1441" s="13" t="str">
        <f t="shared" si="196"/>
        <v>FBS</v>
      </c>
    </row>
    <row r="1442" spans="1:30" s="6" customFormat="1" ht="20.100000000000001" customHeight="1" outlineLevel="1" x14ac:dyDescent="0.25">
      <c r="A1442" s="734" t="s">
        <v>334</v>
      </c>
      <c r="B1442" s="11"/>
      <c r="C1442" s="13" t="s">
        <v>2581</v>
      </c>
      <c r="D1442" s="40">
        <v>112281</v>
      </c>
      <c r="E1442" s="4">
        <v>6</v>
      </c>
      <c r="F1442" s="101">
        <v>112281</v>
      </c>
      <c r="G1442" s="57"/>
      <c r="H1442" s="4" t="s">
        <v>7315</v>
      </c>
      <c r="I1442" s="4"/>
      <c r="J1442" s="4"/>
      <c r="K1442" s="54"/>
      <c r="L1442" s="57"/>
      <c r="M1442" s="57"/>
      <c r="N1442" s="4" t="s">
        <v>2654</v>
      </c>
      <c r="O1442" s="4">
        <v>294971905</v>
      </c>
      <c r="P1442" s="4">
        <v>294971918</v>
      </c>
      <c r="Q1442" s="767"/>
      <c r="R1442" s="767"/>
      <c r="S1442" s="4"/>
      <c r="T1442" s="4"/>
      <c r="U1442" s="4"/>
      <c r="V1442" s="4"/>
      <c r="W1442" s="4"/>
      <c r="X1442" s="4"/>
      <c r="Y1442" s="4" t="s">
        <v>4066</v>
      </c>
      <c r="Z1442" s="35"/>
      <c r="AA1442" s="1" t="str">
        <f>IFERROR(VLOOKUP(D:D,[1]Габариты!$A:$I,9,0),"")</f>
        <v>Вакансия</v>
      </c>
      <c r="AB1442" s="6" t="str">
        <f>IFERROR(VLOOKUP(D:D,[1]Габариты!$A:$D,4,0),"")</f>
        <v>СТУЛЬЯ</v>
      </c>
      <c r="AC1442" s="39">
        <f t="shared" si="199"/>
        <v>112281</v>
      </c>
      <c r="AD1442" s="13" t="str">
        <f t="shared" si="196"/>
        <v>FBS</v>
      </c>
    </row>
    <row r="1443" spans="1:30" s="6" customFormat="1" ht="20.100000000000001" customHeight="1" outlineLevel="1" x14ac:dyDescent="0.25">
      <c r="A1443" s="734" t="s">
        <v>338</v>
      </c>
      <c r="B1443" s="11"/>
      <c r="C1443" s="13" t="s">
        <v>2581</v>
      </c>
      <c r="D1443" s="40">
        <v>312281</v>
      </c>
      <c r="E1443" s="4">
        <v>6</v>
      </c>
      <c r="F1443" s="101">
        <v>312281</v>
      </c>
      <c r="G1443" s="57"/>
      <c r="H1443" s="4" t="s">
        <v>7316</v>
      </c>
      <c r="I1443" s="4"/>
      <c r="J1443" s="4"/>
      <c r="K1443" s="54"/>
      <c r="L1443" s="57"/>
      <c r="M1443" s="57"/>
      <c r="N1443" s="4" t="s">
        <v>2655</v>
      </c>
      <c r="O1443" s="4">
        <v>295147968</v>
      </c>
      <c r="P1443" s="4">
        <v>295147995</v>
      </c>
      <c r="Q1443" s="767"/>
      <c r="R1443" s="767"/>
      <c r="S1443" s="4"/>
      <c r="T1443" s="4"/>
      <c r="U1443" s="4"/>
      <c r="V1443" s="4"/>
      <c r="W1443" s="4"/>
      <c r="X1443" s="4"/>
      <c r="Y1443" s="4" t="s">
        <v>4066</v>
      </c>
      <c r="Z1443" s="35"/>
      <c r="AA1443" s="1" t="str">
        <f>IFERROR(VLOOKUP(D:D,[1]Габариты!$A:$I,9,0),"")</f>
        <v>Вакансия</v>
      </c>
      <c r="AB1443" s="6" t="str">
        <f>IFERROR(VLOOKUP(D:D,[1]Габариты!$A:$D,4,0),"")</f>
        <v>СТУЛЬЯ</v>
      </c>
      <c r="AC1443" s="39">
        <f t="shared" si="199"/>
        <v>312281</v>
      </c>
      <c r="AD1443" s="13" t="str">
        <f t="shared" si="196"/>
        <v>FBS</v>
      </c>
    </row>
    <row r="1444" spans="1:30" s="6" customFormat="1" ht="20.100000000000001" customHeight="1" outlineLevel="1" x14ac:dyDescent="0.25">
      <c r="A1444" s="635" t="s">
        <v>476</v>
      </c>
      <c r="B1444" s="15"/>
      <c r="C1444" s="13" t="s">
        <v>2582</v>
      </c>
      <c r="D1444" s="39">
        <v>59795</v>
      </c>
      <c r="E1444" s="4">
        <v>6</v>
      </c>
      <c r="F1444" s="101">
        <v>59795</v>
      </c>
      <c r="G1444" s="57"/>
      <c r="H1444" s="4" t="s">
        <v>7317</v>
      </c>
      <c r="I1444" s="4"/>
      <c r="J1444" s="4"/>
      <c r="K1444" s="54"/>
      <c r="L1444" s="57"/>
      <c r="M1444" s="57"/>
      <c r="N1444" s="4" t="s">
        <v>2657</v>
      </c>
      <c r="O1444" s="4">
        <v>384302629</v>
      </c>
      <c r="P1444" s="4">
        <v>384302632</v>
      </c>
      <c r="Q1444" s="767" t="s">
        <v>2928</v>
      </c>
      <c r="R1444" s="767">
        <v>384301210</v>
      </c>
      <c r="S1444" s="4">
        <v>384301209</v>
      </c>
      <c r="T1444" s="4"/>
      <c r="U1444" s="4"/>
      <c r="V1444" s="4"/>
      <c r="W1444" s="4"/>
      <c r="X1444" s="4"/>
      <c r="Y1444" s="4" t="s">
        <v>4066</v>
      </c>
      <c r="Z1444" s="35"/>
      <c r="AA1444" s="1" t="str">
        <f>IFERROR(VLOOKUP(D:D,[1]Габариты!$A:$I,9,0),"")</f>
        <v>Вакансия</v>
      </c>
      <c r="AB1444" s="6" t="str">
        <f>IFERROR(VLOOKUP(D:D,[1]Габариты!$A:$D,4,0),"")</f>
        <v>СТУЛЬЯ</v>
      </c>
      <c r="AC1444" s="39">
        <f t="shared" si="199"/>
        <v>59795</v>
      </c>
      <c r="AD1444" s="13" t="str">
        <f t="shared" si="196"/>
        <v>FBO</v>
      </c>
    </row>
    <row r="1445" spans="1:30" s="6" customFormat="1" ht="20.100000000000001" customHeight="1" outlineLevel="1" x14ac:dyDescent="0.25">
      <c r="A1445" s="635" t="s">
        <v>477</v>
      </c>
      <c r="B1445" s="15"/>
      <c r="C1445" s="13" t="s">
        <v>2582</v>
      </c>
      <c r="D1445" s="39">
        <v>60985</v>
      </c>
      <c r="E1445" s="4">
        <v>6</v>
      </c>
      <c r="F1445" s="101">
        <v>60985</v>
      </c>
      <c r="G1445" s="57"/>
      <c r="H1445" s="4" t="s">
        <v>7318</v>
      </c>
      <c r="I1445" s="4"/>
      <c r="J1445" s="4"/>
      <c r="K1445" s="54"/>
      <c r="L1445" s="57"/>
      <c r="M1445" s="57"/>
      <c r="N1445" s="4" t="s">
        <v>2658</v>
      </c>
      <c r="O1445" s="4">
        <v>384285183</v>
      </c>
      <c r="P1445" s="4">
        <v>384285182</v>
      </c>
      <c r="Q1445" s="767" t="s">
        <v>2929</v>
      </c>
      <c r="R1445" s="767">
        <v>384585754</v>
      </c>
      <c r="S1445" s="4">
        <v>384585753</v>
      </c>
      <c r="T1445" s="4"/>
      <c r="U1445" s="4"/>
      <c r="V1445" s="4"/>
      <c r="W1445" s="4"/>
      <c r="X1445" s="4"/>
      <c r="Y1445" s="4" t="s">
        <v>4066</v>
      </c>
      <c r="Z1445" s="35"/>
      <c r="AA1445" s="1" t="str">
        <f>IFERROR(VLOOKUP(D:D,[1]Габариты!$A:$I,9,0),"")</f>
        <v>Вакансия</v>
      </c>
      <c r="AB1445" s="6" t="str">
        <f>IFERROR(VLOOKUP(D:D,[1]Габариты!$A:$D,4,0),"")</f>
        <v>СТУЛЬЯ</v>
      </c>
      <c r="AC1445" s="39">
        <f t="shared" si="199"/>
        <v>60985</v>
      </c>
      <c r="AD1445" s="13" t="str">
        <f t="shared" si="196"/>
        <v>FBO</v>
      </c>
    </row>
    <row r="1446" spans="1:30" s="6" customFormat="1" ht="20.100000000000001" customHeight="1" outlineLevel="1" x14ac:dyDescent="0.25">
      <c r="A1446" s="635" t="s">
        <v>478</v>
      </c>
      <c r="B1446" s="15"/>
      <c r="C1446" s="13" t="s">
        <v>2581</v>
      </c>
      <c r="D1446" s="39">
        <v>512284</v>
      </c>
      <c r="E1446" s="4"/>
      <c r="F1446" s="101">
        <v>512284</v>
      </c>
      <c r="G1446" s="57"/>
      <c r="H1446" s="4"/>
      <c r="I1446" s="4"/>
      <c r="J1446" s="4"/>
      <c r="K1446" s="54"/>
      <c r="L1446" s="57"/>
      <c r="M1446" s="57"/>
      <c r="N1446" s="766"/>
      <c r="O1446" s="4"/>
      <c r="P1446" s="4"/>
      <c r="Q1446" s="767"/>
      <c r="R1446" s="767"/>
      <c r="S1446" s="4"/>
      <c r="T1446" s="4"/>
      <c r="U1446" s="4"/>
      <c r="V1446" s="4"/>
      <c r="W1446" s="4"/>
      <c r="X1446" s="4"/>
      <c r="Y1446" s="4" t="s">
        <v>4066</v>
      </c>
      <c r="Z1446" s="35"/>
      <c r="AA1446" s="1" t="str">
        <f>IFERROR(VLOOKUP(D:D,[1]Габариты!$A:$I,9,0),"")</f>
        <v>Вакансия</v>
      </c>
      <c r="AB1446" s="6" t="str">
        <f>IFERROR(VLOOKUP(D:D,[1]Габариты!$A:$D,4,0),"")</f>
        <v>СТУЛЬЯ</v>
      </c>
      <c r="AC1446" s="39">
        <f t="shared" si="199"/>
        <v>512284</v>
      </c>
      <c r="AD1446" s="13" t="str">
        <f t="shared" si="196"/>
        <v>FBS</v>
      </c>
    </row>
    <row r="1447" spans="1:30" s="6" customFormat="1" ht="20.100000000000001" customHeight="1" outlineLevel="1" x14ac:dyDescent="0.25">
      <c r="A1447" s="635" t="s">
        <v>479</v>
      </c>
      <c r="B1447" s="15"/>
      <c r="C1447" s="13" t="s">
        <v>2581</v>
      </c>
      <c r="D1447" s="39">
        <v>612281</v>
      </c>
      <c r="E1447" s="4">
        <v>6</v>
      </c>
      <c r="F1447" s="101">
        <v>612281</v>
      </c>
      <c r="G1447" s="57"/>
      <c r="H1447" s="4" t="s">
        <v>7319</v>
      </c>
      <c r="I1447" s="4"/>
      <c r="J1447" s="4"/>
      <c r="K1447" s="54"/>
      <c r="L1447" s="57"/>
      <c r="M1447" s="57"/>
      <c r="N1447" s="4" t="s">
        <v>2659</v>
      </c>
      <c r="O1447" s="4">
        <v>470695079</v>
      </c>
      <c r="P1447" s="4">
        <v>470695080</v>
      </c>
      <c r="Q1447" s="767"/>
      <c r="R1447" s="767"/>
      <c r="S1447" s="4"/>
      <c r="T1447" s="4"/>
      <c r="U1447" s="4"/>
      <c r="V1447" s="4"/>
      <c r="W1447" s="4"/>
      <c r="X1447" s="4"/>
      <c r="Y1447" s="4" t="s">
        <v>4066</v>
      </c>
      <c r="Z1447" s="35"/>
      <c r="AA1447" s="1" t="str">
        <f>IFERROR(VLOOKUP(D:D,[1]Габариты!$A:$I,9,0),"")</f>
        <v>Вакансия</v>
      </c>
      <c r="AB1447" s="6" t="str">
        <f>IFERROR(VLOOKUP(D:D,[1]Габариты!$A:$D,4,0),"")</f>
        <v>СТУЛЬЯ</v>
      </c>
      <c r="AC1447" s="39">
        <f t="shared" si="199"/>
        <v>612281</v>
      </c>
      <c r="AD1447" s="13" t="str">
        <f t="shared" si="196"/>
        <v>FBS</v>
      </c>
    </row>
    <row r="1448" spans="1:30" s="6" customFormat="1" ht="20.100000000000001" customHeight="1" outlineLevel="1" x14ac:dyDescent="0.25">
      <c r="A1448" s="635" t="s">
        <v>550</v>
      </c>
      <c r="B1448" s="25"/>
      <c r="C1448" s="13" t="s">
        <v>2581</v>
      </c>
      <c r="D1448" s="39">
        <v>59561</v>
      </c>
      <c r="E1448" s="4">
        <v>6</v>
      </c>
      <c r="F1448" s="101">
        <v>59561</v>
      </c>
      <c r="G1448" s="57"/>
      <c r="H1448" s="4" t="s">
        <v>7320</v>
      </c>
      <c r="I1448" s="4"/>
      <c r="J1448" s="4"/>
      <c r="K1448" s="54"/>
      <c r="L1448" s="57"/>
      <c r="M1448" s="57"/>
      <c r="N1448" s="4" t="s">
        <v>938</v>
      </c>
      <c r="O1448" s="4">
        <v>490964350</v>
      </c>
      <c r="P1448" s="4">
        <v>490964351</v>
      </c>
      <c r="Q1448" s="767"/>
      <c r="R1448" s="767"/>
      <c r="S1448" s="4"/>
      <c r="T1448" s="4"/>
      <c r="U1448" s="4"/>
      <c r="V1448" s="4"/>
      <c r="W1448" s="4"/>
      <c r="X1448" s="4" t="s">
        <v>938</v>
      </c>
      <c r="Y1448" s="4" t="s">
        <v>4066</v>
      </c>
      <c r="Z1448" s="35"/>
      <c r="AA1448" s="1" t="str">
        <f>IFERROR(VLOOKUP(D:D,[1]Габариты!$A:$I,9,0),"")</f>
        <v>Вакансия</v>
      </c>
      <c r="AB1448" s="6" t="str">
        <f>IFERROR(VLOOKUP(D:D,[1]Габариты!$A:$D,4,0),"")</f>
        <v>СТУЛЬЯ</v>
      </c>
      <c r="AC1448" s="39">
        <f t="shared" si="199"/>
        <v>59561</v>
      </c>
      <c r="AD1448" s="13" t="str">
        <f t="shared" si="196"/>
        <v>FBS</v>
      </c>
    </row>
    <row r="1449" spans="1:30" s="6" customFormat="1" ht="20.100000000000001" customHeight="1" outlineLevel="1" x14ac:dyDescent="0.25">
      <c r="A1449" s="635" t="s">
        <v>551</v>
      </c>
      <c r="B1449" s="25"/>
      <c r="C1449" s="13" t="s">
        <v>3172</v>
      </c>
      <c r="D1449" s="39">
        <v>59590</v>
      </c>
      <c r="E1449" s="4">
        <v>6</v>
      </c>
      <c r="F1449" s="101">
        <v>59590</v>
      </c>
      <c r="G1449" s="57"/>
      <c r="H1449" s="4" t="s">
        <v>7321</v>
      </c>
      <c r="I1449" s="4"/>
      <c r="J1449" s="4"/>
      <c r="K1449" s="54"/>
      <c r="L1449" s="57"/>
      <c r="M1449" s="57"/>
      <c r="N1449" s="4" t="s">
        <v>2660</v>
      </c>
      <c r="O1449" s="4">
        <v>490962079</v>
      </c>
      <c r="P1449" s="4">
        <v>490962080</v>
      </c>
      <c r="Q1449" s="767"/>
      <c r="R1449" s="767"/>
      <c r="S1449" s="4"/>
      <c r="T1449" s="4"/>
      <c r="U1449" s="4"/>
      <c r="V1449" s="4"/>
      <c r="W1449" s="4"/>
      <c r="X1449" s="4"/>
      <c r="Y1449" s="4" t="s">
        <v>4066</v>
      </c>
      <c r="Z1449" s="35"/>
      <c r="AA1449" s="1" t="str">
        <f>IFERROR(VLOOKUP(D:D,[1]Габариты!$A:$I,9,0),"")</f>
        <v>Вакансия</v>
      </c>
      <c r="AB1449" s="6" t="str">
        <f>IFERROR(VLOOKUP(D:D,[1]Габариты!$A:$D,4,0),"")</f>
        <v>СТУЛЬЯ</v>
      </c>
      <c r="AC1449" s="39">
        <f t="shared" si="199"/>
        <v>59590</v>
      </c>
      <c r="AD1449" s="13" t="str">
        <f t="shared" si="196"/>
        <v xml:space="preserve">СКГТ </v>
      </c>
    </row>
    <row r="1450" spans="1:30" s="6" customFormat="1" ht="20.100000000000001" customHeight="1" outlineLevel="1" x14ac:dyDescent="0.25">
      <c r="A1450" s="635" t="s">
        <v>552</v>
      </c>
      <c r="B1450" s="25"/>
      <c r="C1450" s="13" t="s">
        <v>2581</v>
      </c>
      <c r="D1450" s="39">
        <v>59591</v>
      </c>
      <c r="E1450" s="4">
        <v>6</v>
      </c>
      <c r="F1450" s="101">
        <v>59591</v>
      </c>
      <c r="G1450" s="57"/>
      <c r="H1450" s="4" t="s">
        <v>7322</v>
      </c>
      <c r="I1450" s="4"/>
      <c r="J1450" s="4"/>
      <c r="K1450" s="54"/>
      <c r="L1450" s="57"/>
      <c r="M1450" s="57"/>
      <c r="N1450" s="4" t="s">
        <v>2661</v>
      </c>
      <c r="O1450" s="4">
        <v>490961831</v>
      </c>
      <c r="P1450" s="4">
        <v>490961832</v>
      </c>
      <c r="Q1450" s="767"/>
      <c r="R1450" s="767"/>
      <c r="S1450" s="4"/>
      <c r="T1450" s="4"/>
      <c r="U1450" s="4"/>
      <c r="V1450" s="4"/>
      <c r="W1450" s="4"/>
      <c r="X1450" s="4"/>
      <c r="Y1450" s="4" t="s">
        <v>4066</v>
      </c>
      <c r="Z1450" s="35"/>
      <c r="AA1450" s="1" t="str">
        <f>IFERROR(VLOOKUP(D:D,[1]Габариты!$A:$I,9,0),"")</f>
        <v>Вакансия</v>
      </c>
      <c r="AB1450" s="6" t="str">
        <f>IFERROR(VLOOKUP(D:D,[1]Габариты!$A:$D,4,0),"")</f>
        <v>СТУЛЬЯ</v>
      </c>
      <c r="AC1450" s="39">
        <f t="shared" si="199"/>
        <v>59591</v>
      </c>
      <c r="AD1450" s="13" t="str">
        <f t="shared" si="196"/>
        <v>FBS</v>
      </c>
    </row>
    <row r="1451" spans="1:30" s="6" customFormat="1" ht="20.100000000000001" customHeight="1" outlineLevel="1" x14ac:dyDescent="0.25">
      <c r="A1451" s="635" t="s">
        <v>553</v>
      </c>
      <c r="B1451" s="25"/>
      <c r="C1451" s="13" t="s">
        <v>3172</v>
      </c>
      <c r="D1451" s="39">
        <v>59592</v>
      </c>
      <c r="E1451" s="4">
        <v>6</v>
      </c>
      <c r="F1451" s="101">
        <v>59592</v>
      </c>
      <c r="G1451" s="57"/>
      <c r="H1451" s="4"/>
      <c r="I1451" s="4"/>
      <c r="J1451" s="4"/>
      <c r="K1451" s="54"/>
      <c r="L1451" s="57"/>
      <c r="M1451" s="57"/>
      <c r="N1451" s="4" t="s">
        <v>2662</v>
      </c>
      <c r="O1451" s="4">
        <v>490966857</v>
      </c>
      <c r="P1451" s="4">
        <v>490966856</v>
      </c>
      <c r="Q1451" s="767"/>
      <c r="R1451" s="767"/>
      <c r="S1451" s="4"/>
      <c r="T1451" s="4"/>
      <c r="U1451" s="4"/>
      <c r="V1451" s="4"/>
      <c r="W1451" s="4"/>
      <c r="X1451" s="4"/>
      <c r="Y1451" s="4" t="s">
        <v>4066</v>
      </c>
      <c r="Z1451" s="35"/>
      <c r="AA1451" s="1" t="str">
        <f>IFERROR(VLOOKUP(D:D,[1]Габариты!$A:$I,9,0),"")</f>
        <v>Вакансия</v>
      </c>
      <c r="AB1451" s="6" t="str">
        <f>IFERROR(VLOOKUP(D:D,[1]Габариты!$A:$D,4,0),"")</f>
        <v>СТУЛЬЯ</v>
      </c>
      <c r="AC1451" s="39">
        <f t="shared" si="199"/>
        <v>59592</v>
      </c>
      <c r="AD1451" s="13" t="str">
        <f t="shared" ref="AD1451:AD1519" si="202">C1451</f>
        <v xml:space="preserve">СКГТ </v>
      </c>
    </row>
    <row r="1452" spans="1:30" s="6" customFormat="1" ht="20.100000000000001" customHeight="1" outlineLevel="1" x14ac:dyDescent="0.25">
      <c r="A1452" s="635" t="s">
        <v>554</v>
      </c>
      <c r="B1452" s="25"/>
      <c r="C1452" s="13" t="s">
        <v>3172</v>
      </c>
      <c r="D1452" s="39">
        <v>59593</v>
      </c>
      <c r="E1452" s="4">
        <v>6</v>
      </c>
      <c r="F1452" s="101">
        <v>59593</v>
      </c>
      <c r="G1452" s="57"/>
      <c r="H1452" s="4" t="s">
        <v>7323</v>
      </c>
      <c r="I1452" s="4"/>
      <c r="J1452" s="4"/>
      <c r="K1452" s="54"/>
      <c r="L1452" s="57"/>
      <c r="M1452" s="57"/>
      <c r="N1452" s="806" t="s">
        <v>7697</v>
      </c>
      <c r="O1452" s="4">
        <v>490969781</v>
      </c>
      <c r="P1452" s="4">
        <v>490969780</v>
      </c>
      <c r="Q1452" s="767"/>
      <c r="R1452" s="767"/>
      <c r="S1452" s="4"/>
      <c r="T1452" s="4"/>
      <c r="U1452" s="4"/>
      <c r="V1452" s="4"/>
      <c r="W1452" s="4"/>
      <c r="X1452" s="4"/>
      <c r="Y1452" s="4" t="s">
        <v>4066</v>
      </c>
      <c r="Z1452" s="35"/>
      <c r="AA1452" s="1" t="str">
        <f>IFERROR(VLOOKUP(D:D,[1]Габариты!$A:$I,9,0),"")</f>
        <v>Вакансия</v>
      </c>
      <c r="AB1452" s="6" t="str">
        <f>IFERROR(VLOOKUP(D:D,[1]Габариты!$A:$D,4,0),"")</f>
        <v>СТУЛЬЯ</v>
      </c>
      <c r="AC1452" s="39">
        <f t="shared" si="199"/>
        <v>59593</v>
      </c>
      <c r="AD1452" s="13" t="str">
        <f t="shared" si="202"/>
        <v xml:space="preserve">СКГТ </v>
      </c>
    </row>
    <row r="1453" spans="1:30" s="6" customFormat="1" ht="20.100000000000001" customHeight="1" outlineLevel="1" x14ac:dyDescent="0.25">
      <c r="A1453" s="635" t="s">
        <v>556</v>
      </c>
      <c r="B1453" s="25"/>
      <c r="C1453" s="13" t="s">
        <v>3172</v>
      </c>
      <c r="D1453" s="39">
        <v>59595</v>
      </c>
      <c r="E1453" s="4">
        <v>6</v>
      </c>
      <c r="F1453" s="101">
        <v>59595</v>
      </c>
      <c r="G1453" s="57"/>
      <c r="H1453" s="4" t="s">
        <v>7324</v>
      </c>
      <c r="I1453" s="4"/>
      <c r="J1453" s="4"/>
      <c r="K1453" s="54"/>
      <c r="L1453" s="57"/>
      <c r="M1453" s="57"/>
      <c r="N1453" s="4"/>
      <c r="O1453" s="4">
        <v>492054273</v>
      </c>
      <c r="P1453" s="4">
        <v>492054272</v>
      </c>
      <c r="Q1453" s="767"/>
      <c r="R1453" s="767"/>
      <c r="S1453" s="4"/>
      <c r="T1453" s="4"/>
      <c r="U1453" s="4"/>
      <c r="V1453" s="4"/>
      <c r="W1453" s="4"/>
      <c r="X1453" s="4" t="s">
        <v>940</v>
      </c>
      <c r="Y1453" s="4" t="s">
        <v>4066</v>
      </c>
      <c r="Z1453" s="35"/>
      <c r="AA1453" s="1" t="str">
        <f>IFERROR(VLOOKUP(D:D,[1]Габариты!$A:$I,9,0),"")</f>
        <v>Вакансия</v>
      </c>
      <c r="AB1453" s="6" t="str">
        <f>IFERROR(VLOOKUP(D:D,[1]Габариты!$A:$D,4,0),"")</f>
        <v>СТУЛЬЯ</v>
      </c>
      <c r="AC1453" s="39">
        <f t="shared" si="199"/>
        <v>59595</v>
      </c>
      <c r="AD1453" s="13" t="str">
        <f t="shared" si="202"/>
        <v xml:space="preserve">СКГТ </v>
      </c>
    </row>
    <row r="1454" spans="1:30" s="6" customFormat="1" ht="20.100000000000001" customHeight="1" outlineLevel="1" x14ac:dyDescent="0.25">
      <c r="A1454" s="635" t="s">
        <v>557</v>
      </c>
      <c r="B1454" s="25"/>
      <c r="C1454" s="13" t="s">
        <v>2581</v>
      </c>
      <c r="D1454" s="39">
        <v>59596</v>
      </c>
      <c r="E1454" s="4">
        <v>6</v>
      </c>
      <c r="F1454" s="101">
        <v>59596</v>
      </c>
      <c r="G1454" s="57"/>
      <c r="H1454" s="4" t="s">
        <v>7325</v>
      </c>
      <c r="I1454" s="4"/>
      <c r="J1454" s="4"/>
      <c r="K1454" s="54"/>
      <c r="L1454" s="57"/>
      <c r="M1454" s="57"/>
      <c r="N1454" s="4"/>
      <c r="O1454" s="4">
        <v>489811868</v>
      </c>
      <c r="P1454" s="4">
        <v>489811869</v>
      </c>
      <c r="Q1454" s="767"/>
      <c r="R1454" s="767"/>
      <c r="S1454" s="4"/>
      <c r="T1454" s="4"/>
      <c r="U1454" s="4"/>
      <c r="V1454" s="4"/>
      <c r="W1454" s="4"/>
      <c r="X1454" s="4"/>
      <c r="Y1454" s="4" t="s">
        <v>4066</v>
      </c>
      <c r="Z1454" s="35"/>
      <c r="AA1454" s="1" t="str">
        <f>IFERROR(VLOOKUP(D:D,[1]Габариты!$A:$I,9,0),"")</f>
        <v>Вакансия</v>
      </c>
      <c r="AB1454" s="6" t="str">
        <f>IFERROR(VLOOKUP(D:D,[1]Габариты!$A:$D,4,0),"")</f>
        <v>СТУЛЬЯ</v>
      </c>
      <c r="AC1454" s="39">
        <f t="shared" si="199"/>
        <v>59596</v>
      </c>
      <c r="AD1454" s="13" t="str">
        <f t="shared" si="202"/>
        <v>FBS</v>
      </c>
    </row>
    <row r="1455" spans="1:30" s="6" customFormat="1" ht="20.100000000000001" customHeight="1" outlineLevel="1" x14ac:dyDescent="0.25">
      <c r="A1455" s="635" t="s">
        <v>558</v>
      </c>
      <c r="B1455" s="25"/>
      <c r="C1455" s="13" t="s">
        <v>2581</v>
      </c>
      <c r="D1455" s="39">
        <v>59597</v>
      </c>
      <c r="E1455" s="4">
        <v>6</v>
      </c>
      <c r="F1455" s="101">
        <v>59597</v>
      </c>
      <c r="G1455" s="57"/>
      <c r="H1455" s="4" t="s">
        <v>7326</v>
      </c>
      <c r="I1455" s="4"/>
      <c r="J1455" s="4"/>
      <c r="K1455" s="54"/>
      <c r="L1455" s="57"/>
      <c r="M1455" s="57"/>
      <c r="N1455" s="4"/>
      <c r="O1455" s="4">
        <v>487694408</v>
      </c>
      <c r="P1455" s="4">
        <v>487694407</v>
      </c>
      <c r="Q1455" s="767"/>
      <c r="R1455" s="767"/>
      <c r="S1455" s="4"/>
      <c r="T1455" s="4"/>
      <c r="U1455" s="4"/>
      <c r="V1455" s="4"/>
      <c r="W1455" s="4"/>
      <c r="X1455" s="4"/>
      <c r="Y1455" s="4" t="s">
        <v>4066</v>
      </c>
      <c r="Z1455" s="35"/>
      <c r="AA1455" s="1" t="str">
        <f>IFERROR(VLOOKUP(D:D,[1]Габариты!$A:$I,9,0),"")</f>
        <v>Вакансия</v>
      </c>
      <c r="AB1455" s="6" t="str">
        <f>IFERROR(VLOOKUP(D:D,[1]Габариты!$A:$D,4,0),"")</f>
        <v>СТУЛЬЯ</v>
      </c>
      <c r="AC1455" s="39">
        <f t="shared" si="199"/>
        <v>59597</v>
      </c>
      <c r="AD1455" s="13" t="str">
        <f t="shared" si="202"/>
        <v>FBS</v>
      </c>
    </row>
    <row r="1456" spans="1:30" s="6" customFormat="1" ht="20.100000000000001" customHeight="1" outlineLevel="1" x14ac:dyDescent="0.25">
      <c r="A1456" s="635" t="s">
        <v>559</v>
      </c>
      <c r="B1456" s="25"/>
      <c r="C1456" s="13" t="s">
        <v>2581</v>
      </c>
      <c r="D1456" s="39">
        <v>59598</v>
      </c>
      <c r="E1456" s="4">
        <v>6</v>
      </c>
      <c r="F1456" s="101">
        <v>59598</v>
      </c>
      <c r="G1456" s="57"/>
      <c r="H1456" s="4"/>
      <c r="I1456" s="4"/>
      <c r="J1456" s="4"/>
      <c r="K1456" s="54"/>
      <c r="L1456" s="57"/>
      <c r="M1456" s="57"/>
      <c r="N1456" s="4"/>
      <c r="O1456" s="4">
        <v>487957542</v>
      </c>
      <c r="P1456" s="4">
        <v>487957541</v>
      </c>
      <c r="Q1456" s="767"/>
      <c r="R1456" s="767"/>
      <c r="S1456" s="4"/>
      <c r="T1456" s="4"/>
      <c r="U1456" s="4"/>
      <c r="V1456" s="4"/>
      <c r="W1456" s="4"/>
      <c r="X1456" s="4"/>
      <c r="Y1456" s="4" t="s">
        <v>4066</v>
      </c>
      <c r="Z1456" s="35"/>
      <c r="AA1456" s="1" t="str">
        <f>IFERROR(VLOOKUP(D:D,[1]Габариты!$A:$I,9,0),"")</f>
        <v>Вакансия</v>
      </c>
      <c r="AB1456" s="6" t="str">
        <f>IFERROR(VLOOKUP(D:D,[1]Габариты!$A:$D,4,0),"")</f>
        <v>СТУЛЬЯ</v>
      </c>
      <c r="AC1456" s="39">
        <f t="shared" si="199"/>
        <v>59598</v>
      </c>
      <c r="AD1456" s="13" t="str">
        <f t="shared" si="202"/>
        <v>FBS</v>
      </c>
    </row>
    <row r="1457" spans="1:30" s="6" customFormat="1" ht="20.100000000000001" customHeight="1" outlineLevel="1" x14ac:dyDescent="0.25">
      <c r="A1457" s="635" t="s">
        <v>560</v>
      </c>
      <c r="B1457" s="25"/>
      <c r="C1457" s="13" t="s">
        <v>2581</v>
      </c>
      <c r="D1457" s="39">
        <v>59599</v>
      </c>
      <c r="E1457" s="4">
        <v>6</v>
      </c>
      <c r="F1457" s="101">
        <v>59599</v>
      </c>
      <c r="G1457" s="57"/>
      <c r="H1457" s="4"/>
      <c r="I1457" s="4"/>
      <c r="J1457" s="4"/>
      <c r="K1457" s="54"/>
      <c r="L1457" s="57"/>
      <c r="M1457" s="57"/>
      <c r="N1457" s="806" t="s">
        <v>7685</v>
      </c>
      <c r="O1457" s="4">
        <v>495799398</v>
      </c>
      <c r="P1457" s="4">
        <v>495799399</v>
      </c>
      <c r="Q1457" s="767"/>
      <c r="R1457" s="767"/>
      <c r="S1457" s="4"/>
      <c r="T1457" s="4"/>
      <c r="U1457" s="4"/>
      <c r="V1457" s="4"/>
      <c r="W1457" s="4"/>
      <c r="X1457" s="4"/>
      <c r="Y1457" s="4" t="s">
        <v>4066</v>
      </c>
      <c r="Z1457" s="35"/>
      <c r="AA1457" s="1" t="str">
        <f>IFERROR(VLOOKUP(D:D,[1]Габариты!$A:$I,9,0),"")</f>
        <v>Вакансия</v>
      </c>
      <c r="AB1457" s="6" t="str">
        <f>IFERROR(VLOOKUP(D:D,[1]Габариты!$A:$D,4,0),"")</f>
        <v>СТУЛЬЯ</v>
      </c>
      <c r="AC1457" s="39">
        <f t="shared" si="199"/>
        <v>59599</v>
      </c>
      <c r="AD1457" s="13" t="str">
        <f t="shared" si="202"/>
        <v>FBS</v>
      </c>
    </row>
    <row r="1458" spans="1:30" s="6" customFormat="1" ht="20.100000000000001" customHeight="1" outlineLevel="1" x14ac:dyDescent="0.25">
      <c r="A1458" s="635" t="s">
        <v>1034</v>
      </c>
      <c r="B1458" s="25"/>
      <c r="C1458" s="13" t="s">
        <v>2582</v>
      </c>
      <c r="D1458" s="39">
        <v>10272</v>
      </c>
      <c r="E1458" s="4"/>
      <c r="F1458" s="101">
        <v>10272</v>
      </c>
      <c r="G1458" s="57"/>
      <c r="H1458" s="4"/>
      <c r="I1458" s="4" t="s">
        <v>1318</v>
      </c>
      <c r="J1458" s="4"/>
      <c r="K1458" s="54"/>
      <c r="L1458" s="57"/>
      <c r="M1458" s="57"/>
      <c r="N1458" s="4"/>
      <c r="O1458" s="818"/>
      <c r="P1458" s="818"/>
      <c r="Q1458" s="767" t="s">
        <v>2930</v>
      </c>
      <c r="R1458" s="767">
        <v>615651645</v>
      </c>
      <c r="S1458" s="4">
        <v>615651645</v>
      </c>
      <c r="T1458" s="4"/>
      <c r="U1458" s="4"/>
      <c r="V1458" s="4"/>
      <c r="W1458" s="4"/>
      <c r="X1458" s="4"/>
      <c r="Y1458" s="4" t="s">
        <v>4066</v>
      </c>
      <c r="Z1458" s="35"/>
      <c r="AA1458" s="1" t="str">
        <f>IFERROR(VLOOKUP(D:D,[1]Габариты!$A:$I,9,0),"")</f>
        <v>Вакансия</v>
      </c>
      <c r="AB1458" s="6" t="str">
        <f>IFERROR(VLOOKUP(D:D,[1]Габариты!$A:$D,4,0),"")</f>
        <v>СТУЛЬЯ</v>
      </c>
      <c r="AC1458" s="39">
        <f t="shared" si="199"/>
        <v>10272</v>
      </c>
      <c r="AD1458" s="13" t="str">
        <f t="shared" si="202"/>
        <v>FBO</v>
      </c>
    </row>
    <row r="1459" spans="1:30" s="6" customFormat="1" ht="20.100000000000001" customHeight="1" outlineLevel="1" x14ac:dyDescent="0.25">
      <c r="A1459" s="635" t="s">
        <v>1533</v>
      </c>
      <c r="B1459" s="25"/>
      <c r="C1459" s="13" t="s">
        <v>2581</v>
      </c>
      <c r="D1459" s="39" t="s">
        <v>1534</v>
      </c>
      <c r="E1459" s="4">
        <v>33</v>
      </c>
      <c r="F1459" s="101" t="s">
        <v>6318</v>
      </c>
      <c r="G1459" s="57" t="s">
        <v>5198</v>
      </c>
      <c r="H1459" s="4" t="s">
        <v>7327</v>
      </c>
      <c r="I1459" s="4"/>
      <c r="J1459" s="4"/>
      <c r="K1459" s="54" t="s">
        <v>6318</v>
      </c>
      <c r="L1459" s="57">
        <v>937376342</v>
      </c>
      <c r="M1459" s="57">
        <v>937376342</v>
      </c>
      <c r="N1459" s="4"/>
      <c r="O1459" s="818">
        <v>753633650</v>
      </c>
      <c r="P1459" s="818">
        <v>753633649</v>
      </c>
      <c r="Q1459" s="767"/>
      <c r="R1459" s="767"/>
      <c r="S1459" s="4"/>
      <c r="T1459" s="4"/>
      <c r="U1459" s="4"/>
      <c r="V1459" s="4"/>
      <c r="W1459" s="4"/>
      <c r="X1459" s="4"/>
      <c r="Y1459" s="4" t="s">
        <v>4066</v>
      </c>
      <c r="Z1459" s="35"/>
      <c r="AA1459" s="1" t="str">
        <f>IFERROR(VLOOKUP(D:D,[1]Габариты!$A:$I,9,0),"")</f>
        <v>Вакансия</v>
      </c>
      <c r="AB1459" s="6" t="str">
        <f>IFERROR(VLOOKUP(D:D,[1]Габариты!$A:$D,4,0),"")</f>
        <v>СТУЛЬЯ</v>
      </c>
      <c r="AC1459" s="39" t="str">
        <f t="shared" si="199"/>
        <v>MK122000130</v>
      </c>
      <c r="AD1459" s="13" t="str">
        <f t="shared" si="202"/>
        <v>FBS</v>
      </c>
    </row>
    <row r="1460" spans="1:30" s="6" customFormat="1" ht="20.100000000000001" customHeight="1" outlineLevel="1" x14ac:dyDescent="0.25">
      <c r="A1460" s="635" t="s">
        <v>1593</v>
      </c>
      <c r="B1460" s="25"/>
      <c r="C1460" s="13" t="s">
        <v>2581</v>
      </c>
      <c r="D1460" s="39" t="s">
        <v>1595</v>
      </c>
      <c r="E1460" s="4">
        <v>33</v>
      </c>
      <c r="F1460" s="101" t="s">
        <v>4697</v>
      </c>
      <c r="G1460" s="57" t="s">
        <v>5197</v>
      </c>
      <c r="H1460" s="4" t="s">
        <v>7328</v>
      </c>
      <c r="I1460" s="4"/>
      <c r="J1460" s="4"/>
      <c r="K1460" s="54" t="s">
        <v>4697</v>
      </c>
      <c r="L1460" s="57">
        <v>901204111</v>
      </c>
      <c r="M1460" s="57">
        <v>901204111</v>
      </c>
      <c r="N1460" s="4"/>
      <c r="O1460" s="818">
        <v>753621898</v>
      </c>
      <c r="P1460" s="818">
        <v>753621897</v>
      </c>
      <c r="Q1460" s="767"/>
      <c r="R1460" s="767"/>
      <c r="S1460" s="4"/>
      <c r="T1460" s="4"/>
      <c r="U1460" s="4"/>
      <c r="V1460" s="4"/>
      <c r="W1460" s="4"/>
      <c r="X1460" s="4" t="s">
        <v>1638</v>
      </c>
      <c r="Y1460" s="4" t="s">
        <v>4066</v>
      </c>
      <c r="Z1460" s="35"/>
      <c r="AA1460" s="1" t="str">
        <f>IFERROR(VLOOKUP(D:D,[1]Габариты!$A:$I,9,0),"")</f>
        <v>Вакансия</v>
      </c>
      <c r="AB1460" s="6" t="str">
        <f>IFERROR(VLOOKUP(D:D,[1]Габариты!$A:$D,4,0),"")</f>
        <v>СТУЛЬЯ</v>
      </c>
      <c r="AC1460" s="39" t="str">
        <f t="shared" si="199"/>
        <v>MK122000120</v>
      </c>
      <c r="AD1460" s="13" t="str">
        <f t="shared" si="202"/>
        <v>FBS</v>
      </c>
    </row>
    <row r="1461" spans="1:30" s="6" customFormat="1" ht="20.100000000000001" customHeight="1" outlineLevel="1" x14ac:dyDescent="0.25">
      <c r="A1461" s="635" t="s">
        <v>1594</v>
      </c>
      <c r="B1461" s="25"/>
      <c r="C1461" s="13" t="s">
        <v>2581</v>
      </c>
      <c r="D1461" s="39" t="s">
        <v>1596</v>
      </c>
      <c r="E1461" s="4">
        <v>33</v>
      </c>
      <c r="F1461" s="101" t="s">
        <v>4696</v>
      </c>
      <c r="G1461" s="57" t="s">
        <v>5199</v>
      </c>
      <c r="H1461" s="4" t="s">
        <v>7329</v>
      </c>
      <c r="I1461" s="4"/>
      <c r="J1461" s="4"/>
      <c r="K1461" s="54" t="s">
        <v>4696</v>
      </c>
      <c r="L1461" s="57">
        <v>933836252</v>
      </c>
      <c r="M1461" s="57">
        <v>933836252</v>
      </c>
      <c r="N1461" s="4" t="s">
        <v>1639</v>
      </c>
      <c r="O1461" s="818">
        <v>753638457</v>
      </c>
      <c r="P1461" s="818">
        <v>753638458</v>
      </c>
      <c r="Q1461" s="767"/>
      <c r="R1461" s="767"/>
      <c r="S1461" s="4"/>
      <c r="T1461" s="4"/>
      <c r="U1461" s="4"/>
      <c r="V1461" s="4"/>
      <c r="W1461" s="4"/>
      <c r="X1461" s="4" t="s">
        <v>1639</v>
      </c>
      <c r="Y1461" s="4" t="s">
        <v>4066</v>
      </c>
      <c r="Z1461" s="35"/>
      <c r="AA1461" s="1" t="str">
        <f>IFERROR(VLOOKUP(D:D,[1]Габариты!$A:$I,9,0),"")</f>
        <v>Вакансия</v>
      </c>
      <c r="AB1461" s="6" t="str">
        <f>IFERROR(VLOOKUP(D:D,[1]Габариты!$A:$D,4,0),"")</f>
        <v>СТУЛЬЯ</v>
      </c>
      <c r="AC1461" s="39" t="str">
        <f t="shared" si="199"/>
        <v>MK122000140</v>
      </c>
      <c r="AD1461" s="13" t="str">
        <f t="shared" si="202"/>
        <v>FBS</v>
      </c>
    </row>
    <row r="1462" spans="1:30" s="6" customFormat="1" ht="20.100000000000001" customHeight="1" outlineLevel="1" x14ac:dyDescent="0.25">
      <c r="A1462" s="635" t="s">
        <v>1369</v>
      </c>
      <c r="B1462" s="25"/>
      <c r="C1462" s="13" t="s">
        <v>2581</v>
      </c>
      <c r="D1462" s="39">
        <v>59562</v>
      </c>
      <c r="E1462" s="4"/>
      <c r="F1462" s="101">
        <v>59562</v>
      </c>
      <c r="G1462" s="57"/>
      <c r="H1462" s="4" t="s">
        <v>7330</v>
      </c>
      <c r="I1462" s="4"/>
      <c r="J1462" s="4"/>
      <c r="K1462" s="54"/>
      <c r="L1462" s="57"/>
      <c r="M1462" s="57"/>
      <c r="N1462" s="4" t="s">
        <v>1392</v>
      </c>
      <c r="O1462" s="818">
        <v>706730969</v>
      </c>
      <c r="P1462" s="818">
        <v>706730970</v>
      </c>
      <c r="Q1462" s="767"/>
      <c r="R1462" s="767"/>
      <c r="S1462" s="4"/>
      <c r="T1462" s="4"/>
      <c r="U1462" s="4"/>
      <c r="V1462" s="4"/>
      <c r="W1462" s="4"/>
      <c r="X1462" s="4" t="s">
        <v>1392</v>
      </c>
      <c r="Y1462" s="4" t="s">
        <v>4066</v>
      </c>
      <c r="Z1462" s="35"/>
      <c r="AA1462" s="1" t="str">
        <f>IFERROR(VLOOKUP(D:D,[1]Габариты!$A:$I,9,0),"")</f>
        <v>Вакансия</v>
      </c>
      <c r="AB1462" s="6" t="str">
        <f>IFERROR(VLOOKUP(D:D,[1]Габариты!$A:$D,4,0),"")</f>
        <v>СТУЛЬЯ</v>
      </c>
      <c r="AC1462" s="39">
        <f t="shared" si="199"/>
        <v>59562</v>
      </c>
      <c r="AD1462" s="13" t="str">
        <f t="shared" si="202"/>
        <v>FBS</v>
      </c>
    </row>
    <row r="1463" spans="1:30" s="6" customFormat="1" ht="20.100000000000001" customHeight="1" outlineLevel="1" x14ac:dyDescent="0.25">
      <c r="A1463" s="635" t="s">
        <v>816</v>
      </c>
      <c r="B1463" s="25"/>
      <c r="C1463" s="13" t="s">
        <v>3172</v>
      </c>
      <c r="D1463" s="39">
        <v>59575</v>
      </c>
      <c r="E1463" s="4">
        <v>6</v>
      </c>
      <c r="F1463" s="101">
        <v>59575</v>
      </c>
      <c r="G1463" s="57"/>
      <c r="H1463" s="4" t="s">
        <v>7331</v>
      </c>
      <c r="I1463" s="4"/>
      <c r="J1463" s="4"/>
      <c r="K1463" s="54"/>
      <c r="L1463" s="57"/>
      <c r="M1463" s="57"/>
      <c r="N1463" s="4" t="s">
        <v>943</v>
      </c>
      <c r="O1463" s="34">
        <v>534451286</v>
      </c>
      <c r="P1463" s="34">
        <v>534451283</v>
      </c>
      <c r="Q1463" s="767"/>
      <c r="R1463" s="767"/>
      <c r="S1463" s="4"/>
      <c r="T1463" s="4"/>
      <c r="U1463" s="4"/>
      <c r="V1463" s="4"/>
      <c r="W1463" s="4"/>
      <c r="X1463" s="4" t="s">
        <v>943</v>
      </c>
      <c r="Y1463" s="4">
        <v>59575</v>
      </c>
      <c r="Z1463" s="35"/>
      <c r="AA1463" s="1" t="str">
        <f>IFERROR(VLOOKUP(D:D,[1]Габариты!$A:$I,9,0),"")</f>
        <v>Вакансия</v>
      </c>
      <c r="AB1463" s="6" t="str">
        <f>IFERROR(VLOOKUP(D:D,[1]Габариты!$A:$D,4,0),"")</f>
        <v>СТУЛЬЯ</v>
      </c>
      <c r="AC1463" s="39">
        <f t="shared" si="199"/>
        <v>59575</v>
      </c>
      <c r="AD1463" s="13" t="str">
        <f t="shared" si="202"/>
        <v xml:space="preserve">СКГТ </v>
      </c>
    </row>
    <row r="1464" spans="1:30" s="6" customFormat="1" ht="20.100000000000001" customHeight="1" outlineLevel="1" x14ac:dyDescent="0.25">
      <c r="A1464" s="635" t="s">
        <v>951</v>
      </c>
      <c r="B1464" s="25"/>
      <c r="C1464" s="13" t="s">
        <v>3172</v>
      </c>
      <c r="D1464" s="39">
        <v>59576</v>
      </c>
      <c r="E1464" s="4">
        <v>6</v>
      </c>
      <c r="F1464" s="101">
        <v>59576</v>
      </c>
      <c r="G1464" s="57"/>
      <c r="H1464" s="4" t="s">
        <v>7332</v>
      </c>
      <c r="I1464" s="4"/>
      <c r="J1464" s="4"/>
      <c r="K1464" s="54"/>
      <c r="L1464" s="57"/>
      <c r="M1464" s="57"/>
      <c r="N1464" s="4" t="s">
        <v>996</v>
      </c>
      <c r="O1464" s="4">
        <v>538713623</v>
      </c>
      <c r="P1464" s="4">
        <v>538713624</v>
      </c>
      <c r="Q1464" s="767"/>
      <c r="R1464" s="767"/>
      <c r="S1464" s="4"/>
      <c r="T1464" s="4"/>
      <c r="U1464" s="4"/>
      <c r="V1464" s="4"/>
      <c r="W1464" s="4"/>
      <c r="X1464" s="4" t="s">
        <v>996</v>
      </c>
      <c r="Y1464" s="4">
        <v>59576</v>
      </c>
      <c r="Z1464" s="35"/>
      <c r="AA1464" s="1" t="str">
        <f>IFERROR(VLOOKUP(D:D,[1]Габариты!$A:$I,9,0),"")</f>
        <v>Вакансия</v>
      </c>
      <c r="AB1464" s="6" t="str">
        <f>IFERROR(VLOOKUP(D:D,[1]Габариты!$A:$D,4,0),"")</f>
        <v>СТУЛЬЯ</v>
      </c>
      <c r="AC1464" s="39">
        <f t="shared" si="199"/>
        <v>59576</v>
      </c>
      <c r="AD1464" s="13" t="str">
        <f t="shared" si="202"/>
        <v xml:space="preserve">СКГТ </v>
      </c>
    </row>
    <row r="1465" spans="1:30" s="6" customFormat="1" ht="20.100000000000001" customHeight="1" outlineLevel="1" x14ac:dyDescent="0.25">
      <c r="A1465" s="635" t="s">
        <v>981</v>
      </c>
      <c r="B1465" s="25"/>
      <c r="C1465" s="13" t="s">
        <v>3172</v>
      </c>
      <c r="D1465" s="39">
        <v>59574</v>
      </c>
      <c r="E1465" s="4">
        <v>6</v>
      </c>
      <c r="F1465" s="101">
        <v>59574</v>
      </c>
      <c r="G1465" s="57"/>
      <c r="H1465" s="4" t="s">
        <v>7333</v>
      </c>
      <c r="I1465" s="4"/>
      <c r="J1465" s="4"/>
      <c r="K1465" s="54"/>
      <c r="L1465" s="57"/>
      <c r="M1465" s="57"/>
      <c r="N1465" s="4" t="s">
        <v>1007</v>
      </c>
      <c r="O1465" s="818">
        <v>579559171</v>
      </c>
      <c r="P1465" s="818">
        <v>579559170</v>
      </c>
      <c r="Q1465" s="767"/>
      <c r="R1465" s="767"/>
      <c r="S1465" s="4"/>
      <c r="T1465" s="4"/>
      <c r="U1465" s="4"/>
      <c r="V1465" s="4"/>
      <c r="W1465" s="4"/>
      <c r="X1465" s="4" t="s">
        <v>1007</v>
      </c>
      <c r="Y1465" s="4">
        <v>59574</v>
      </c>
      <c r="Z1465" s="35"/>
      <c r="AA1465" s="1" t="str">
        <f>IFERROR(VLOOKUP(D:D,[1]Габариты!$A:$I,9,0),"")</f>
        <v>Вакансия</v>
      </c>
      <c r="AB1465" s="6" t="str">
        <f>IFERROR(VLOOKUP(D:D,[1]Габариты!$A:$D,4,0),"")</f>
        <v>СТУЛЬЯ</v>
      </c>
      <c r="AC1465" s="39">
        <f t="shared" si="199"/>
        <v>59574</v>
      </c>
      <c r="AD1465" s="13" t="str">
        <f t="shared" si="202"/>
        <v xml:space="preserve">СКГТ </v>
      </c>
    </row>
    <row r="1466" spans="1:30" s="6" customFormat="1" ht="20.100000000000001" customHeight="1" outlineLevel="1" x14ac:dyDescent="0.25">
      <c r="A1466" s="635" t="s">
        <v>555</v>
      </c>
      <c r="B1466" s="25"/>
      <c r="C1466" s="13" t="s">
        <v>3172</v>
      </c>
      <c r="D1466" s="39">
        <v>59594</v>
      </c>
      <c r="E1466" s="4">
        <v>6</v>
      </c>
      <c r="F1466" s="101">
        <v>59594</v>
      </c>
      <c r="G1466" s="57"/>
      <c r="H1466" s="4" t="s">
        <v>7334</v>
      </c>
      <c r="I1466" s="4"/>
      <c r="J1466" s="4"/>
      <c r="K1466" s="54"/>
      <c r="L1466" s="57"/>
      <c r="M1466" s="57"/>
      <c r="N1466" s="4" t="s">
        <v>939</v>
      </c>
      <c r="O1466" s="4">
        <v>492050373</v>
      </c>
      <c r="P1466" s="4">
        <v>492050372</v>
      </c>
      <c r="Q1466" s="767"/>
      <c r="R1466" s="767"/>
      <c r="S1466" s="4"/>
      <c r="T1466" s="4"/>
      <c r="U1466" s="4"/>
      <c r="V1466" s="4"/>
      <c r="W1466" s="4"/>
      <c r="X1466" s="4" t="s">
        <v>939</v>
      </c>
      <c r="Y1466" s="4" t="s">
        <v>4066</v>
      </c>
      <c r="Z1466" s="35"/>
      <c r="AA1466" s="1" t="str">
        <f>IFERROR(VLOOKUP(D:D,[1]Габариты!$A:$I,9,0),"")</f>
        <v>Вакансия</v>
      </c>
      <c r="AB1466" s="6" t="str">
        <f>IFERROR(VLOOKUP(D:D,[1]Габариты!$A:$D,4,0),"")</f>
        <v>СТУЛЬЯ</v>
      </c>
      <c r="AC1466" s="39">
        <f t="shared" si="199"/>
        <v>59594</v>
      </c>
      <c r="AD1466" s="13" t="str">
        <f t="shared" si="202"/>
        <v xml:space="preserve">СКГТ </v>
      </c>
    </row>
    <row r="1467" spans="1:30" s="6" customFormat="1" ht="20.100000000000001" customHeight="1" outlineLevel="1" x14ac:dyDescent="0.25">
      <c r="A1467" s="735" t="s">
        <v>471</v>
      </c>
      <c r="B1467" s="32"/>
      <c r="C1467" s="13" t="s">
        <v>2582</v>
      </c>
      <c r="D1467" s="40">
        <v>60337</v>
      </c>
      <c r="E1467" s="4">
        <v>6</v>
      </c>
      <c r="F1467" s="101">
        <v>60337</v>
      </c>
      <c r="G1467" s="57"/>
      <c r="H1467" s="4" t="s">
        <v>7335</v>
      </c>
      <c r="I1467" s="4"/>
      <c r="J1467" s="4"/>
      <c r="K1467" s="54"/>
      <c r="L1467" s="57"/>
      <c r="M1467" s="57"/>
      <c r="N1467" s="4" t="s">
        <v>2656</v>
      </c>
      <c r="O1467" s="4">
        <v>379867776</v>
      </c>
      <c r="P1467" s="4">
        <v>379867777</v>
      </c>
      <c r="Q1467" s="767" t="s">
        <v>2927</v>
      </c>
      <c r="R1467" s="767">
        <v>380156108</v>
      </c>
      <c r="S1467" s="4">
        <v>380156107</v>
      </c>
      <c r="T1467" s="4"/>
      <c r="U1467" s="4"/>
      <c r="V1467" s="4"/>
      <c r="W1467" s="4"/>
      <c r="X1467" s="4"/>
      <c r="Y1467" s="4" t="s">
        <v>4066</v>
      </c>
      <c r="Z1467" s="35"/>
      <c r="AA1467" s="1" t="str">
        <f>IFERROR(VLOOKUP(D:D,[1]Габариты!$A:$I,9,0),"")</f>
        <v>Вакансия</v>
      </c>
      <c r="AB1467" s="6" t="str">
        <f>IFERROR(VLOOKUP(D:D,[1]Габариты!$A:$D,4,0),"")</f>
        <v>СТУЛЬЯ</v>
      </c>
      <c r="AC1467" s="39">
        <f t="shared" si="199"/>
        <v>60337</v>
      </c>
      <c r="AD1467" s="13" t="str">
        <f t="shared" si="202"/>
        <v>FBO</v>
      </c>
    </row>
    <row r="1468" spans="1:30" s="6" customFormat="1" ht="20.100000000000001" customHeight="1" outlineLevel="1" x14ac:dyDescent="0.25">
      <c r="A1468" s="635" t="s">
        <v>1531</v>
      </c>
      <c r="B1468" s="25"/>
      <c r="C1468" s="13" t="s">
        <v>2582</v>
      </c>
      <c r="D1468" s="39">
        <v>59600</v>
      </c>
      <c r="E1468" s="4">
        <v>12</v>
      </c>
      <c r="F1468" s="101">
        <v>59600</v>
      </c>
      <c r="G1468" s="57"/>
      <c r="H1468" s="4" t="s">
        <v>7336</v>
      </c>
      <c r="I1468" s="4" t="s">
        <v>2517</v>
      </c>
      <c r="J1468" s="4" t="s">
        <v>1891</v>
      </c>
      <c r="K1468" s="54"/>
      <c r="L1468" s="57"/>
      <c r="M1468" s="57"/>
      <c r="N1468" s="4" t="s">
        <v>941</v>
      </c>
      <c r="O1468" s="4">
        <v>522393676</v>
      </c>
      <c r="P1468" s="4">
        <v>522393675</v>
      </c>
      <c r="Q1468" s="767"/>
      <c r="R1468" s="767"/>
      <c r="S1468" s="4"/>
      <c r="T1468" s="4" t="s">
        <v>3076</v>
      </c>
      <c r="U1468" s="4">
        <v>889122771</v>
      </c>
      <c r="V1468" s="4">
        <v>889122771</v>
      </c>
      <c r="W1468" s="4"/>
      <c r="X1468" s="4" t="s">
        <v>941</v>
      </c>
      <c r="Y1468" s="4">
        <v>59600</v>
      </c>
      <c r="Z1468" s="35"/>
      <c r="AA1468" s="1" t="str">
        <f>IFERROR(VLOOKUP(D:D,[1]Габариты!$A:$I,9,0),"")</f>
        <v>Вакансия</v>
      </c>
      <c r="AB1468" s="6" t="str">
        <f>IFERROR(VLOOKUP(D:D,[1]Габариты!$A:$D,4,0),"")</f>
        <v>СТУЛЬЯ</v>
      </c>
      <c r="AC1468" s="39">
        <f t="shared" si="199"/>
        <v>59600</v>
      </c>
      <c r="AD1468" s="13" t="str">
        <f t="shared" si="202"/>
        <v>FBO</v>
      </c>
    </row>
    <row r="1469" spans="1:30" s="6" customFormat="1" ht="20.100000000000001" customHeight="1" outlineLevel="1" x14ac:dyDescent="0.25">
      <c r="A1469" s="635" t="s">
        <v>1532</v>
      </c>
      <c r="B1469" s="25"/>
      <c r="C1469" s="13" t="s">
        <v>2582</v>
      </c>
      <c r="D1469" s="39">
        <v>59601</v>
      </c>
      <c r="E1469" s="4">
        <v>12</v>
      </c>
      <c r="F1469" s="101">
        <v>59601</v>
      </c>
      <c r="G1469" s="57"/>
      <c r="H1469" s="4" t="s">
        <v>7337</v>
      </c>
      <c r="I1469" s="4" t="s">
        <v>2518</v>
      </c>
      <c r="J1469" s="4" t="s">
        <v>1892</v>
      </c>
      <c r="K1469" s="54"/>
      <c r="L1469" s="57"/>
      <c r="M1469" s="57"/>
      <c r="N1469" s="4" t="s">
        <v>942</v>
      </c>
      <c r="O1469" s="4">
        <v>522393839</v>
      </c>
      <c r="P1469" s="4">
        <v>522393838</v>
      </c>
      <c r="Q1469" s="767"/>
      <c r="R1469" s="767"/>
      <c r="S1469" s="4"/>
      <c r="T1469" s="4" t="s">
        <v>3077</v>
      </c>
      <c r="U1469" s="4">
        <v>889138526</v>
      </c>
      <c r="V1469" s="4">
        <v>889138526</v>
      </c>
      <c r="W1469" s="4"/>
      <c r="X1469" s="4" t="s">
        <v>942</v>
      </c>
      <c r="Y1469" s="4" t="s">
        <v>4066</v>
      </c>
      <c r="Z1469" s="35"/>
      <c r="AA1469" s="1" t="str">
        <f>IFERROR(VLOOKUP(D:D,[1]Габариты!$A:$I,9,0),"")</f>
        <v>Вакансия</v>
      </c>
      <c r="AB1469" s="6" t="str">
        <f>IFERROR(VLOOKUP(D:D,[1]Габариты!$A:$D,4,0),"")</f>
        <v>СТУЛЬЯ</v>
      </c>
      <c r="AC1469" s="39">
        <f t="shared" si="199"/>
        <v>59601</v>
      </c>
      <c r="AD1469" s="13" t="str">
        <f t="shared" si="202"/>
        <v>FBO</v>
      </c>
    </row>
    <row r="1470" spans="1:30" s="6" customFormat="1" ht="20.100000000000001" customHeight="1" outlineLevel="1" x14ac:dyDescent="0.25">
      <c r="A1470" s="635" t="s">
        <v>1103</v>
      </c>
      <c r="B1470" s="25"/>
      <c r="C1470" s="13" t="s">
        <v>2581</v>
      </c>
      <c r="D1470" s="39">
        <v>110110</v>
      </c>
      <c r="E1470" s="4">
        <v>42</v>
      </c>
      <c r="F1470" s="101">
        <v>110110</v>
      </c>
      <c r="G1470" s="57"/>
      <c r="H1470" s="4"/>
      <c r="I1470" s="4" t="s">
        <v>1319</v>
      </c>
      <c r="J1470" s="4" t="s">
        <v>1893</v>
      </c>
      <c r="K1470" s="54"/>
      <c r="L1470" s="57"/>
      <c r="M1470" s="57"/>
      <c r="N1470" s="766"/>
      <c r="O1470" s="818"/>
      <c r="P1470" s="818"/>
      <c r="Q1470" s="767" t="s">
        <v>2931</v>
      </c>
      <c r="R1470" s="767">
        <v>657971296</v>
      </c>
      <c r="S1470" s="4">
        <v>657971294</v>
      </c>
      <c r="T1470" s="4" t="s">
        <v>3078</v>
      </c>
      <c r="U1470" s="4">
        <v>895338196</v>
      </c>
      <c r="V1470" s="4">
        <v>895338196</v>
      </c>
      <c r="W1470" s="4"/>
      <c r="X1470" s="4"/>
      <c r="Y1470" s="4" t="s">
        <v>4066</v>
      </c>
      <c r="Z1470" s="35"/>
      <c r="AA1470" s="1" t="str">
        <f>IFERROR(VLOOKUP(D:D,[1]Габариты!$A:$I,9,0),"")</f>
        <v>Вакансия</v>
      </c>
      <c r="AB1470" s="6" t="str">
        <f>IFERROR(VLOOKUP(D:D,[1]Габариты!$A:$D,4,0),"")</f>
        <v>СТУЛЬЯ</v>
      </c>
      <c r="AC1470" s="39">
        <f t="shared" si="199"/>
        <v>110110</v>
      </c>
      <c r="AD1470" s="13" t="str">
        <f t="shared" si="202"/>
        <v>FBS</v>
      </c>
    </row>
    <row r="1471" spans="1:30" s="6" customFormat="1" ht="20.100000000000001" customHeight="1" outlineLevel="1" x14ac:dyDescent="0.25">
      <c r="A1471" s="635" t="s">
        <v>1104</v>
      </c>
      <c r="B1471" s="25"/>
      <c r="C1471" s="13" t="s">
        <v>2581</v>
      </c>
      <c r="D1471" s="39">
        <v>110111</v>
      </c>
      <c r="E1471" s="4">
        <v>60</v>
      </c>
      <c r="F1471" s="101">
        <v>110111</v>
      </c>
      <c r="G1471" s="57"/>
      <c r="H1471" s="4"/>
      <c r="I1471" s="4" t="s">
        <v>1320</v>
      </c>
      <c r="J1471" s="4" t="s">
        <v>1894</v>
      </c>
      <c r="K1471" s="54"/>
      <c r="L1471" s="57"/>
      <c r="M1471" s="57"/>
      <c r="N1471" s="766"/>
      <c r="O1471" s="818"/>
      <c r="P1471" s="818"/>
      <c r="Q1471" s="767" t="s">
        <v>2932</v>
      </c>
      <c r="R1471" s="767">
        <v>657972639</v>
      </c>
      <c r="S1471" s="4">
        <v>657972636</v>
      </c>
      <c r="T1471" s="4" t="s">
        <v>3079</v>
      </c>
      <c r="U1471" s="4">
        <v>895361198</v>
      </c>
      <c r="V1471" s="4">
        <v>895361198</v>
      </c>
      <c r="W1471" s="4"/>
      <c r="X1471" s="4"/>
      <c r="Y1471" s="4" t="s">
        <v>4066</v>
      </c>
      <c r="Z1471" s="35"/>
      <c r="AA1471" s="1" t="str">
        <f>IFERROR(VLOOKUP(D:D,[1]Габариты!$A:$I,9,0),"")</f>
        <v>Вакансия</v>
      </c>
      <c r="AB1471" s="6" t="str">
        <f>IFERROR(VLOOKUP(D:D,[1]Габариты!$A:$D,4,0),"")</f>
        <v>СТУЛЬЯ</v>
      </c>
      <c r="AC1471" s="39">
        <f t="shared" si="199"/>
        <v>110111</v>
      </c>
      <c r="AD1471" s="13" t="str">
        <f t="shared" si="202"/>
        <v>FBS</v>
      </c>
    </row>
    <row r="1472" spans="1:30" s="6" customFormat="1" ht="20.100000000000001" customHeight="1" outlineLevel="1" x14ac:dyDescent="0.25">
      <c r="A1472" s="635" t="s">
        <v>1370</v>
      </c>
      <c r="B1472" s="25"/>
      <c r="C1472" s="13" t="s">
        <v>2582</v>
      </c>
      <c r="D1472" s="39">
        <v>60986</v>
      </c>
      <c r="E1472" s="4">
        <v>6</v>
      </c>
      <c r="F1472" s="101">
        <v>60986</v>
      </c>
      <c r="G1472" s="57"/>
      <c r="H1472" s="4" t="s">
        <v>7338</v>
      </c>
      <c r="I1472" s="4"/>
      <c r="J1472" s="4" t="s">
        <v>1983</v>
      </c>
      <c r="K1472" s="54"/>
      <c r="L1472" s="57"/>
      <c r="M1472" s="57"/>
      <c r="N1472" s="4" t="s">
        <v>1393</v>
      </c>
      <c r="O1472" s="818">
        <v>727417547</v>
      </c>
      <c r="P1472" s="818">
        <v>727417548</v>
      </c>
      <c r="Q1472" s="767"/>
      <c r="R1472" s="767"/>
      <c r="S1472" s="4"/>
      <c r="T1472" s="4"/>
      <c r="U1472" s="4"/>
      <c r="V1472" s="4"/>
      <c r="W1472" s="4"/>
      <c r="X1472" s="4" t="s">
        <v>1393</v>
      </c>
      <c r="Y1472" s="4" t="s">
        <v>4066</v>
      </c>
      <c r="Z1472" s="35"/>
      <c r="AA1472" s="1" t="str">
        <f>IFERROR(VLOOKUP(D:D,[1]Габариты!$A:$I,9,0),"")</f>
        <v>Вакансия</v>
      </c>
      <c r="AB1472" s="6" t="str">
        <f>IFERROR(VLOOKUP(D:D,[1]Габариты!$A:$D,4,0),"")</f>
        <v>СТУЛЬЯ</v>
      </c>
      <c r="AC1472" s="39">
        <f t="shared" ref="AC1472:AC1535" si="203">D1472</f>
        <v>60986</v>
      </c>
      <c r="AD1472" s="13" t="str">
        <f t="shared" si="202"/>
        <v>FBO</v>
      </c>
    </row>
    <row r="1473" spans="1:30" s="6" customFormat="1" ht="20.100000000000001" customHeight="1" outlineLevel="1" x14ac:dyDescent="0.25">
      <c r="A1473" s="635" t="s">
        <v>1371</v>
      </c>
      <c r="B1473" s="25"/>
      <c r="C1473" s="13" t="s">
        <v>2582</v>
      </c>
      <c r="D1473" s="39">
        <v>60987</v>
      </c>
      <c r="E1473" s="4">
        <v>6</v>
      </c>
      <c r="F1473" s="101">
        <v>60987</v>
      </c>
      <c r="G1473" s="57"/>
      <c r="H1473" s="4" t="s">
        <v>7339</v>
      </c>
      <c r="I1473" s="4"/>
      <c r="J1473" s="4" t="s">
        <v>1984</v>
      </c>
      <c r="K1473" s="54"/>
      <c r="L1473" s="57"/>
      <c r="M1473" s="57"/>
      <c r="N1473" s="4" t="s">
        <v>1394</v>
      </c>
      <c r="O1473" s="818">
        <v>709087208</v>
      </c>
      <c r="P1473" s="818">
        <v>709087209</v>
      </c>
      <c r="Q1473" s="767"/>
      <c r="R1473" s="767"/>
      <c r="S1473" s="4"/>
      <c r="T1473" s="4" t="s">
        <v>3080</v>
      </c>
      <c r="U1473" s="4">
        <v>926579996</v>
      </c>
      <c r="V1473" s="4">
        <v>926579996</v>
      </c>
      <c r="W1473" s="4"/>
      <c r="X1473" s="4" t="s">
        <v>1394</v>
      </c>
      <c r="Y1473" s="4">
        <v>60987</v>
      </c>
      <c r="Z1473" s="35"/>
      <c r="AA1473" s="1" t="str">
        <f>IFERROR(VLOOKUP(D:D,[1]Габариты!$A:$I,9,0),"")</f>
        <v>Вакансия</v>
      </c>
      <c r="AB1473" s="6" t="str">
        <f>IFERROR(VLOOKUP(D:D,[1]Габариты!$A:$D,4,0),"")</f>
        <v>СТУЛЬЯ</v>
      </c>
      <c r="AC1473" s="39">
        <f t="shared" si="203"/>
        <v>60987</v>
      </c>
      <c r="AD1473" s="13" t="str">
        <f t="shared" si="202"/>
        <v>FBO</v>
      </c>
    </row>
    <row r="1474" spans="1:30" s="6" customFormat="1" ht="20.100000000000001" customHeight="1" outlineLevel="1" x14ac:dyDescent="0.25">
      <c r="A1474" s="635" t="s">
        <v>1372</v>
      </c>
      <c r="B1474" s="25"/>
      <c r="C1474" s="13" t="s">
        <v>2582</v>
      </c>
      <c r="D1474" s="39">
        <v>60988</v>
      </c>
      <c r="E1474" s="4">
        <v>6</v>
      </c>
      <c r="F1474" s="101">
        <v>60988</v>
      </c>
      <c r="G1474" s="57"/>
      <c r="H1474" s="4" t="s">
        <v>7340</v>
      </c>
      <c r="I1474" s="4"/>
      <c r="J1474" s="4" t="s">
        <v>1985</v>
      </c>
      <c r="K1474" s="54"/>
      <c r="L1474" s="57"/>
      <c r="M1474" s="57"/>
      <c r="N1474" s="4" t="s">
        <v>1395</v>
      </c>
      <c r="O1474" s="818">
        <v>709104841</v>
      </c>
      <c r="P1474" s="818">
        <v>709104842</v>
      </c>
      <c r="Q1474" s="767"/>
      <c r="R1474" s="767"/>
      <c r="S1474" s="4"/>
      <c r="T1474" s="4" t="s">
        <v>3081</v>
      </c>
      <c r="U1474" s="4">
        <v>926553150</v>
      </c>
      <c r="V1474" s="4">
        <v>926553150</v>
      </c>
      <c r="W1474" s="4"/>
      <c r="X1474" s="4" t="s">
        <v>1395</v>
      </c>
      <c r="Y1474" s="4">
        <v>60988</v>
      </c>
      <c r="Z1474" s="35"/>
      <c r="AA1474" s="1" t="str">
        <f>IFERROR(VLOOKUP(D:D,[1]Габариты!$A:$I,9,0),"")</f>
        <v>Вакансия</v>
      </c>
      <c r="AB1474" s="6" t="str">
        <f>IFERROR(VLOOKUP(D:D,[1]Габариты!$A:$D,4,0),"")</f>
        <v>СТУЛЬЯ</v>
      </c>
      <c r="AC1474" s="39">
        <f t="shared" si="203"/>
        <v>60988</v>
      </c>
      <c r="AD1474" s="13" t="str">
        <f t="shared" si="202"/>
        <v>FBO</v>
      </c>
    </row>
    <row r="1475" spans="1:30" s="6" customFormat="1" ht="20.100000000000001" customHeight="1" outlineLevel="1" x14ac:dyDescent="0.25">
      <c r="A1475" s="635" t="s">
        <v>1374</v>
      </c>
      <c r="B1475" s="25"/>
      <c r="C1475" s="13" t="s">
        <v>2582</v>
      </c>
      <c r="D1475" s="39">
        <v>413342</v>
      </c>
      <c r="E1475" s="4">
        <v>6</v>
      </c>
      <c r="F1475" s="101">
        <v>413342</v>
      </c>
      <c r="G1475" s="57"/>
      <c r="H1475" s="4" t="s">
        <v>7341</v>
      </c>
      <c r="I1475" s="4"/>
      <c r="J1475" s="4" t="s">
        <v>1895</v>
      </c>
      <c r="K1475" s="54"/>
      <c r="L1475" s="57"/>
      <c r="M1475" s="57"/>
      <c r="N1475" s="4" t="s">
        <v>1397</v>
      </c>
      <c r="O1475" s="818">
        <v>706631032</v>
      </c>
      <c r="P1475" s="818">
        <v>706631033</v>
      </c>
      <c r="Q1475" s="767"/>
      <c r="R1475" s="767"/>
      <c r="S1475" s="4"/>
      <c r="T1475" s="4" t="s">
        <v>3082</v>
      </c>
      <c r="U1475" s="4">
        <v>895323671</v>
      </c>
      <c r="V1475" s="4">
        <v>895323671</v>
      </c>
      <c r="W1475" s="4"/>
      <c r="X1475" s="4" t="s">
        <v>1397</v>
      </c>
      <c r="Y1475" s="4" t="s">
        <v>4066</v>
      </c>
      <c r="Z1475" s="35"/>
      <c r="AA1475" s="1" t="str">
        <f>IFERROR(VLOOKUP(D:D,[1]Габариты!$A:$I,9,0),"")</f>
        <v>Вакансия</v>
      </c>
      <c r="AB1475" s="6" t="str">
        <f>IFERROR(VLOOKUP(D:D,[1]Габариты!$A:$D,4,0),"")</f>
        <v>СТУЛЬЯ</v>
      </c>
      <c r="AC1475" s="39">
        <f t="shared" si="203"/>
        <v>413342</v>
      </c>
      <c r="AD1475" s="13" t="str">
        <f t="shared" si="202"/>
        <v>FBO</v>
      </c>
    </row>
    <row r="1476" spans="1:30" s="6" customFormat="1" ht="20.100000000000001" customHeight="1" outlineLevel="1" x14ac:dyDescent="0.25">
      <c r="A1476" s="635" t="s">
        <v>1376</v>
      </c>
      <c r="B1476" s="25"/>
      <c r="C1476" s="13" t="s">
        <v>2582</v>
      </c>
      <c r="D1476" s="39">
        <v>712281</v>
      </c>
      <c r="E1476" s="4">
        <v>6</v>
      </c>
      <c r="F1476" s="101">
        <v>712281</v>
      </c>
      <c r="G1476" s="57"/>
      <c r="H1476" s="4" t="s">
        <v>7342</v>
      </c>
      <c r="I1476" s="4"/>
      <c r="J1476" s="4" t="s">
        <v>1897</v>
      </c>
      <c r="K1476" s="54"/>
      <c r="L1476" s="57"/>
      <c r="M1476" s="57"/>
      <c r="N1476" s="4" t="s">
        <v>1401</v>
      </c>
      <c r="O1476" s="818">
        <v>706763933</v>
      </c>
      <c r="P1476" s="818">
        <v>706763931</v>
      </c>
      <c r="Q1476" s="767"/>
      <c r="R1476" s="767"/>
      <c r="S1476" s="4"/>
      <c r="T1476" s="4" t="s">
        <v>3084</v>
      </c>
      <c r="U1476" s="4">
        <v>895310868</v>
      </c>
      <c r="V1476" s="4">
        <v>895310868</v>
      </c>
      <c r="W1476" s="4"/>
      <c r="X1476" s="4" t="s">
        <v>1401</v>
      </c>
      <c r="Y1476" s="4" t="s">
        <v>4066</v>
      </c>
      <c r="Z1476" s="35"/>
      <c r="AA1476" s="1" t="str">
        <f>IFERROR(VLOOKUP(D:D,[1]Габариты!$A:$I,9,0),"")</f>
        <v>Вакансия</v>
      </c>
      <c r="AB1476" s="6" t="str">
        <f>IFERROR(VLOOKUP(D:D,[1]Габариты!$A:$D,4,0),"")</f>
        <v>СТУЛЬЯ</v>
      </c>
      <c r="AC1476" s="39">
        <f t="shared" si="203"/>
        <v>712281</v>
      </c>
      <c r="AD1476" s="13" t="str">
        <f t="shared" si="202"/>
        <v>FBO</v>
      </c>
    </row>
    <row r="1477" spans="1:30" s="6" customFormat="1" ht="20.100000000000001" customHeight="1" outlineLevel="1" x14ac:dyDescent="0.25">
      <c r="A1477" s="635" t="s">
        <v>1377</v>
      </c>
      <c r="B1477" s="25"/>
      <c r="C1477" s="13" t="s">
        <v>2582</v>
      </c>
      <c r="D1477" s="39">
        <v>812281</v>
      </c>
      <c r="E1477" s="4">
        <v>6</v>
      </c>
      <c r="F1477" s="101">
        <v>812281</v>
      </c>
      <c r="G1477" s="57"/>
      <c r="H1477" s="4" t="s">
        <v>7343</v>
      </c>
      <c r="I1477" s="4"/>
      <c r="J1477" s="4" t="s">
        <v>1898</v>
      </c>
      <c r="K1477" s="54"/>
      <c r="L1477" s="57"/>
      <c r="M1477" s="57"/>
      <c r="N1477" s="4" t="s">
        <v>1402</v>
      </c>
      <c r="O1477" s="818">
        <v>706796773</v>
      </c>
      <c r="P1477" s="818">
        <v>706796761</v>
      </c>
      <c r="Q1477" s="767"/>
      <c r="R1477" s="767"/>
      <c r="S1477" s="4"/>
      <c r="T1477" s="4" t="s">
        <v>3085</v>
      </c>
      <c r="U1477" s="4">
        <v>895298889</v>
      </c>
      <c r="V1477" s="4">
        <v>895298889</v>
      </c>
      <c r="W1477" s="4"/>
      <c r="X1477" s="4" t="s">
        <v>1402</v>
      </c>
      <c r="Y1477" s="4" t="s">
        <v>4066</v>
      </c>
      <c r="Z1477" s="35"/>
      <c r="AA1477" s="1" t="str">
        <f>IFERROR(VLOOKUP(D:D,[1]Габариты!$A:$I,9,0),"")</f>
        <v>Вакансия</v>
      </c>
      <c r="AB1477" s="6" t="str">
        <f>IFERROR(VLOOKUP(D:D,[1]Габариты!$A:$D,4,0),"")</f>
        <v>СТУЛЬЯ</v>
      </c>
      <c r="AC1477" s="39">
        <f t="shared" si="203"/>
        <v>812281</v>
      </c>
      <c r="AD1477" s="13" t="str">
        <f t="shared" si="202"/>
        <v>FBO</v>
      </c>
    </row>
    <row r="1478" spans="1:30" s="6" customFormat="1" ht="20.100000000000001" customHeight="1" outlineLevel="1" x14ac:dyDescent="0.25">
      <c r="A1478" s="635" t="s">
        <v>1378</v>
      </c>
      <c r="B1478" s="25"/>
      <c r="C1478" s="13" t="s">
        <v>2582</v>
      </c>
      <c r="D1478" s="39">
        <v>912281</v>
      </c>
      <c r="E1478" s="4">
        <v>6</v>
      </c>
      <c r="F1478" s="101">
        <v>912281</v>
      </c>
      <c r="G1478" s="57"/>
      <c r="H1478" s="4" t="s">
        <v>7344</v>
      </c>
      <c r="I1478" s="4"/>
      <c r="J1478" s="4" t="s">
        <v>1899</v>
      </c>
      <c r="K1478" s="54"/>
      <c r="L1478" s="57"/>
      <c r="M1478" s="57"/>
      <c r="N1478" s="4" t="s">
        <v>1403</v>
      </c>
      <c r="O1478" s="818">
        <v>709113263</v>
      </c>
      <c r="P1478" s="818">
        <v>709113264</v>
      </c>
      <c r="Q1478" s="767"/>
      <c r="R1478" s="767"/>
      <c r="S1478" s="4"/>
      <c r="T1478" s="4" t="s">
        <v>3086</v>
      </c>
      <c r="U1478" s="4">
        <v>895305451</v>
      </c>
      <c r="V1478" s="4">
        <v>895305451</v>
      </c>
      <c r="W1478" s="4"/>
      <c r="X1478" s="4" t="s">
        <v>1403</v>
      </c>
      <c r="Y1478" s="4" t="s">
        <v>4066</v>
      </c>
      <c r="Z1478" s="35"/>
      <c r="AA1478" s="1" t="str">
        <f>IFERROR(VLOOKUP(D:D,[1]Габариты!$A:$I,9,0),"")</f>
        <v>Вакансия</v>
      </c>
      <c r="AB1478" s="6" t="str">
        <f>IFERROR(VLOOKUP(D:D,[1]Габариты!$A:$D,4,0),"")</f>
        <v>СТУЛЬЯ</v>
      </c>
      <c r="AC1478" s="39">
        <f t="shared" si="203"/>
        <v>912281</v>
      </c>
      <c r="AD1478" s="13" t="str">
        <f t="shared" si="202"/>
        <v>FBO</v>
      </c>
    </row>
    <row r="1479" spans="1:30" s="6" customFormat="1" ht="20.100000000000001" customHeight="1" outlineLevel="1" x14ac:dyDescent="0.25">
      <c r="A1479" s="635" t="s">
        <v>1530</v>
      </c>
      <c r="B1479" s="25"/>
      <c r="C1479" s="13" t="s">
        <v>2582</v>
      </c>
      <c r="D1479" s="39">
        <v>59602</v>
      </c>
      <c r="E1479" s="4">
        <v>12</v>
      </c>
      <c r="F1479" s="101">
        <v>59602</v>
      </c>
      <c r="G1479" s="57"/>
      <c r="H1479" s="4" t="s">
        <v>7345</v>
      </c>
      <c r="I1479" s="4" t="s">
        <v>2519</v>
      </c>
      <c r="J1479" s="4" t="s">
        <v>1900</v>
      </c>
      <c r="K1479" s="54"/>
      <c r="L1479" s="57"/>
      <c r="M1479" s="57"/>
      <c r="N1479" s="4" t="s">
        <v>1637</v>
      </c>
      <c r="O1479" s="818">
        <v>754749118</v>
      </c>
      <c r="P1479" s="818">
        <v>754749117</v>
      </c>
      <c r="Q1479" s="767"/>
      <c r="R1479" s="767"/>
      <c r="S1479" s="4"/>
      <c r="T1479" s="4" t="s">
        <v>3087</v>
      </c>
      <c r="U1479" s="4">
        <v>889147296</v>
      </c>
      <c r="V1479" s="4">
        <v>889147296</v>
      </c>
      <c r="W1479" s="4"/>
      <c r="X1479" s="4" t="s">
        <v>1637</v>
      </c>
      <c r="Y1479" s="4">
        <v>59602</v>
      </c>
      <c r="Z1479" s="35"/>
      <c r="AA1479" s="1" t="str">
        <f>IFERROR(VLOOKUP(D:D,[1]Габариты!$A:$I,9,0),"")</f>
        <v>Вакансия</v>
      </c>
      <c r="AB1479" s="6" t="str">
        <f>IFERROR(VLOOKUP(D:D,[1]Габариты!$A:$D,4,0),"")</f>
        <v>СТУЛЬЯ</v>
      </c>
      <c r="AC1479" s="39">
        <f t="shared" si="203"/>
        <v>59602</v>
      </c>
      <c r="AD1479" s="13" t="str">
        <f t="shared" si="202"/>
        <v>FBO</v>
      </c>
    </row>
    <row r="1480" spans="1:30" s="6" customFormat="1" ht="20.100000000000001" customHeight="1" outlineLevel="1" x14ac:dyDescent="0.25">
      <c r="A1480" s="635" t="s">
        <v>1546</v>
      </c>
      <c r="B1480" s="25"/>
      <c r="C1480" s="13" t="s">
        <v>2582</v>
      </c>
      <c r="D1480" s="39">
        <v>61567</v>
      </c>
      <c r="E1480" s="4">
        <v>8</v>
      </c>
      <c r="F1480" s="101">
        <v>61567</v>
      </c>
      <c r="G1480" s="57"/>
      <c r="H1480" s="4" t="s">
        <v>7346</v>
      </c>
      <c r="I1480" s="4"/>
      <c r="J1480" s="4" t="s">
        <v>1986</v>
      </c>
      <c r="K1480" s="54"/>
      <c r="L1480" s="57"/>
      <c r="M1480" s="57"/>
      <c r="N1480" s="4" t="s">
        <v>1640</v>
      </c>
      <c r="O1480" s="818">
        <v>772503371</v>
      </c>
      <c r="P1480" s="818">
        <v>772503372</v>
      </c>
      <c r="Q1480" s="767"/>
      <c r="R1480" s="767"/>
      <c r="S1480" s="4"/>
      <c r="T1480" s="4" t="s">
        <v>3088</v>
      </c>
      <c r="U1480" s="4">
        <v>926477977</v>
      </c>
      <c r="V1480" s="4">
        <v>926477977</v>
      </c>
      <c r="W1480" s="4"/>
      <c r="X1480" s="4" t="s">
        <v>1640</v>
      </c>
      <c r="Y1480" s="4">
        <v>61567</v>
      </c>
      <c r="Z1480" s="35"/>
      <c r="AA1480" s="1" t="str">
        <f>IFERROR(VLOOKUP(D:D,[1]Габариты!$A:$I,9,0),"")</f>
        <v>Вакансия</v>
      </c>
      <c r="AB1480" s="6" t="str">
        <f>IFERROR(VLOOKUP(D:D,[1]Габариты!$A:$D,4,0),"")</f>
        <v>СТУЛЬЯ</v>
      </c>
      <c r="AC1480" s="39">
        <f t="shared" si="203"/>
        <v>61567</v>
      </c>
      <c r="AD1480" s="13" t="str">
        <f t="shared" si="202"/>
        <v>FBO</v>
      </c>
    </row>
    <row r="1481" spans="1:30" s="6" customFormat="1" ht="20.100000000000001" customHeight="1" outlineLevel="1" x14ac:dyDescent="0.25">
      <c r="A1481" s="635" t="s">
        <v>1547</v>
      </c>
      <c r="B1481" s="25"/>
      <c r="C1481" s="13" t="s">
        <v>2582</v>
      </c>
      <c r="D1481" s="39">
        <v>61568</v>
      </c>
      <c r="E1481" s="4">
        <v>8</v>
      </c>
      <c r="F1481" s="101">
        <v>61568</v>
      </c>
      <c r="G1481" s="57"/>
      <c r="H1481" s="4" t="s">
        <v>7347</v>
      </c>
      <c r="I1481" s="4"/>
      <c r="J1481" s="4" t="s">
        <v>1987</v>
      </c>
      <c r="K1481" s="54"/>
      <c r="L1481" s="57"/>
      <c r="M1481" s="57"/>
      <c r="N1481" s="4" t="s">
        <v>1641</v>
      </c>
      <c r="O1481" s="818">
        <v>772547682</v>
      </c>
      <c r="P1481" s="818">
        <v>772547681</v>
      </c>
      <c r="Q1481" s="767"/>
      <c r="R1481" s="767"/>
      <c r="S1481" s="4"/>
      <c r="T1481" s="4" t="s">
        <v>3089</v>
      </c>
      <c r="U1481" s="4">
        <v>926482899</v>
      </c>
      <c r="V1481" s="4">
        <v>926482899</v>
      </c>
      <c r="W1481" s="4"/>
      <c r="X1481" s="4" t="s">
        <v>1641</v>
      </c>
      <c r="Y1481" s="4">
        <v>61568</v>
      </c>
      <c r="Z1481" s="35"/>
      <c r="AA1481" s="1" t="str">
        <f>IFERROR(VLOOKUP(D:D,[1]Габариты!$A:$I,9,0),"")</f>
        <v>Вакансия</v>
      </c>
      <c r="AB1481" s="6" t="str">
        <f>IFERROR(VLOOKUP(D:D,[1]Габариты!$A:$D,4,0),"")</f>
        <v>СТУЛЬЯ</v>
      </c>
      <c r="AC1481" s="39">
        <f t="shared" si="203"/>
        <v>61568</v>
      </c>
      <c r="AD1481" s="13" t="str">
        <f t="shared" si="202"/>
        <v>FBO</v>
      </c>
    </row>
    <row r="1482" spans="1:30" s="6" customFormat="1" ht="20.100000000000001" customHeight="1" outlineLevel="1" x14ac:dyDescent="0.25">
      <c r="A1482" s="635" t="s">
        <v>1548</v>
      </c>
      <c r="B1482" s="25"/>
      <c r="C1482" s="13" t="s">
        <v>2582</v>
      </c>
      <c r="D1482" s="39">
        <v>61569</v>
      </c>
      <c r="E1482" s="4">
        <v>8</v>
      </c>
      <c r="F1482" s="101">
        <v>61569</v>
      </c>
      <c r="G1482" s="57"/>
      <c r="H1482" s="4" t="s">
        <v>7348</v>
      </c>
      <c r="I1482" s="4"/>
      <c r="J1482" s="4" t="s">
        <v>1988</v>
      </c>
      <c r="K1482" s="54"/>
      <c r="L1482" s="57"/>
      <c r="M1482" s="57"/>
      <c r="N1482" s="4" t="s">
        <v>1642</v>
      </c>
      <c r="O1482" s="818">
        <v>772449176</v>
      </c>
      <c r="P1482" s="818">
        <v>772449177</v>
      </c>
      <c r="Q1482" s="767"/>
      <c r="R1482" s="767"/>
      <c r="S1482" s="4"/>
      <c r="T1482" s="4" t="s">
        <v>3090</v>
      </c>
      <c r="U1482" s="4">
        <v>926505737</v>
      </c>
      <c r="V1482" s="4">
        <v>926505737</v>
      </c>
      <c r="W1482" s="4"/>
      <c r="X1482" s="4" t="s">
        <v>1642</v>
      </c>
      <c r="Y1482" s="4">
        <v>61569</v>
      </c>
      <c r="Z1482" s="35"/>
      <c r="AA1482" s="1" t="str">
        <f>IFERROR(VLOOKUP(D:D,[1]Габариты!$A:$I,9,0),"")</f>
        <v>Вакансия</v>
      </c>
      <c r="AB1482" s="6" t="str">
        <f>IFERROR(VLOOKUP(D:D,[1]Габариты!$A:$D,4,0),"")</f>
        <v>СТУЛЬЯ</v>
      </c>
      <c r="AC1482" s="39">
        <f t="shared" si="203"/>
        <v>61569</v>
      </c>
      <c r="AD1482" s="13" t="str">
        <f t="shared" si="202"/>
        <v>FBO</v>
      </c>
    </row>
    <row r="1483" spans="1:30" s="6" customFormat="1" ht="20.100000000000001" customHeight="1" outlineLevel="1" x14ac:dyDescent="0.25">
      <c r="A1483" s="635" t="s">
        <v>1549</v>
      </c>
      <c r="B1483" s="25"/>
      <c r="C1483" s="13" t="s">
        <v>2582</v>
      </c>
      <c r="D1483" s="39">
        <v>61570</v>
      </c>
      <c r="E1483" s="4">
        <v>6</v>
      </c>
      <c r="F1483" s="101">
        <v>61570</v>
      </c>
      <c r="G1483" s="57"/>
      <c r="H1483" s="4" t="s">
        <v>7349</v>
      </c>
      <c r="I1483" s="4"/>
      <c r="J1483" s="4" t="s">
        <v>1989</v>
      </c>
      <c r="K1483" s="54"/>
      <c r="L1483" s="57"/>
      <c r="M1483" s="57"/>
      <c r="N1483" s="4" t="s">
        <v>1643</v>
      </c>
      <c r="O1483" s="818">
        <v>772570055</v>
      </c>
      <c r="P1483" s="818">
        <v>772570056</v>
      </c>
      <c r="Q1483" s="767"/>
      <c r="R1483" s="767"/>
      <c r="S1483" s="4"/>
      <c r="T1483" s="4" t="s">
        <v>3091</v>
      </c>
      <c r="U1483" s="4">
        <v>926566994</v>
      </c>
      <c r="V1483" s="4">
        <v>926566994</v>
      </c>
      <c r="W1483" s="4"/>
      <c r="X1483" s="4" t="s">
        <v>1643</v>
      </c>
      <c r="Y1483" s="4">
        <v>61570</v>
      </c>
      <c r="Z1483" s="35"/>
      <c r="AA1483" s="1" t="str">
        <f>IFERROR(VLOOKUP(D:D,[1]Габариты!$A:$I,9,0),"")</f>
        <v>Вакансия</v>
      </c>
      <c r="AB1483" s="6" t="str">
        <f>IFERROR(VLOOKUP(D:D,[1]Габариты!$A:$D,4,0),"")</f>
        <v>СТУЛЬЯ</v>
      </c>
      <c r="AC1483" s="39">
        <f t="shared" si="203"/>
        <v>61570</v>
      </c>
      <c r="AD1483" s="13" t="str">
        <f t="shared" si="202"/>
        <v>FBO</v>
      </c>
    </row>
    <row r="1484" spans="1:30" s="6" customFormat="1" ht="20.100000000000001" customHeight="1" outlineLevel="1" x14ac:dyDescent="0.25">
      <c r="A1484" s="635" t="s">
        <v>1550</v>
      </c>
      <c r="B1484" s="25"/>
      <c r="C1484" s="13" t="s">
        <v>2582</v>
      </c>
      <c r="D1484" s="39">
        <v>61571</v>
      </c>
      <c r="E1484" s="4">
        <v>6</v>
      </c>
      <c r="F1484" s="101">
        <v>61571</v>
      </c>
      <c r="G1484" s="57"/>
      <c r="H1484" s="4" t="s">
        <v>7350</v>
      </c>
      <c r="I1484" s="4"/>
      <c r="J1484" s="4" t="s">
        <v>1990</v>
      </c>
      <c r="K1484" s="54"/>
      <c r="L1484" s="57"/>
      <c r="M1484" s="57"/>
      <c r="N1484" s="4" t="s">
        <v>1644</v>
      </c>
      <c r="O1484" s="818">
        <v>772579673</v>
      </c>
      <c r="P1484" s="818">
        <v>772579672</v>
      </c>
      <c r="Q1484" s="767"/>
      <c r="R1484" s="767"/>
      <c r="S1484" s="4"/>
      <c r="T1484" s="4"/>
      <c r="U1484" s="4"/>
      <c r="V1484" s="4"/>
      <c r="W1484" s="4"/>
      <c r="X1484" s="4" t="s">
        <v>1644</v>
      </c>
      <c r="Y1484" s="4">
        <v>61571</v>
      </c>
      <c r="Z1484" s="35"/>
      <c r="AA1484" s="1" t="str">
        <f>IFERROR(VLOOKUP(D:D,[1]Габариты!$A:$I,9,0),"")</f>
        <v>Вакансия</v>
      </c>
      <c r="AB1484" s="6" t="str">
        <f>IFERROR(VLOOKUP(D:D,[1]Габариты!$A:$D,4,0),"")</f>
        <v>СТУЛЬЯ</v>
      </c>
      <c r="AC1484" s="39">
        <f t="shared" si="203"/>
        <v>61571</v>
      </c>
      <c r="AD1484" s="13" t="str">
        <f t="shared" si="202"/>
        <v>FBO</v>
      </c>
    </row>
    <row r="1485" spans="1:30" s="6" customFormat="1" ht="20.100000000000001" customHeight="1" outlineLevel="1" x14ac:dyDescent="0.25">
      <c r="A1485" s="635" t="s">
        <v>1551</v>
      </c>
      <c r="B1485" s="25"/>
      <c r="C1485" s="13" t="s">
        <v>2582</v>
      </c>
      <c r="D1485" s="39">
        <v>61572</v>
      </c>
      <c r="E1485" s="4">
        <v>6</v>
      </c>
      <c r="F1485" s="101">
        <v>61572</v>
      </c>
      <c r="G1485" s="57"/>
      <c r="H1485" s="4" t="s">
        <v>7351</v>
      </c>
      <c r="I1485" s="4"/>
      <c r="J1485" s="4" t="s">
        <v>1991</v>
      </c>
      <c r="K1485" s="54"/>
      <c r="L1485" s="57"/>
      <c r="M1485" s="57"/>
      <c r="N1485" s="4" t="s">
        <v>1645</v>
      </c>
      <c r="O1485" s="818">
        <v>772601293</v>
      </c>
      <c r="P1485" s="818">
        <v>772601292</v>
      </c>
      <c r="Q1485" s="767"/>
      <c r="R1485" s="767"/>
      <c r="S1485" s="4"/>
      <c r="T1485" s="4"/>
      <c r="U1485" s="4"/>
      <c r="V1485" s="4"/>
      <c r="W1485" s="4"/>
      <c r="X1485" s="4" t="s">
        <v>1645</v>
      </c>
      <c r="Y1485" s="4">
        <v>61572</v>
      </c>
      <c r="Z1485" s="35"/>
      <c r="AA1485" s="1" t="str">
        <f>IFERROR(VLOOKUP(D:D,[1]Габариты!$A:$I,9,0),"")</f>
        <v>Вакансия</v>
      </c>
      <c r="AB1485" s="6" t="str">
        <f>IFERROR(VLOOKUP(D:D,[1]Габариты!$A:$D,4,0),"")</f>
        <v>СТУЛЬЯ</v>
      </c>
      <c r="AC1485" s="39">
        <f t="shared" si="203"/>
        <v>61572</v>
      </c>
      <c r="AD1485" s="13" t="str">
        <f t="shared" si="202"/>
        <v>FBO</v>
      </c>
    </row>
    <row r="1486" spans="1:30" s="6" customFormat="1" ht="20.100000000000001" customHeight="1" outlineLevel="1" x14ac:dyDescent="0.25">
      <c r="A1486" s="635" t="s">
        <v>1552</v>
      </c>
      <c r="B1486" s="25"/>
      <c r="C1486" s="13" t="s">
        <v>2582</v>
      </c>
      <c r="D1486" s="39">
        <v>61573</v>
      </c>
      <c r="E1486" s="4">
        <v>6</v>
      </c>
      <c r="F1486" s="101">
        <v>61573</v>
      </c>
      <c r="G1486" s="57"/>
      <c r="H1486" s="4" t="s">
        <v>7352</v>
      </c>
      <c r="I1486" s="4"/>
      <c r="J1486" s="4" t="s">
        <v>1992</v>
      </c>
      <c r="K1486" s="54"/>
      <c r="L1486" s="57"/>
      <c r="M1486" s="57"/>
      <c r="N1486" s="4" t="s">
        <v>1646</v>
      </c>
      <c r="O1486" s="818">
        <v>772611248</v>
      </c>
      <c r="P1486" s="818">
        <v>772611249</v>
      </c>
      <c r="Q1486" s="767"/>
      <c r="R1486" s="767"/>
      <c r="S1486" s="4"/>
      <c r="T1486" s="4" t="s">
        <v>3092</v>
      </c>
      <c r="U1486" s="4">
        <v>926565267</v>
      </c>
      <c r="V1486" s="4">
        <v>926565267</v>
      </c>
      <c r="W1486" s="4"/>
      <c r="X1486" s="4" t="s">
        <v>1646</v>
      </c>
      <c r="Y1486" s="4">
        <v>61573</v>
      </c>
      <c r="Z1486" s="35"/>
      <c r="AA1486" s="1" t="str">
        <f>IFERROR(VLOOKUP(D:D,[1]Габариты!$A:$I,9,0),"")</f>
        <v>Вакансия</v>
      </c>
      <c r="AB1486" s="6" t="str">
        <f>IFERROR(VLOOKUP(D:D,[1]Габариты!$A:$D,4,0),"")</f>
        <v>СТУЛЬЯ</v>
      </c>
      <c r="AC1486" s="39">
        <f t="shared" si="203"/>
        <v>61573</v>
      </c>
      <c r="AD1486" s="13" t="str">
        <f t="shared" si="202"/>
        <v>FBO</v>
      </c>
    </row>
    <row r="1487" spans="1:30" s="6" customFormat="1" ht="20.100000000000001" customHeight="1" outlineLevel="1" x14ac:dyDescent="0.25">
      <c r="A1487" s="635" t="s">
        <v>1553</v>
      </c>
      <c r="B1487" s="25"/>
      <c r="C1487" s="13" t="s">
        <v>2582</v>
      </c>
      <c r="D1487" s="39">
        <v>61574</v>
      </c>
      <c r="E1487" s="4">
        <v>6</v>
      </c>
      <c r="F1487" s="101">
        <v>61574</v>
      </c>
      <c r="G1487" s="57"/>
      <c r="H1487" s="4" t="s">
        <v>7353</v>
      </c>
      <c r="I1487" s="4"/>
      <c r="J1487" s="4" t="s">
        <v>1993</v>
      </c>
      <c r="K1487" s="54"/>
      <c r="L1487" s="57"/>
      <c r="M1487" s="57"/>
      <c r="N1487" s="4" t="s">
        <v>1647</v>
      </c>
      <c r="O1487" s="818">
        <v>772611624</v>
      </c>
      <c r="P1487" s="818">
        <v>772611625</v>
      </c>
      <c r="Q1487" s="767"/>
      <c r="R1487" s="767"/>
      <c r="S1487" s="4"/>
      <c r="T1487" s="4" t="s">
        <v>3093</v>
      </c>
      <c r="U1487" s="4">
        <v>926552264</v>
      </c>
      <c r="V1487" s="4">
        <v>926552264</v>
      </c>
      <c r="W1487" s="4"/>
      <c r="X1487" s="4" t="s">
        <v>1647</v>
      </c>
      <c r="Y1487" s="4">
        <v>61574</v>
      </c>
      <c r="Z1487" s="35"/>
      <c r="AA1487" s="1" t="str">
        <f>IFERROR(VLOOKUP(D:D,[1]Габариты!$A:$I,9,0),"")</f>
        <v>Вакансия</v>
      </c>
      <c r="AB1487" s="6" t="str">
        <f>IFERROR(VLOOKUP(D:D,[1]Габариты!$A:$D,4,0),"")</f>
        <v>СТУЛЬЯ</v>
      </c>
      <c r="AC1487" s="39">
        <f t="shared" si="203"/>
        <v>61574</v>
      </c>
      <c r="AD1487" s="13" t="str">
        <f t="shared" si="202"/>
        <v>FBO</v>
      </c>
    </row>
    <row r="1488" spans="1:30" s="6" customFormat="1" ht="20.100000000000001" customHeight="1" outlineLevel="1" x14ac:dyDescent="0.25">
      <c r="A1488" s="635" t="s">
        <v>1684</v>
      </c>
      <c r="B1488" s="25"/>
      <c r="C1488" s="13" t="s">
        <v>2582</v>
      </c>
      <c r="D1488" s="39">
        <v>135579</v>
      </c>
      <c r="E1488" s="4">
        <v>12</v>
      </c>
      <c r="F1488" s="101">
        <v>135579</v>
      </c>
      <c r="G1488" s="57"/>
      <c r="H1488" s="4" t="s">
        <v>7354</v>
      </c>
      <c r="I1488" s="4" t="s">
        <v>2520</v>
      </c>
      <c r="J1488" s="4" t="s">
        <v>1901</v>
      </c>
      <c r="K1488" s="54"/>
      <c r="L1488" s="57"/>
      <c r="M1488" s="57"/>
      <c r="N1488" s="4" t="s">
        <v>1693</v>
      </c>
      <c r="O1488" s="818">
        <v>827515365</v>
      </c>
      <c r="P1488" s="818">
        <v>827515364</v>
      </c>
      <c r="Q1488" s="767"/>
      <c r="R1488" s="767"/>
      <c r="S1488" s="4"/>
      <c r="T1488" s="4" t="s">
        <v>3094</v>
      </c>
      <c r="U1488" s="4">
        <v>889175185</v>
      </c>
      <c r="V1488" s="4">
        <v>889175185</v>
      </c>
      <c r="W1488" s="4"/>
      <c r="X1488" s="4" t="s">
        <v>1693</v>
      </c>
      <c r="Y1488" s="4">
        <v>135579</v>
      </c>
      <c r="Z1488" s="35"/>
      <c r="AA1488" s="1" t="str">
        <f>IFERROR(VLOOKUP(D:D,[1]Габариты!$A:$I,9,0),"")</f>
        <v>Вакансия</v>
      </c>
      <c r="AB1488" s="6" t="str">
        <f>IFERROR(VLOOKUP(D:D,[1]Габариты!$A:$D,4,0),"")</f>
        <v>СТУЛЬЯ</v>
      </c>
      <c r="AC1488" s="39">
        <f t="shared" si="203"/>
        <v>135579</v>
      </c>
      <c r="AD1488" s="13" t="str">
        <f t="shared" si="202"/>
        <v>FBO</v>
      </c>
    </row>
    <row r="1489" spans="1:30" s="6" customFormat="1" ht="20.100000000000001" customHeight="1" outlineLevel="1" x14ac:dyDescent="0.25">
      <c r="A1489" s="635" t="s">
        <v>1685</v>
      </c>
      <c r="B1489" s="25"/>
      <c r="C1489" s="13" t="s">
        <v>2582</v>
      </c>
      <c r="D1489" s="39">
        <v>135580</v>
      </c>
      <c r="E1489" s="4">
        <v>12</v>
      </c>
      <c r="F1489" s="101">
        <v>135580</v>
      </c>
      <c r="G1489" s="57"/>
      <c r="H1489" s="4" t="s">
        <v>7355</v>
      </c>
      <c r="I1489" s="4" t="s">
        <v>2521</v>
      </c>
      <c r="J1489" s="4" t="s">
        <v>1902</v>
      </c>
      <c r="K1489" s="54"/>
      <c r="L1489" s="57"/>
      <c r="M1489" s="57"/>
      <c r="N1489" s="4" t="s">
        <v>1694</v>
      </c>
      <c r="O1489" s="818">
        <v>827515634</v>
      </c>
      <c r="P1489" s="818">
        <v>827515633</v>
      </c>
      <c r="Q1489" s="767"/>
      <c r="R1489" s="767"/>
      <c r="S1489" s="4"/>
      <c r="T1489" s="4" t="s">
        <v>3095</v>
      </c>
      <c r="U1489" s="4">
        <v>889160398</v>
      </c>
      <c r="V1489" s="4">
        <v>889160398</v>
      </c>
      <c r="W1489" s="4"/>
      <c r="X1489" s="4" t="s">
        <v>1694</v>
      </c>
      <c r="Y1489" s="4">
        <v>135580</v>
      </c>
      <c r="Z1489" s="35"/>
      <c r="AA1489" s="1" t="str">
        <f>IFERROR(VLOOKUP(D:D,[1]Габариты!$A:$I,9,0),"")</f>
        <v>Вакансия</v>
      </c>
      <c r="AB1489" s="6" t="str">
        <f>IFERROR(VLOOKUP(D:D,[1]Габариты!$A:$D,4,0),"")</f>
        <v>СТУЛЬЯ</v>
      </c>
      <c r="AC1489" s="39">
        <f t="shared" si="203"/>
        <v>135580</v>
      </c>
      <c r="AD1489" s="13" t="str">
        <f t="shared" si="202"/>
        <v>FBO</v>
      </c>
    </row>
    <row r="1490" spans="1:30" s="6" customFormat="1" ht="20.100000000000001" customHeight="1" outlineLevel="1" x14ac:dyDescent="0.25">
      <c r="A1490" s="635" t="s">
        <v>1686</v>
      </c>
      <c r="B1490" s="25"/>
      <c r="C1490" s="13" t="s">
        <v>2582</v>
      </c>
      <c r="D1490" s="39">
        <v>135581</v>
      </c>
      <c r="E1490" s="4">
        <v>12</v>
      </c>
      <c r="F1490" s="101">
        <v>135581</v>
      </c>
      <c r="G1490" s="57"/>
      <c r="H1490" s="4" t="s">
        <v>7356</v>
      </c>
      <c r="I1490" s="4" t="s">
        <v>2522</v>
      </c>
      <c r="J1490" s="4" t="s">
        <v>1903</v>
      </c>
      <c r="K1490" s="54"/>
      <c r="L1490" s="57"/>
      <c r="M1490" s="57"/>
      <c r="N1490" s="4" t="s">
        <v>1695</v>
      </c>
      <c r="O1490" s="818">
        <v>827514469</v>
      </c>
      <c r="P1490" s="818">
        <v>827514470</v>
      </c>
      <c r="Q1490" s="767"/>
      <c r="R1490" s="767"/>
      <c r="S1490" s="4"/>
      <c r="T1490" s="4" t="s">
        <v>3096</v>
      </c>
      <c r="U1490" s="4">
        <v>888395483</v>
      </c>
      <c r="V1490" s="4">
        <v>888395483</v>
      </c>
      <c r="W1490" s="4"/>
      <c r="X1490" s="4" t="s">
        <v>1695</v>
      </c>
      <c r="Y1490" s="4">
        <v>135581</v>
      </c>
      <c r="Z1490" s="35"/>
      <c r="AA1490" s="1" t="str">
        <f>IFERROR(VLOOKUP(D:D,[1]Габариты!$A:$I,9,0),"")</f>
        <v>Вакансия</v>
      </c>
      <c r="AB1490" s="6" t="str">
        <f>IFERROR(VLOOKUP(D:D,[1]Габариты!$A:$D,4,0),"")</f>
        <v>СТУЛЬЯ</v>
      </c>
      <c r="AC1490" s="39">
        <f t="shared" si="203"/>
        <v>135581</v>
      </c>
      <c r="AD1490" s="13" t="str">
        <f t="shared" si="202"/>
        <v>FBO</v>
      </c>
    </row>
    <row r="1491" spans="1:30" s="6" customFormat="1" ht="20.100000000000001" customHeight="1" outlineLevel="1" x14ac:dyDescent="0.25">
      <c r="A1491" s="635" t="s">
        <v>1373</v>
      </c>
      <c r="B1491" s="25"/>
      <c r="C1491" s="13" t="s">
        <v>2582</v>
      </c>
      <c r="D1491" s="39">
        <v>60989</v>
      </c>
      <c r="E1491" s="4">
        <v>6</v>
      </c>
      <c r="F1491" s="101">
        <v>60989</v>
      </c>
      <c r="G1491" s="57"/>
      <c r="H1491" s="4" t="s">
        <v>7357</v>
      </c>
      <c r="I1491" s="4"/>
      <c r="J1491" s="4"/>
      <c r="K1491" s="54"/>
      <c r="L1491" s="57"/>
      <c r="M1491" s="57"/>
      <c r="N1491" s="4" t="s">
        <v>1396</v>
      </c>
      <c r="O1491" s="818">
        <v>709096037</v>
      </c>
      <c r="P1491" s="818">
        <v>709096038</v>
      </c>
      <c r="Q1491" s="767"/>
      <c r="R1491" s="767"/>
      <c r="S1491" s="4"/>
      <c r="T1491" s="4"/>
      <c r="U1491" s="4"/>
      <c r="V1491" s="4"/>
      <c r="W1491" s="4"/>
      <c r="X1491" s="4" t="s">
        <v>1396</v>
      </c>
      <c r="Y1491" s="4">
        <v>60989</v>
      </c>
      <c r="Z1491" s="35"/>
      <c r="AA1491" s="1" t="str">
        <f>IFERROR(VLOOKUP(D:D,[1]Габариты!$A:$I,9,0),"")</f>
        <v>Вакансия</v>
      </c>
      <c r="AB1491" s="6" t="str">
        <f>IFERROR(VLOOKUP(D:D,[1]Габариты!$A:$D,4,0),"")</f>
        <v>СТУЛЬЯ</v>
      </c>
      <c r="AC1491" s="39">
        <f t="shared" si="203"/>
        <v>60989</v>
      </c>
      <c r="AD1491" s="13" t="str">
        <f t="shared" si="202"/>
        <v>FBO</v>
      </c>
    </row>
    <row r="1492" spans="1:30" s="6" customFormat="1" ht="20.100000000000001" customHeight="1" outlineLevel="1" x14ac:dyDescent="0.25">
      <c r="A1492" s="635" t="s">
        <v>1375</v>
      </c>
      <c r="B1492" s="25"/>
      <c r="C1492" s="13" t="s">
        <v>2582</v>
      </c>
      <c r="D1492" s="39">
        <v>414342</v>
      </c>
      <c r="E1492" s="4">
        <v>6</v>
      </c>
      <c r="F1492" s="101">
        <v>414342</v>
      </c>
      <c r="G1492" s="57"/>
      <c r="H1492" s="4" t="s">
        <v>7358</v>
      </c>
      <c r="I1492" s="4"/>
      <c r="J1492" s="4" t="s">
        <v>1896</v>
      </c>
      <c r="K1492" s="54"/>
      <c r="L1492" s="57"/>
      <c r="M1492" s="57"/>
      <c r="N1492" s="4" t="s">
        <v>1400</v>
      </c>
      <c r="O1492" s="818">
        <v>706652061</v>
      </c>
      <c r="P1492" s="818">
        <v>706652060</v>
      </c>
      <c r="Q1492" s="767"/>
      <c r="R1492" s="767"/>
      <c r="S1492" s="4"/>
      <c r="T1492" s="4" t="s">
        <v>3083</v>
      </c>
      <c r="U1492" s="4">
        <v>895351605</v>
      </c>
      <c r="V1492" s="4">
        <v>895351605</v>
      </c>
      <c r="W1492" s="4"/>
      <c r="X1492" s="4" t="s">
        <v>1400</v>
      </c>
      <c r="Y1492" s="4" t="s">
        <v>4066</v>
      </c>
      <c r="Z1492" s="35"/>
      <c r="AA1492" s="1" t="str">
        <f>IFERROR(VLOOKUP(D:D,[1]Габариты!$A:$I,9,0),"")</f>
        <v>Вакансия</v>
      </c>
      <c r="AB1492" s="6" t="str">
        <f>IFERROR(VLOOKUP(D:D,[1]Габариты!$A:$D,4,0),"")</f>
        <v>СТУЛЬЯ</v>
      </c>
      <c r="AC1492" s="39">
        <f t="shared" si="203"/>
        <v>414342</v>
      </c>
      <c r="AD1492" s="13" t="str">
        <f t="shared" si="202"/>
        <v>FBO</v>
      </c>
    </row>
    <row r="1493" spans="1:30" s="6" customFormat="1" ht="20.100000000000001" customHeight="1" outlineLevel="1" x14ac:dyDescent="0.25">
      <c r="A1493" s="635" t="s">
        <v>329</v>
      </c>
      <c r="B1493" s="15"/>
      <c r="C1493" s="13" t="s">
        <v>3172</v>
      </c>
      <c r="D1493" s="40">
        <v>59568</v>
      </c>
      <c r="E1493" s="4">
        <v>6</v>
      </c>
      <c r="F1493" s="101">
        <v>59568</v>
      </c>
      <c r="G1493" s="57"/>
      <c r="H1493" s="4" t="s">
        <v>7359</v>
      </c>
      <c r="I1493" s="4"/>
      <c r="J1493" s="4"/>
      <c r="K1493" s="54"/>
      <c r="L1493" s="57"/>
      <c r="M1493" s="57"/>
      <c r="N1493" s="4" t="s">
        <v>934</v>
      </c>
      <c r="O1493" s="4">
        <v>323342555</v>
      </c>
      <c r="P1493" s="4">
        <v>323342573</v>
      </c>
      <c r="Q1493" s="767" t="s">
        <v>2912</v>
      </c>
      <c r="R1493" s="767">
        <v>342822331</v>
      </c>
      <c r="S1493" s="4">
        <v>342822371</v>
      </c>
      <c r="T1493" s="4"/>
      <c r="U1493" s="4"/>
      <c r="V1493" s="4"/>
      <c r="W1493" s="4"/>
      <c r="X1493" s="4" t="s">
        <v>934</v>
      </c>
      <c r="Y1493" s="4">
        <v>59568</v>
      </c>
      <c r="Z1493" s="35"/>
      <c r="AA1493" s="1" t="str">
        <f>IFERROR(VLOOKUP(D:D,[1]Габариты!$A:$I,9,0),"")</f>
        <v>Вакансия</v>
      </c>
      <c r="AB1493" s="6" t="str">
        <f>IFERROR(VLOOKUP(D:D,[1]Габариты!$A:$D,4,0),"")</f>
        <v>СТУЛЬЯ</v>
      </c>
      <c r="AC1493" s="39">
        <f t="shared" si="203"/>
        <v>59568</v>
      </c>
      <c r="AD1493" s="13" t="str">
        <f t="shared" si="202"/>
        <v xml:space="preserve">СКГТ </v>
      </c>
    </row>
    <row r="1494" spans="1:30" s="6" customFormat="1" ht="20.100000000000001" customHeight="1" outlineLevel="1" x14ac:dyDescent="0.25">
      <c r="A1494" s="635" t="s">
        <v>328</v>
      </c>
      <c r="B1494" s="15"/>
      <c r="C1494" s="13" t="s">
        <v>3172</v>
      </c>
      <c r="D1494" s="40">
        <v>59567</v>
      </c>
      <c r="E1494" s="4">
        <v>6</v>
      </c>
      <c r="F1494" s="101">
        <v>59567</v>
      </c>
      <c r="G1494" s="57"/>
      <c r="H1494" s="4" t="s">
        <v>7360</v>
      </c>
      <c r="I1494" s="4"/>
      <c r="J1494" s="4"/>
      <c r="K1494" s="54"/>
      <c r="L1494" s="57"/>
      <c r="M1494" s="57"/>
      <c r="N1494" s="4" t="s">
        <v>935</v>
      </c>
      <c r="O1494" s="4">
        <v>323372688</v>
      </c>
      <c r="P1494" s="4">
        <v>323372716</v>
      </c>
      <c r="Q1494" s="767" t="s">
        <v>2913</v>
      </c>
      <c r="R1494" s="767">
        <v>342813328</v>
      </c>
      <c r="S1494" s="4">
        <v>342813365</v>
      </c>
      <c r="T1494" s="4"/>
      <c r="U1494" s="4"/>
      <c r="V1494" s="4"/>
      <c r="W1494" s="4"/>
      <c r="X1494" s="4" t="s">
        <v>935</v>
      </c>
      <c r="Y1494" s="4">
        <v>59567</v>
      </c>
      <c r="Z1494" s="35"/>
      <c r="AA1494" s="1" t="str">
        <f>IFERROR(VLOOKUP(D:D,[1]Габариты!$A:$I,9,0),"")</f>
        <v>Вакансия</v>
      </c>
      <c r="AB1494" s="6" t="str">
        <f>IFERROR(VLOOKUP(D:D,[1]Габариты!$A:$D,4,0),"")</f>
        <v>СТУЛЬЯ</v>
      </c>
      <c r="AC1494" s="39">
        <f t="shared" si="203"/>
        <v>59567</v>
      </c>
      <c r="AD1494" s="13" t="str">
        <f t="shared" si="202"/>
        <v xml:space="preserve">СКГТ </v>
      </c>
    </row>
    <row r="1495" spans="1:30" s="6" customFormat="1" ht="20.100000000000001" customHeight="1" outlineLevel="1" x14ac:dyDescent="0.25">
      <c r="A1495" s="635" t="s">
        <v>330</v>
      </c>
      <c r="B1495" s="15"/>
      <c r="C1495" s="13" t="s">
        <v>3172</v>
      </c>
      <c r="D1495" s="40">
        <v>59569</v>
      </c>
      <c r="E1495" s="4">
        <v>6</v>
      </c>
      <c r="F1495" s="101">
        <v>59569</v>
      </c>
      <c r="G1495" s="57"/>
      <c r="H1495" s="4" t="s">
        <v>7361</v>
      </c>
      <c r="I1495" s="4"/>
      <c r="J1495" s="4"/>
      <c r="K1495" s="54"/>
      <c r="L1495" s="57"/>
      <c r="M1495" s="57"/>
      <c r="N1495" s="4" t="s">
        <v>936</v>
      </c>
      <c r="O1495" s="4">
        <v>323308461</v>
      </c>
      <c r="P1495" s="4">
        <v>323308463</v>
      </c>
      <c r="Q1495" s="767"/>
      <c r="R1495" s="767"/>
      <c r="S1495" s="4"/>
      <c r="T1495" s="4"/>
      <c r="U1495" s="4"/>
      <c r="V1495" s="4"/>
      <c r="W1495" s="4"/>
      <c r="X1495" s="4" t="s">
        <v>936</v>
      </c>
      <c r="Y1495" s="4">
        <v>59569</v>
      </c>
      <c r="Z1495" s="35"/>
      <c r="AA1495" s="1" t="str">
        <f>IFERROR(VLOOKUP(D:D,[1]Габариты!$A:$I,9,0),"")</f>
        <v>Вакансия</v>
      </c>
      <c r="AB1495" s="6" t="str">
        <f>IFERROR(VLOOKUP(D:D,[1]Габариты!$A:$D,4,0),"")</f>
        <v>СТУЛЬЯ</v>
      </c>
      <c r="AC1495" s="39">
        <f t="shared" si="203"/>
        <v>59569</v>
      </c>
      <c r="AD1495" s="13" t="str">
        <f t="shared" si="202"/>
        <v xml:space="preserve">СКГТ </v>
      </c>
    </row>
    <row r="1496" spans="1:30" s="6" customFormat="1" ht="20.100000000000001" customHeight="1" outlineLevel="1" x14ac:dyDescent="0.25">
      <c r="A1496" s="635" t="s">
        <v>4102</v>
      </c>
      <c r="B1496" s="15"/>
      <c r="C1496" s="13" t="s">
        <v>2582</v>
      </c>
      <c r="D1496" s="40">
        <v>135609</v>
      </c>
      <c r="E1496" s="4"/>
      <c r="F1496" s="101"/>
      <c r="G1496" s="57"/>
      <c r="H1496" s="4" t="s">
        <v>6907</v>
      </c>
      <c r="I1496" s="4"/>
      <c r="J1496" s="4" t="s">
        <v>4340</v>
      </c>
      <c r="K1496" s="54"/>
      <c r="L1496" s="57"/>
      <c r="M1496" s="57"/>
      <c r="N1496" s="4" t="s">
        <v>4115</v>
      </c>
      <c r="O1496" s="4">
        <v>1547994771</v>
      </c>
      <c r="P1496" s="4">
        <v>1547994771</v>
      </c>
      <c r="Q1496" s="767"/>
      <c r="R1496" s="767"/>
      <c r="S1496" s="4"/>
      <c r="T1496" s="4"/>
      <c r="U1496" s="4"/>
      <c r="V1496" s="4"/>
      <c r="W1496" s="4"/>
      <c r="X1496" s="4" t="s">
        <v>4115</v>
      </c>
      <c r="Y1496" s="4"/>
      <c r="Z1496" s="35"/>
      <c r="AA1496" s="1" t="str">
        <f>IFERROR(VLOOKUP(D:D,[1]Габариты!$A:$I,9,0),"")</f>
        <v>Вакансия</v>
      </c>
      <c r="AB1496" s="6" t="str">
        <f>IFERROR(VLOOKUP(D:D,[1]Габариты!$A:$D,4,0),"")</f>
        <v>СТУЛЬЯ</v>
      </c>
      <c r="AC1496" s="39">
        <f t="shared" si="203"/>
        <v>135609</v>
      </c>
      <c r="AD1496" s="13" t="str">
        <f t="shared" si="202"/>
        <v>FBO</v>
      </c>
    </row>
    <row r="1497" spans="1:30" s="6" customFormat="1" ht="20.100000000000001" customHeight="1" outlineLevel="1" x14ac:dyDescent="0.25">
      <c r="A1497" s="635" t="s">
        <v>4098</v>
      </c>
      <c r="B1497" s="15"/>
      <c r="C1497" s="13" t="s">
        <v>2582</v>
      </c>
      <c r="D1497" s="40">
        <v>135614</v>
      </c>
      <c r="E1497" s="4"/>
      <c r="F1497" s="101"/>
      <c r="G1497" s="57"/>
      <c r="H1497" s="4" t="s">
        <v>6903</v>
      </c>
      <c r="I1497" s="4"/>
      <c r="J1497" s="4" t="s">
        <v>4344</v>
      </c>
      <c r="K1497" s="54"/>
      <c r="L1497" s="57"/>
      <c r="M1497" s="57"/>
      <c r="N1497" s="4" t="s">
        <v>4111</v>
      </c>
      <c r="O1497" s="4">
        <v>1548035608</v>
      </c>
      <c r="P1497" s="4">
        <v>1548035608</v>
      </c>
      <c r="Q1497" s="767"/>
      <c r="R1497" s="767"/>
      <c r="S1497" s="4"/>
      <c r="T1497" s="4"/>
      <c r="U1497" s="4"/>
      <c r="V1497" s="4"/>
      <c r="W1497" s="4"/>
      <c r="X1497" s="4" t="s">
        <v>4111</v>
      </c>
      <c r="Y1497" s="4"/>
      <c r="Z1497" s="35"/>
      <c r="AA1497" s="1" t="str">
        <f>IFERROR(VLOOKUP(D:D,[1]Габариты!$A:$I,9,0),"")</f>
        <v>Вакансия</v>
      </c>
      <c r="AB1497" s="6" t="str">
        <f>IFERROR(VLOOKUP(D:D,[1]Габариты!$A:$D,4,0),"")</f>
        <v>СТУЛЬЯ</v>
      </c>
      <c r="AC1497" s="39">
        <f t="shared" si="203"/>
        <v>135614</v>
      </c>
      <c r="AD1497" s="13" t="str">
        <f>C1497</f>
        <v>FBO</v>
      </c>
    </row>
    <row r="1498" spans="1:30" s="6" customFormat="1" ht="20.100000000000001" customHeight="1" outlineLevel="1" x14ac:dyDescent="0.25">
      <c r="A1498" s="635" t="s">
        <v>4099</v>
      </c>
      <c r="B1498" s="15"/>
      <c r="C1498" s="13" t="s">
        <v>2582</v>
      </c>
      <c r="D1498" s="40">
        <v>135608</v>
      </c>
      <c r="E1498" s="4"/>
      <c r="F1498" s="101"/>
      <c r="G1498" s="57"/>
      <c r="H1498" s="4" t="s">
        <v>6904</v>
      </c>
      <c r="I1498" s="4"/>
      <c r="J1498" s="4" t="s">
        <v>4339</v>
      </c>
      <c r="K1498" s="54"/>
      <c r="L1498" s="57"/>
      <c r="M1498" s="57"/>
      <c r="N1498" s="4" t="s">
        <v>4112</v>
      </c>
      <c r="O1498" s="4">
        <v>1547988344</v>
      </c>
      <c r="P1498" s="4">
        <v>1547988344</v>
      </c>
      <c r="Q1498" s="767"/>
      <c r="R1498" s="767"/>
      <c r="S1498" s="4"/>
      <c r="T1498" s="4"/>
      <c r="U1498" s="4"/>
      <c r="V1498" s="4"/>
      <c r="W1498" s="4"/>
      <c r="X1498" s="4" t="s">
        <v>4112</v>
      </c>
      <c r="Y1498" s="4"/>
      <c r="Z1498" s="35"/>
      <c r="AA1498" s="1" t="str">
        <f>IFERROR(VLOOKUP(D:D,[1]Габариты!$A:$I,9,0),"")</f>
        <v>Вакансия</v>
      </c>
      <c r="AB1498" s="6" t="str">
        <f>IFERROR(VLOOKUP(D:D,[1]Габариты!$A:$D,4,0),"")</f>
        <v>СТУЛЬЯ</v>
      </c>
      <c r="AC1498" s="39">
        <f t="shared" si="203"/>
        <v>135608</v>
      </c>
      <c r="AD1498" s="13" t="str">
        <f>C1498</f>
        <v>FBO</v>
      </c>
    </row>
    <row r="1499" spans="1:30" s="6" customFormat="1" ht="20.100000000000001" customHeight="1" outlineLevel="1" x14ac:dyDescent="0.25">
      <c r="A1499" s="635" t="s">
        <v>4100</v>
      </c>
      <c r="B1499" s="15"/>
      <c r="C1499" s="13" t="s">
        <v>2582</v>
      </c>
      <c r="D1499" s="40">
        <v>135607</v>
      </c>
      <c r="E1499" s="4"/>
      <c r="F1499" s="101"/>
      <c r="G1499" s="57"/>
      <c r="H1499" s="4" t="s">
        <v>6905</v>
      </c>
      <c r="I1499" s="4"/>
      <c r="J1499" s="4" t="s">
        <v>4338</v>
      </c>
      <c r="K1499" s="54"/>
      <c r="L1499" s="57"/>
      <c r="M1499" s="57"/>
      <c r="N1499" s="4" t="s">
        <v>4113</v>
      </c>
      <c r="O1499" s="4">
        <v>1547999019</v>
      </c>
      <c r="P1499" s="4">
        <v>1547999019</v>
      </c>
      <c r="Q1499" s="767"/>
      <c r="R1499" s="767"/>
      <c r="S1499" s="4"/>
      <c r="T1499" s="4"/>
      <c r="U1499" s="4"/>
      <c r="V1499" s="4"/>
      <c r="W1499" s="4"/>
      <c r="X1499" s="4" t="s">
        <v>4113</v>
      </c>
      <c r="Y1499" s="4"/>
      <c r="Z1499" s="35"/>
      <c r="AA1499" s="1" t="str">
        <f>IFERROR(VLOOKUP(D:D,[1]Габариты!$A:$I,9,0),"")</f>
        <v>Вакансия</v>
      </c>
      <c r="AB1499" s="6" t="str">
        <f>IFERROR(VLOOKUP(D:D,[1]Габариты!$A:$D,4,0),"")</f>
        <v>СТУЛЬЯ</v>
      </c>
      <c r="AC1499" s="39">
        <f t="shared" si="203"/>
        <v>135607</v>
      </c>
      <c r="AD1499" s="13" t="str">
        <f>C1499</f>
        <v>FBO</v>
      </c>
    </row>
    <row r="1500" spans="1:30" s="6" customFormat="1" ht="20.100000000000001" customHeight="1" outlineLevel="1" x14ac:dyDescent="0.25">
      <c r="A1500" s="635" t="s">
        <v>4101</v>
      </c>
      <c r="B1500" s="15"/>
      <c r="C1500" s="13" t="s">
        <v>2582</v>
      </c>
      <c r="D1500" s="40">
        <v>135610</v>
      </c>
      <c r="E1500" s="4"/>
      <c r="F1500" s="101"/>
      <c r="G1500" s="57"/>
      <c r="H1500" s="4" t="s">
        <v>6906</v>
      </c>
      <c r="I1500" s="4"/>
      <c r="J1500" s="4" t="s">
        <v>4341</v>
      </c>
      <c r="K1500" s="54"/>
      <c r="L1500" s="57"/>
      <c r="M1500" s="57"/>
      <c r="N1500" s="4" t="s">
        <v>4114</v>
      </c>
      <c r="O1500" s="4">
        <v>1548003327</v>
      </c>
      <c r="P1500" s="4">
        <v>1548003327</v>
      </c>
      <c r="Q1500" s="767"/>
      <c r="R1500" s="767"/>
      <c r="S1500" s="4"/>
      <c r="T1500" s="4"/>
      <c r="U1500" s="4"/>
      <c r="V1500" s="4"/>
      <c r="W1500" s="4"/>
      <c r="X1500" s="4" t="s">
        <v>4114</v>
      </c>
      <c r="Y1500" s="4"/>
      <c r="Z1500" s="35"/>
      <c r="AA1500" s="1" t="str">
        <f>IFERROR(VLOOKUP(D:D,[1]Габариты!$A:$I,9,0),"")</f>
        <v>Вакансия</v>
      </c>
      <c r="AB1500" s="6" t="str">
        <f>IFERROR(VLOOKUP(D:D,[1]Габариты!$A:$D,4,0),"")</f>
        <v>СТУЛЬЯ</v>
      </c>
      <c r="AC1500" s="39">
        <f t="shared" si="203"/>
        <v>135610</v>
      </c>
      <c r="AD1500" s="13" t="str">
        <f>C1500</f>
        <v>FBO</v>
      </c>
    </row>
    <row r="1501" spans="1:30" s="6" customFormat="1" ht="20.100000000000001" customHeight="1" outlineLevel="1" x14ac:dyDescent="0.25">
      <c r="A1501" s="635" t="s">
        <v>4103</v>
      </c>
      <c r="B1501" s="15"/>
      <c r="C1501" s="13" t="s">
        <v>2582</v>
      </c>
      <c r="D1501" s="40">
        <v>135611</v>
      </c>
      <c r="E1501" s="4"/>
      <c r="F1501" s="101"/>
      <c r="G1501" s="57"/>
      <c r="H1501" s="4" t="s">
        <v>6908</v>
      </c>
      <c r="I1501" s="4"/>
      <c r="J1501" s="4" t="s">
        <v>4342</v>
      </c>
      <c r="K1501" s="54"/>
      <c r="L1501" s="57"/>
      <c r="M1501" s="57"/>
      <c r="N1501" s="4" t="s">
        <v>4116</v>
      </c>
      <c r="O1501" s="4">
        <v>1548010135</v>
      </c>
      <c r="P1501" s="4">
        <v>1548010135</v>
      </c>
      <c r="Q1501" s="767"/>
      <c r="R1501" s="767"/>
      <c r="S1501" s="4"/>
      <c r="T1501" s="4"/>
      <c r="U1501" s="4"/>
      <c r="V1501" s="4"/>
      <c r="W1501" s="4"/>
      <c r="X1501" s="4" t="s">
        <v>4116</v>
      </c>
      <c r="Y1501" s="4"/>
      <c r="Z1501" s="35"/>
      <c r="AA1501" s="1" t="str">
        <f>IFERROR(VLOOKUP(D:D,[1]Габариты!$A:$I,9,0),"")</f>
        <v>Вакансия</v>
      </c>
      <c r="AB1501" s="6" t="str">
        <f>IFERROR(VLOOKUP(D:D,[1]Габариты!$A:$D,4,0),"")</f>
        <v>СТУЛЬЯ</v>
      </c>
      <c r="AC1501" s="39">
        <f t="shared" si="203"/>
        <v>135611</v>
      </c>
      <c r="AD1501" s="13" t="str">
        <f>C1501</f>
        <v>FBO</v>
      </c>
    </row>
    <row r="1502" spans="1:30" s="1" customFormat="1" ht="20.100000000000001" customHeight="1" outlineLevel="1" x14ac:dyDescent="0.2">
      <c r="A1502" s="754" t="s">
        <v>1554</v>
      </c>
      <c r="B1502" s="754" t="s">
        <v>3846</v>
      </c>
      <c r="C1502" s="13"/>
      <c r="D1502" s="42"/>
      <c r="E1502" s="4"/>
      <c r="F1502" s="101"/>
      <c r="G1502" s="57"/>
      <c r="H1502" s="4"/>
      <c r="I1502" s="4"/>
      <c r="J1502" s="4"/>
      <c r="K1502" s="54"/>
      <c r="L1502" s="57"/>
      <c r="M1502" s="57"/>
      <c r="N1502" s="766"/>
      <c r="O1502" s="17"/>
      <c r="P1502" s="17"/>
      <c r="Q1502" s="767"/>
      <c r="R1502" s="17"/>
      <c r="S1502" s="17"/>
      <c r="T1502" s="4"/>
      <c r="U1502" s="4"/>
      <c r="V1502" s="4"/>
      <c r="W1502" s="4"/>
      <c r="X1502" s="4"/>
      <c r="Y1502" s="4" t="s">
        <v>4066</v>
      </c>
      <c r="AA1502" s="1" t="str">
        <f>IFERROR(VLOOKUP(D:D,[1]Габариты!$A:$I,9,0),"")</f>
        <v/>
      </c>
      <c r="AB1502" s="6" t="str">
        <f>IFERROR(VLOOKUP(D:D,[1]Габариты!$A:$D,4,0),"")</f>
        <v/>
      </c>
      <c r="AC1502" s="39"/>
      <c r="AD1502" s="3"/>
    </row>
    <row r="1503" spans="1:30" s="6" customFormat="1" ht="20.100000000000001" customHeight="1" outlineLevel="1" x14ac:dyDescent="0.25">
      <c r="A1503" s="635" t="s">
        <v>1555</v>
      </c>
      <c r="B1503" s="3"/>
      <c r="C1503" s="13" t="s">
        <v>2582</v>
      </c>
      <c r="D1503" s="39">
        <v>45475</v>
      </c>
      <c r="E1503" s="4"/>
      <c r="F1503" s="101">
        <v>45475</v>
      </c>
      <c r="G1503" s="57"/>
      <c r="H1503" s="4" t="s">
        <v>7011</v>
      </c>
      <c r="I1503" s="4"/>
      <c r="J1503" s="4"/>
      <c r="K1503" s="54"/>
      <c r="L1503" s="57"/>
      <c r="M1503" s="57"/>
      <c r="N1503" s="4" t="s">
        <v>1651</v>
      </c>
      <c r="O1503" s="4">
        <v>790286756</v>
      </c>
      <c r="P1503" s="4">
        <v>790286757</v>
      </c>
      <c r="Q1503" s="767"/>
      <c r="R1503" s="4"/>
      <c r="S1503" s="4"/>
      <c r="T1503" s="4"/>
      <c r="U1503" s="4"/>
      <c r="V1503" s="4"/>
      <c r="W1503" s="4"/>
      <c r="X1503" s="4" t="s">
        <v>1651</v>
      </c>
      <c r="Y1503" s="4" t="s">
        <v>4066</v>
      </c>
      <c r="AA1503" s="1" t="str">
        <f>IFERROR(VLOOKUP(D:D,[1]Габариты!$A:$I,9,0),"")</f>
        <v>Вакансия</v>
      </c>
      <c r="AB1503" s="6" t="str">
        <f>IFERROR(VLOOKUP(D:D,[1]Габариты!$A:$D,4,0),"")</f>
        <v>ПОДУШКИ</v>
      </c>
      <c r="AC1503" s="39">
        <f t="shared" si="203"/>
        <v>45475</v>
      </c>
      <c r="AD1503" s="13" t="str">
        <f t="shared" si="202"/>
        <v>FBO</v>
      </c>
    </row>
    <row r="1504" spans="1:30" s="6" customFormat="1" ht="20.100000000000001" customHeight="1" outlineLevel="1" x14ac:dyDescent="0.25">
      <c r="A1504" s="635" t="s">
        <v>1556</v>
      </c>
      <c r="B1504" s="3"/>
      <c r="C1504" s="13" t="s">
        <v>2582</v>
      </c>
      <c r="D1504" s="39">
        <v>45575</v>
      </c>
      <c r="E1504" s="4"/>
      <c r="F1504" s="101">
        <v>45575</v>
      </c>
      <c r="G1504" s="57"/>
      <c r="H1504" s="4" t="s">
        <v>7012</v>
      </c>
      <c r="I1504" s="4"/>
      <c r="J1504" s="4" t="s">
        <v>2008</v>
      </c>
      <c r="K1504" s="54"/>
      <c r="L1504" s="57"/>
      <c r="M1504" s="57"/>
      <c r="N1504" s="4" t="s">
        <v>1652</v>
      </c>
      <c r="O1504" s="4">
        <v>768343050</v>
      </c>
      <c r="P1504" s="4">
        <v>768343051</v>
      </c>
      <c r="Q1504" s="767"/>
      <c r="R1504" s="4"/>
      <c r="S1504" s="4"/>
      <c r="T1504" s="4" t="s">
        <v>3106</v>
      </c>
      <c r="U1504" s="4">
        <v>923535442</v>
      </c>
      <c r="V1504" s="4">
        <v>923535442</v>
      </c>
      <c r="W1504" s="4"/>
      <c r="X1504" s="4" t="s">
        <v>1652</v>
      </c>
      <c r="Y1504" s="4">
        <v>45575</v>
      </c>
      <c r="AA1504" s="1" t="str">
        <f>IFERROR(VLOOKUP(D:D,[1]Габариты!$A:$I,9,0),"")</f>
        <v>Вакансия</v>
      </c>
      <c r="AB1504" s="6" t="str">
        <f>IFERROR(VLOOKUP(D:D,[1]Габариты!$A:$D,4,0),"")</f>
        <v>ПОДУШКИ</v>
      </c>
      <c r="AC1504" s="39">
        <f t="shared" si="203"/>
        <v>45575</v>
      </c>
      <c r="AD1504" s="13" t="str">
        <f t="shared" si="202"/>
        <v>FBO</v>
      </c>
    </row>
    <row r="1505" spans="1:30" s="6" customFormat="1" ht="20.100000000000001" customHeight="1" outlineLevel="1" x14ac:dyDescent="0.25">
      <c r="A1505" s="635" t="s">
        <v>1557</v>
      </c>
      <c r="B1505" s="3"/>
      <c r="C1505" s="13" t="s">
        <v>2582</v>
      </c>
      <c r="D1505" s="39">
        <v>45675</v>
      </c>
      <c r="E1505" s="4"/>
      <c r="F1505" s="101">
        <v>45675</v>
      </c>
      <c r="G1505" s="57"/>
      <c r="H1505" s="4" t="s">
        <v>7013</v>
      </c>
      <c r="I1505" s="4"/>
      <c r="J1505" s="4" t="s">
        <v>2009</v>
      </c>
      <c r="K1505" s="54"/>
      <c r="L1505" s="57"/>
      <c r="M1505" s="57"/>
      <c r="N1505" s="4" t="s">
        <v>1653</v>
      </c>
      <c r="O1505" s="4">
        <v>798414121</v>
      </c>
      <c r="P1505" s="4">
        <v>798414120</v>
      </c>
      <c r="Q1505" s="767"/>
      <c r="R1505" s="4"/>
      <c r="S1505" s="4"/>
      <c r="T1505" s="4" t="s">
        <v>3107</v>
      </c>
      <c r="U1505" s="4">
        <v>924815427</v>
      </c>
      <c r="V1505" s="4">
        <v>924815427</v>
      </c>
      <c r="W1505" s="4"/>
      <c r="X1505" s="4" t="s">
        <v>1653</v>
      </c>
      <c r="Y1505" s="4">
        <v>45675</v>
      </c>
      <c r="AA1505" s="1" t="str">
        <f>IFERROR(VLOOKUP(D:D,[1]Габариты!$A:$I,9,0),"")</f>
        <v>Вакансия</v>
      </c>
      <c r="AB1505" s="6" t="str">
        <f>IFERROR(VLOOKUP(D:D,[1]Габариты!$A:$D,4,0),"")</f>
        <v>ПОДУШКИ</v>
      </c>
      <c r="AC1505" s="39">
        <f t="shared" si="203"/>
        <v>45675</v>
      </c>
      <c r="AD1505" s="13" t="str">
        <f t="shared" si="202"/>
        <v>FBO</v>
      </c>
    </row>
    <row r="1506" spans="1:30" s="1" customFormat="1" ht="20.100000000000001" customHeight="1" outlineLevel="1" x14ac:dyDescent="0.2">
      <c r="A1506" s="755" t="s">
        <v>437</v>
      </c>
      <c r="B1506" s="754" t="s">
        <v>3846</v>
      </c>
      <c r="C1506" s="13"/>
      <c r="D1506" s="41"/>
      <c r="E1506" s="4"/>
      <c r="F1506" s="101"/>
      <c r="G1506" s="57"/>
      <c r="H1506" s="4"/>
      <c r="I1506" s="4"/>
      <c r="J1506" s="4"/>
      <c r="K1506" s="54"/>
      <c r="L1506" s="57"/>
      <c r="M1506" s="57"/>
      <c r="N1506" s="766"/>
      <c r="O1506" s="4"/>
      <c r="P1506" s="4"/>
      <c r="Q1506" s="767"/>
      <c r="R1506" s="767"/>
      <c r="S1506" s="4"/>
      <c r="T1506" s="4"/>
      <c r="U1506" s="4"/>
      <c r="V1506" s="4"/>
      <c r="W1506" s="4"/>
      <c r="X1506" s="4"/>
      <c r="Y1506" s="4" t="s">
        <v>4066</v>
      </c>
      <c r="Z1506" s="35"/>
      <c r="AA1506" s="1" t="str">
        <f>IFERROR(VLOOKUP(D:D,[1]Габариты!$A:$I,9,0),"")</f>
        <v/>
      </c>
      <c r="AB1506" s="6" t="str">
        <f>IFERROR(VLOOKUP(D:D,[1]Габариты!$A:$D,4,0),"")</f>
        <v/>
      </c>
      <c r="AC1506" s="39"/>
      <c r="AD1506" s="3"/>
    </row>
    <row r="1507" spans="1:30" s="6" customFormat="1" ht="20.100000000000001" customHeight="1" outlineLevel="1" x14ac:dyDescent="0.25">
      <c r="A1507" s="635" t="s">
        <v>333</v>
      </c>
      <c r="B1507" s="15"/>
      <c r="C1507" s="13" t="s">
        <v>2582</v>
      </c>
      <c r="D1507" s="881">
        <v>59572</v>
      </c>
      <c r="E1507" s="4">
        <v>18</v>
      </c>
      <c r="F1507" s="101">
        <v>59572</v>
      </c>
      <c r="G1507" s="57"/>
      <c r="H1507" s="4" t="s">
        <v>7362</v>
      </c>
      <c r="I1507" s="4"/>
      <c r="J1507" s="4"/>
      <c r="K1507" s="54"/>
      <c r="L1507" s="57"/>
      <c r="M1507" s="57"/>
      <c r="N1507" s="4" t="s">
        <v>946</v>
      </c>
      <c r="O1507" s="4">
        <v>327062101</v>
      </c>
      <c r="P1507" s="4">
        <v>327062133</v>
      </c>
      <c r="Q1507" s="767" t="s">
        <v>2935</v>
      </c>
      <c r="R1507" s="767">
        <v>342796400</v>
      </c>
      <c r="S1507" s="4">
        <v>342796455</v>
      </c>
      <c r="T1507" s="4"/>
      <c r="U1507" s="4"/>
      <c r="V1507" s="4"/>
      <c r="W1507" s="4"/>
      <c r="X1507" s="4" t="s">
        <v>946</v>
      </c>
      <c r="Y1507" s="4">
        <v>59572</v>
      </c>
      <c r="Z1507" s="35"/>
      <c r="AA1507" s="1" t="str">
        <f>IFERROR(VLOOKUP(D:D,[1]Габариты!$A:$I,9,0),"")</f>
        <v>Вакансия</v>
      </c>
      <c r="AB1507" s="6" t="str">
        <f>IFERROR(VLOOKUP(D:D,[1]Габариты!$A:$D,4,0),"")</f>
        <v>ТАБУРЕТЫ</v>
      </c>
      <c r="AC1507" s="39">
        <f t="shared" si="203"/>
        <v>59572</v>
      </c>
      <c r="AD1507" s="13" t="str">
        <f t="shared" si="202"/>
        <v>FBO</v>
      </c>
    </row>
    <row r="1508" spans="1:30" s="6" customFormat="1" ht="20.100000000000001" customHeight="1" outlineLevel="1" x14ac:dyDescent="0.25">
      <c r="A1508" s="734" t="s">
        <v>1065</v>
      </c>
      <c r="B1508" s="11"/>
      <c r="C1508" s="13" t="s">
        <v>2582</v>
      </c>
      <c r="D1508" s="40">
        <v>55557</v>
      </c>
      <c r="E1508" s="4">
        <v>100</v>
      </c>
      <c r="F1508" s="101">
        <v>55557</v>
      </c>
      <c r="G1508" s="57"/>
      <c r="H1508" s="4" t="s">
        <v>7363</v>
      </c>
      <c r="I1508" s="4"/>
      <c r="J1508" s="4"/>
      <c r="K1508" s="54"/>
      <c r="L1508" s="57"/>
      <c r="M1508" s="57"/>
      <c r="N1508" s="4" t="s">
        <v>1078</v>
      </c>
      <c r="O1508" s="4">
        <v>799442189</v>
      </c>
      <c r="P1508" s="4">
        <v>799442190</v>
      </c>
      <c r="Q1508" s="767"/>
      <c r="R1508" s="767"/>
      <c r="S1508" s="4"/>
      <c r="T1508" s="4"/>
      <c r="U1508" s="4"/>
      <c r="V1508" s="4"/>
      <c r="W1508" s="4"/>
      <c r="X1508" s="4" t="s">
        <v>1078</v>
      </c>
      <c r="Y1508" s="4">
        <v>55557</v>
      </c>
      <c r="Z1508" s="35"/>
      <c r="AA1508" s="1" t="str">
        <f>IFERROR(VLOOKUP(D:D,[1]Габариты!$A:$I,9,0),"")</f>
        <v>Вакансия</v>
      </c>
      <c r="AB1508" s="6" t="str">
        <f>IFERROR(VLOOKUP(D:D,[1]Габариты!$A:$D,4,0),"")</f>
        <v>ТАБУРЕТЫ</v>
      </c>
      <c r="AC1508" s="39">
        <f t="shared" si="203"/>
        <v>55557</v>
      </c>
      <c r="AD1508" s="13" t="str">
        <f t="shared" si="202"/>
        <v>FBO</v>
      </c>
    </row>
    <row r="1509" spans="1:30" s="6" customFormat="1" ht="20.100000000000001" customHeight="1" outlineLevel="1" x14ac:dyDescent="0.25">
      <c r="A1509" s="734" t="s">
        <v>1066</v>
      </c>
      <c r="B1509" s="11"/>
      <c r="C1509" s="13" t="s">
        <v>2582</v>
      </c>
      <c r="D1509" s="40">
        <v>55558</v>
      </c>
      <c r="E1509" s="4">
        <v>125</v>
      </c>
      <c r="F1509" s="101">
        <v>55558</v>
      </c>
      <c r="G1509" s="57"/>
      <c r="H1509" s="4" t="s">
        <v>7364</v>
      </c>
      <c r="I1509" s="4"/>
      <c r="J1509" s="4"/>
      <c r="K1509" s="54"/>
      <c r="L1509" s="57"/>
      <c r="M1509" s="57"/>
      <c r="N1509" s="4" t="s">
        <v>1077</v>
      </c>
      <c r="O1509" s="4">
        <v>643186961</v>
      </c>
      <c r="P1509" s="4">
        <v>643186960</v>
      </c>
      <c r="Q1509" s="767"/>
      <c r="R1509" s="767"/>
      <c r="S1509" s="4"/>
      <c r="T1509" s="4"/>
      <c r="U1509" s="4"/>
      <c r="V1509" s="4"/>
      <c r="W1509" s="4"/>
      <c r="X1509" s="4" t="s">
        <v>1077</v>
      </c>
      <c r="Y1509" s="4">
        <v>55558</v>
      </c>
      <c r="Z1509" s="35"/>
      <c r="AA1509" s="1" t="str">
        <f>IFERROR(VLOOKUP(D:D,[1]Габариты!$A:$I,9,0),"")</f>
        <v>Вакансия</v>
      </c>
      <c r="AB1509" s="6" t="str">
        <f>IFERROR(VLOOKUP(D:D,[1]Габариты!$A:$D,4,0),"")</f>
        <v>ТАБУРЕТЫ</v>
      </c>
      <c r="AC1509" s="39">
        <f t="shared" si="203"/>
        <v>55558</v>
      </c>
      <c r="AD1509" s="13" t="str">
        <f t="shared" si="202"/>
        <v>FBO</v>
      </c>
    </row>
    <row r="1510" spans="1:30" s="6" customFormat="1" ht="20.100000000000001" customHeight="1" outlineLevel="1" x14ac:dyDescent="0.25">
      <c r="A1510" s="734" t="s">
        <v>356</v>
      </c>
      <c r="B1510" s="11"/>
      <c r="C1510" s="13" t="s">
        <v>2581</v>
      </c>
      <c r="D1510" s="40">
        <v>412333</v>
      </c>
      <c r="E1510" s="4">
        <v>18</v>
      </c>
      <c r="F1510" s="101">
        <v>412333</v>
      </c>
      <c r="G1510" s="57"/>
      <c r="H1510" s="4" t="s">
        <v>7365</v>
      </c>
      <c r="I1510" s="4" t="s">
        <v>1321</v>
      </c>
      <c r="J1510" s="4"/>
      <c r="K1510" s="54"/>
      <c r="L1510" s="57"/>
      <c r="M1510" s="57"/>
      <c r="N1510" s="766"/>
      <c r="O1510" s="4"/>
      <c r="P1510" s="4"/>
      <c r="Q1510" s="767" t="s">
        <v>2936</v>
      </c>
      <c r="R1510" s="767">
        <v>389202213</v>
      </c>
      <c r="S1510" s="4">
        <v>389202214</v>
      </c>
      <c r="T1510" s="4"/>
      <c r="U1510" s="4"/>
      <c r="V1510" s="4"/>
      <c r="W1510" s="4"/>
      <c r="X1510" s="4"/>
      <c r="Y1510" s="4" t="s">
        <v>4066</v>
      </c>
      <c r="Z1510" s="35"/>
      <c r="AA1510" s="1" t="str">
        <f>IFERROR(VLOOKUP(D:D,[1]Габариты!$A:$I,9,0),"")</f>
        <v>Вакансия</v>
      </c>
      <c r="AB1510" s="6" t="str">
        <f>IFERROR(VLOOKUP(D:D,[1]Габариты!$A:$D,4,0),"")</f>
        <v>ТАБУРЕТЫ</v>
      </c>
      <c r="AC1510" s="39">
        <f t="shared" si="203"/>
        <v>412333</v>
      </c>
      <c r="AD1510" s="13" t="str">
        <f t="shared" si="202"/>
        <v>FBS</v>
      </c>
    </row>
    <row r="1511" spans="1:30" s="6" customFormat="1" ht="20.100000000000001" customHeight="1" outlineLevel="1" x14ac:dyDescent="0.25">
      <c r="A1511" s="734" t="s">
        <v>358</v>
      </c>
      <c r="B1511" s="11"/>
      <c r="C1511" s="13" t="s">
        <v>2581</v>
      </c>
      <c r="D1511" s="40">
        <v>412335</v>
      </c>
      <c r="E1511" s="4">
        <v>18</v>
      </c>
      <c r="F1511" s="101">
        <v>412335</v>
      </c>
      <c r="G1511" s="57"/>
      <c r="H1511" s="4" t="s">
        <v>7366</v>
      </c>
      <c r="I1511" s="4" t="s">
        <v>1322</v>
      </c>
      <c r="J1511" s="4"/>
      <c r="K1511" s="54"/>
      <c r="L1511" s="57"/>
      <c r="M1511" s="57"/>
      <c r="N1511" s="766"/>
      <c r="O1511" s="4"/>
      <c r="P1511" s="4"/>
      <c r="Q1511" s="767" t="s">
        <v>2937</v>
      </c>
      <c r="R1511" s="767">
        <v>389207235</v>
      </c>
      <c r="S1511" s="4">
        <v>389207236</v>
      </c>
      <c r="T1511" s="4"/>
      <c r="U1511" s="4"/>
      <c r="V1511" s="4"/>
      <c r="W1511" s="4"/>
      <c r="X1511" s="4"/>
      <c r="Y1511" s="4" t="s">
        <v>4066</v>
      </c>
      <c r="Z1511" s="35"/>
      <c r="AA1511" s="1" t="str">
        <f>IFERROR(VLOOKUP(D:D,[1]Габариты!$A:$I,9,0),"")</f>
        <v>Вакансия</v>
      </c>
      <c r="AB1511" s="6" t="str">
        <f>IFERROR(VLOOKUP(D:D,[1]Габариты!$A:$D,4,0),"")</f>
        <v>ТАБУРЕТЫ</v>
      </c>
      <c r="AC1511" s="39">
        <f t="shared" si="203"/>
        <v>412335</v>
      </c>
      <c r="AD1511" s="13" t="str">
        <f t="shared" si="202"/>
        <v>FBS</v>
      </c>
    </row>
    <row r="1512" spans="1:30" s="6" customFormat="1" ht="20.100000000000001" customHeight="1" outlineLevel="1" x14ac:dyDescent="0.25">
      <c r="A1512" s="734" t="s">
        <v>357</v>
      </c>
      <c r="B1512" s="11"/>
      <c r="C1512" s="13" t="s">
        <v>2581</v>
      </c>
      <c r="D1512" s="40">
        <v>412334</v>
      </c>
      <c r="E1512" s="4">
        <v>18</v>
      </c>
      <c r="F1512" s="101">
        <v>412334</v>
      </c>
      <c r="G1512" s="57"/>
      <c r="H1512" s="4" t="s">
        <v>7367</v>
      </c>
      <c r="I1512" s="4"/>
      <c r="J1512" s="4"/>
      <c r="K1512" s="54"/>
      <c r="L1512" s="57"/>
      <c r="M1512" s="57"/>
      <c r="N1512" s="766"/>
      <c r="O1512" s="4"/>
      <c r="P1512" s="4"/>
      <c r="Q1512" s="767" t="s">
        <v>2938</v>
      </c>
      <c r="R1512" s="767">
        <v>389159651</v>
      </c>
      <c r="S1512" s="4">
        <v>389159650</v>
      </c>
      <c r="T1512" s="4"/>
      <c r="U1512" s="4"/>
      <c r="V1512" s="4"/>
      <c r="W1512" s="4"/>
      <c r="X1512" s="4"/>
      <c r="Y1512" s="4" t="s">
        <v>4066</v>
      </c>
      <c r="Z1512" s="35"/>
      <c r="AA1512" s="1" t="str">
        <f>IFERROR(VLOOKUP(D:D,[1]Габариты!$A:$I,9,0),"")</f>
        <v>Вакансия</v>
      </c>
      <c r="AB1512" s="6" t="str">
        <f>IFERROR(VLOOKUP(D:D,[1]Габариты!$A:$D,4,0),"")</f>
        <v>ТАБУРЕТЫ</v>
      </c>
      <c r="AC1512" s="39">
        <f t="shared" si="203"/>
        <v>412334</v>
      </c>
      <c r="AD1512" s="13" t="str">
        <f t="shared" si="202"/>
        <v>FBS</v>
      </c>
    </row>
    <row r="1513" spans="1:30" s="6" customFormat="1" ht="20.100000000000001" customHeight="1" outlineLevel="1" x14ac:dyDescent="0.25">
      <c r="A1513" s="734" t="s">
        <v>359</v>
      </c>
      <c r="B1513" s="11"/>
      <c r="C1513" s="13" t="s">
        <v>2581</v>
      </c>
      <c r="D1513" s="40">
        <v>412336</v>
      </c>
      <c r="E1513" s="4">
        <v>18</v>
      </c>
      <c r="F1513" s="101">
        <v>412336</v>
      </c>
      <c r="G1513" s="57"/>
      <c r="H1513" s="4"/>
      <c r="I1513" s="4" t="s">
        <v>1323</v>
      </c>
      <c r="J1513" s="4"/>
      <c r="K1513" s="54"/>
      <c r="L1513" s="57"/>
      <c r="M1513" s="57"/>
      <c r="N1513" s="766"/>
      <c r="O1513" s="4"/>
      <c r="P1513" s="4"/>
      <c r="Q1513" s="767" t="s">
        <v>2939</v>
      </c>
      <c r="R1513" s="767">
        <v>389132314</v>
      </c>
      <c r="S1513" s="4">
        <v>389132302</v>
      </c>
      <c r="T1513" s="4"/>
      <c r="U1513" s="4"/>
      <c r="V1513" s="4"/>
      <c r="W1513" s="4"/>
      <c r="X1513" s="4"/>
      <c r="Y1513" s="4" t="s">
        <v>4066</v>
      </c>
      <c r="Z1513" s="35"/>
      <c r="AA1513" s="1" t="str">
        <f>IFERROR(VLOOKUP(D:D,[1]Габариты!$A:$I,9,0),"")</f>
        <v>Вакансия</v>
      </c>
      <c r="AB1513" s="6" t="str">
        <f>IFERROR(VLOOKUP(D:D,[1]Габариты!$A:$D,4,0),"")</f>
        <v>ТАБУРЕТЫ</v>
      </c>
      <c r="AC1513" s="39">
        <f t="shared" si="203"/>
        <v>412336</v>
      </c>
      <c r="AD1513" s="13" t="str">
        <f t="shared" si="202"/>
        <v>FBS</v>
      </c>
    </row>
    <row r="1514" spans="1:30" s="6" customFormat="1" ht="20.100000000000001" customHeight="1" outlineLevel="1" x14ac:dyDescent="0.25">
      <c r="A1514" s="734" t="s">
        <v>360</v>
      </c>
      <c r="B1514" s="11"/>
      <c r="C1514" s="13" t="s">
        <v>2581</v>
      </c>
      <c r="D1514" s="40">
        <v>412337</v>
      </c>
      <c r="E1514" s="4">
        <v>18</v>
      </c>
      <c r="F1514" s="101">
        <v>412337</v>
      </c>
      <c r="G1514" s="57"/>
      <c r="H1514" s="4" t="s">
        <v>7368</v>
      </c>
      <c r="I1514" s="4"/>
      <c r="J1514" s="4"/>
      <c r="K1514" s="54"/>
      <c r="L1514" s="57"/>
      <c r="M1514" s="57"/>
      <c r="N1514" s="766"/>
      <c r="O1514" s="4"/>
      <c r="P1514" s="4"/>
      <c r="Q1514" s="767" t="s">
        <v>2940</v>
      </c>
      <c r="R1514" s="767">
        <v>384619996</v>
      </c>
      <c r="S1514" s="4">
        <v>384619997</v>
      </c>
      <c r="T1514" s="4"/>
      <c r="U1514" s="4"/>
      <c r="V1514" s="4"/>
      <c r="W1514" s="4"/>
      <c r="X1514" s="4"/>
      <c r="Y1514" s="4" t="s">
        <v>4066</v>
      </c>
      <c r="Z1514" s="35"/>
      <c r="AA1514" s="1" t="str">
        <f>IFERROR(VLOOKUP(D:D,[1]Габариты!$A:$I,9,0),"")</f>
        <v>Вакансия</v>
      </c>
      <c r="AB1514" s="6" t="str">
        <f>IFERROR(VLOOKUP(D:D,[1]Габариты!$A:$D,4,0),"")</f>
        <v>ТАБУРЕТЫ</v>
      </c>
      <c r="AC1514" s="39">
        <f t="shared" si="203"/>
        <v>412337</v>
      </c>
      <c r="AD1514" s="13" t="str">
        <f t="shared" si="202"/>
        <v>FBS</v>
      </c>
    </row>
    <row r="1515" spans="1:30" s="6" customFormat="1" ht="20.100000000000001" customHeight="1" outlineLevel="1" x14ac:dyDescent="0.25">
      <c r="A1515" s="734" t="s">
        <v>362</v>
      </c>
      <c r="B1515" s="11"/>
      <c r="C1515" s="13" t="s">
        <v>2581</v>
      </c>
      <c r="D1515" s="40">
        <v>412339</v>
      </c>
      <c r="E1515" s="4">
        <v>18</v>
      </c>
      <c r="F1515" s="101">
        <v>412339</v>
      </c>
      <c r="G1515" s="57"/>
      <c r="H1515" s="4" t="s">
        <v>7369</v>
      </c>
      <c r="I1515" s="4"/>
      <c r="J1515" s="4"/>
      <c r="K1515" s="54"/>
      <c r="L1515" s="57"/>
      <c r="M1515" s="57"/>
      <c r="N1515" s="766"/>
      <c r="O1515" s="4"/>
      <c r="P1515" s="4"/>
      <c r="Q1515" s="767" t="s">
        <v>2941</v>
      </c>
      <c r="R1515" s="767">
        <v>387101531</v>
      </c>
      <c r="S1515" s="4">
        <v>387101533</v>
      </c>
      <c r="T1515" s="4"/>
      <c r="U1515" s="4"/>
      <c r="V1515" s="4"/>
      <c r="W1515" s="4"/>
      <c r="X1515" s="4"/>
      <c r="Y1515" s="4" t="s">
        <v>4066</v>
      </c>
      <c r="Z1515" s="35"/>
      <c r="AA1515" s="1" t="str">
        <f>IFERROR(VLOOKUP(D:D,[1]Габариты!$A:$I,9,0),"")</f>
        <v>Вакансия</v>
      </c>
      <c r="AB1515" s="6" t="str">
        <f>IFERROR(VLOOKUP(D:D,[1]Габариты!$A:$D,4,0),"")</f>
        <v>ТАБУРЕТЫ</v>
      </c>
      <c r="AC1515" s="39">
        <f t="shared" si="203"/>
        <v>412339</v>
      </c>
      <c r="AD1515" s="13" t="str">
        <f t="shared" si="202"/>
        <v>FBS</v>
      </c>
    </row>
    <row r="1516" spans="1:30" s="6" customFormat="1" ht="20.100000000000001" customHeight="1" outlineLevel="1" x14ac:dyDescent="0.25">
      <c r="A1516" s="734" t="s">
        <v>361</v>
      </c>
      <c r="B1516" s="11"/>
      <c r="C1516" s="13" t="s">
        <v>2581</v>
      </c>
      <c r="D1516" s="40">
        <v>412338</v>
      </c>
      <c r="E1516" s="4">
        <v>18</v>
      </c>
      <c r="F1516" s="101">
        <v>412338</v>
      </c>
      <c r="G1516" s="57"/>
      <c r="H1516" s="4" t="s">
        <v>7370</v>
      </c>
      <c r="I1516" s="4"/>
      <c r="J1516" s="4"/>
      <c r="K1516" s="54"/>
      <c r="L1516" s="57"/>
      <c r="M1516" s="57"/>
      <c r="N1516" s="766"/>
      <c r="O1516" s="4"/>
      <c r="P1516" s="4"/>
      <c r="Q1516" s="767" t="s">
        <v>2942</v>
      </c>
      <c r="R1516" s="767">
        <v>389119933</v>
      </c>
      <c r="S1516" s="4">
        <v>389119932</v>
      </c>
      <c r="T1516" s="4"/>
      <c r="U1516" s="4"/>
      <c r="V1516" s="4"/>
      <c r="W1516" s="4"/>
      <c r="X1516" s="4"/>
      <c r="Y1516" s="4" t="s">
        <v>4066</v>
      </c>
      <c r="Z1516" s="35"/>
      <c r="AA1516" s="1" t="str">
        <f>IFERROR(VLOOKUP(D:D,[1]Габариты!$A:$I,9,0),"")</f>
        <v>Вакансия</v>
      </c>
      <c r="AB1516" s="6" t="str">
        <f>IFERROR(VLOOKUP(D:D,[1]Габариты!$A:$D,4,0),"")</f>
        <v>ТАБУРЕТЫ</v>
      </c>
      <c r="AC1516" s="39">
        <f t="shared" si="203"/>
        <v>412338</v>
      </c>
      <c r="AD1516" s="13" t="str">
        <f t="shared" si="202"/>
        <v>FBS</v>
      </c>
    </row>
    <row r="1517" spans="1:30" s="6" customFormat="1" ht="20.100000000000001" customHeight="1" outlineLevel="1" x14ac:dyDescent="0.25">
      <c r="A1517" s="734" t="s">
        <v>363</v>
      </c>
      <c r="B1517" s="11"/>
      <c r="C1517" s="13" t="s">
        <v>2581</v>
      </c>
      <c r="D1517" s="40">
        <v>412340</v>
      </c>
      <c r="E1517" s="4">
        <v>18</v>
      </c>
      <c r="F1517" s="101">
        <v>412340</v>
      </c>
      <c r="G1517" s="57"/>
      <c r="H1517" s="4" t="s">
        <v>7371</v>
      </c>
      <c r="I1517" s="4"/>
      <c r="J1517" s="4"/>
      <c r="K1517" s="54"/>
      <c r="L1517" s="57"/>
      <c r="M1517" s="57"/>
      <c r="N1517" s="766"/>
      <c r="O1517" s="4"/>
      <c r="P1517" s="4"/>
      <c r="Q1517" s="767"/>
      <c r="R1517" s="767"/>
      <c r="S1517" s="4"/>
      <c r="T1517" s="4"/>
      <c r="U1517" s="4"/>
      <c r="V1517" s="4"/>
      <c r="W1517" s="4"/>
      <c r="X1517" s="4"/>
      <c r="Y1517" s="4" t="s">
        <v>4066</v>
      </c>
      <c r="Z1517" s="35"/>
      <c r="AA1517" s="1" t="str">
        <f>IFERROR(VLOOKUP(D:D,[1]Габариты!$A:$I,9,0),"")</f>
        <v>Вакансия</v>
      </c>
      <c r="AB1517" s="6" t="str">
        <f>IFERROR(VLOOKUP(D:D,[1]Габариты!$A:$D,4,0),"")</f>
        <v>ТАБУРЕТЫ</v>
      </c>
      <c r="AC1517" s="39">
        <f t="shared" si="203"/>
        <v>412340</v>
      </c>
      <c r="AD1517" s="13" t="str">
        <f t="shared" si="202"/>
        <v>FBS</v>
      </c>
    </row>
    <row r="1518" spans="1:30" s="6" customFormat="1" ht="20.100000000000001" customHeight="1" outlineLevel="1" x14ac:dyDescent="0.25">
      <c r="A1518" s="734" t="s">
        <v>812</v>
      </c>
      <c r="B1518" s="11"/>
      <c r="C1518" s="13" t="s">
        <v>2582</v>
      </c>
      <c r="D1518" s="40">
        <v>595959</v>
      </c>
      <c r="E1518" s="4">
        <v>18</v>
      </c>
      <c r="F1518" s="101">
        <v>595959</v>
      </c>
      <c r="G1518" s="57"/>
      <c r="H1518" s="4" t="s">
        <v>7372</v>
      </c>
      <c r="I1518" s="4"/>
      <c r="J1518" s="4"/>
      <c r="K1518" s="54"/>
      <c r="L1518" s="57"/>
      <c r="M1518" s="57"/>
      <c r="N1518" s="4" t="s">
        <v>947</v>
      </c>
      <c r="O1518" s="4">
        <v>513147925</v>
      </c>
      <c r="P1518" s="4">
        <v>513147926</v>
      </c>
      <c r="Q1518" s="767"/>
      <c r="R1518" s="767"/>
      <c r="S1518" s="4"/>
      <c r="T1518" s="4"/>
      <c r="U1518" s="4"/>
      <c r="V1518" s="4"/>
      <c r="W1518" s="4"/>
      <c r="X1518" s="4" t="s">
        <v>947</v>
      </c>
      <c r="Y1518" s="4">
        <v>595959</v>
      </c>
      <c r="Z1518" s="35"/>
      <c r="AA1518" s="1" t="str">
        <f>IFERROR(VLOOKUP(D:D,[1]Габариты!$A:$I,9,0),"")</f>
        <v>Вакансия</v>
      </c>
      <c r="AB1518" s="6" t="str">
        <f>IFERROR(VLOOKUP(D:D,[1]Габариты!$A:$D,4,0),"")</f>
        <v>ТАБУРЕТЫ</v>
      </c>
      <c r="AC1518" s="39">
        <f t="shared" si="203"/>
        <v>595959</v>
      </c>
      <c r="AD1518" s="13" t="str">
        <f t="shared" si="202"/>
        <v>FBO</v>
      </c>
    </row>
    <row r="1519" spans="1:30" s="6" customFormat="1" ht="20.100000000000001" customHeight="1" outlineLevel="1" x14ac:dyDescent="0.25">
      <c r="A1519" s="734" t="s">
        <v>814</v>
      </c>
      <c r="B1519" s="11"/>
      <c r="C1519" s="13" t="s">
        <v>2582</v>
      </c>
      <c r="D1519" s="40">
        <v>595961</v>
      </c>
      <c r="E1519" s="4">
        <v>18</v>
      </c>
      <c r="F1519" s="101">
        <v>595961</v>
      </c>
      <c r="G1519" s="57"/>
      <c r="H1519" s="4" t="s">
        <v>7373</v>
      </c>
      <c r="I1519" s="4"/>
      <c r="J1519" s="4"/>
      <c r="K1519" s="54"/>
      <c r="L1519" s="57"/>
      <c r="M1519" s="57"/>
      <c r="N1519" s="4" t="s">
        <v>949</v>
      </c>
      <c r="O1519" s="4">
        <v>513154040</v>
      </c>
      <c r="P1519" s="4">
        <v>513154041</v>
      </c>
      <c r="Q1519" s="767"/>
      <c r="R1519" s="767"/>
      <c r="S1519" s="4"/>
      <c r="T1519" s="4"/>
      <c r="U1519" s="4"/>
      <c r="V1519" s="4"/>
      <c r="W1519" s="4"/>
      <c r="X1519" s="4" t="s">
        <v>949</v>
      </c>
      <c r="Y1519" s="4">
        <v>595961</v>
      </c>
      <c r="Z1519" s="35"/>
      <c r="AA1519" s="1" t="str">
        <f>IFERROR(VLOOKUP(D:D,[1]Габариты!$A:$I,9,0),"")</f>
        <v>Вакансия</v>
      </c>
      <c r="AB1519" s="6" t="str">
        <f>IFERROR(VLOOKUP(D:D,[1]Габариты!$A:$D,4,0),"")</f>
        <v>ТАБУРЕТЫ</v>
      </c>
      <c r="AC1519" s="39">
        <f t="shared" si="203"/>
        <v>595961</v>
      </c>
      <c r="AD1519" s="13" t="str">
        <f t="shared" si="202"/>
        <v>FBO</v>
      </c>
    </row>
    <row r="1520" spans="1:30" s="6" customFormat="1" ht="20.100000000000001" customHeight="1" outlineLevel="1" x14ac:dyDescent="0.25">
      <c r="A1520" s="734" t="s">
        <v>1063</v>
      </c>
      <c r="B1520" s="11"/>
      <c r="C1520" s="13" t="s">
        <v>2582</v>
      </c>
      <c r="D1520" s="40">
        <v>55555</v>
      </c>
      <c r="E1520" s="4">
        <v>50</v>
      </c>
      <c r="F1520" s="101">
        <v>55555</v>
      </c>
      <c r="G1520" s="57"/>
      <c r="H1520" s="4" t="s">
        <v>7374</v>
      </c>
      <c r="I1520" s="4"/>
      <c r="J1520" s="4" t="s">
        <v>1908</v>
      </c>
      <c r="K1520" s="54"/>
      <c r="L1520" s="57"/>
      <c r="M1520" s="57"/>
      <c r="N1520" s="4" t="s">
        <v>1076</v>
      </c>
      <c r="O1520" s="4">
        <v>799412839</v>
      </c>
      <c r="P1520" s="4">
        <v>799412838</v>
      </c>
      <c r="Q1520" s="767"/>
      <c r="R1520" s="767"/>
      <c r="S1520" s="4"/>
      <c r="T1520" s="4" t="s">
        <v>3101</v>
      </c>
      <c r="U1520" s="4">
        <v>896644796</v>
      </c>
      <c r="V1520" s="4">
        <v>896644796</v>
      </c>
      <c r="W1520" s="4"/>
      <c r="X1520" s="4" t="s">
        <v>1076</v>
      </c>
      <c r="Y1520" s="4">
        <v>55555</v>
      </c>
      <c r="Z1520" s="35"/>
      <c r="AA1520" s="1" t="str">
        <f>IFERROR(VLOOKUP(D:D,[1]Габариты!$A:$I,9,0),"")</f>
        <v>Вакансия</v>
      </c>
      <c r="AB1520" s="6" t="str">
        <f>IFERROR(VLOOKUP(D:D,[1]Габариты!$A:$D,4,0),"")</f>
        <v>ТАБУРЕТЫ</v>
      </c>
      <c r="AC1520" s="39">
        <f t="shared" si="203"/>
        <v>55555</v>
      </c>
      <c r="AD1520" s="13" t="str">
        <f t="shared" ref="AD1520:AD1622" si="204">C1520</f>
        <v>FBO</v>
      </c>
    </row>
    <row r="1521" spans="1:30" s="6" customFormat="1" ht="20.100000000000001" customHeight="1" outlineLevel="1" x14ac:dyDescent="0.25">
      <c r="A1521" s="635" t="s">
        <v>1062</v>
      </c>
      <c r="B1521" s="3"/>
      <c r="C1521" s="13" t="s">
        <v>2582</v>
      </c>
      <c r="D1521" s="39">
        <v>19015</v>
      </c>
      <c r="E1521" s="4">
        <v>60</v>
      </c>
      <c r="F1521" s="101">
        <v>19015</v>
      </c>
      <c r="G1521" s="57"/>
      <c r="H1521" s="4"/>
      <c r="I1521" s="4" t="s">
        <v>1347</v>
      </c>
      <c r="J1521" s="4"/>
      <c r="K1521" s="54"/>
      <c r="L1521" s="57"/>
      <c r="M1521" s="57"/>
      <c r="N1521" s="766"/>
      <c r="O1521" s="4"/>
      <c r="P1521" s="4"/>
      <c r="Q1521" s="767" t="s">
        <v>2943</v>
      </c>
      <c r="R1521" s="767">
        <v>635085393</v>
      </c>
      <c r="S1521" s="4">
        <v>635085394</v>
      </c>
      <c r="T1521" s="4"/>
      <c r="U1521" s="4"/>
      <c r="V1521" s="4"/>
      <c r="W1521" s="4"/>
      <c r="X1521" s="4"/>
      <c r="Y1521" s="4" t="s">
        <v>4066</v>
      </c>
      <c r="Z1521" s="35"/>
      <c r="AA1521" s="1" t="str">
        <f>IFERROR(VLOOKUP(D:D,[1]Габариты!$A:$I,9,0),"")</f>
        <v>Вакансия</v>
      </c>
      <c r="AB1521" s="6" t="str">
        <f>IFERROR(VLOOKUP(D:D,[1]Габариты!$A:$D,4,0),"")</f>
        <v>ТАБУРЕТЫ</v>
      </c>
      <c r="AC1521" s="39">
        <f t="shared" si="203"/>
        <v>19015</v>
      </c>
      <c r="AD1521" s="13" t="str">
        <f t="shared" si="204"/>
        <v>FBO</v>
      </c>
    </row>
    <row r="1522" spans="1:30" s="6" customFormat="1" ht="20.100000000000001" customHeight="1" outlineLevel="1" x14ac:dyDescent="0.25">
      <c r="A1522" s="635" t="s">
        <v>332</v>
      </c>
      <c r="B1522" s="15"/>
      <c r="C1522" s="13" t="s">
        <v>2582</v>
      </c>
      <c r="D1522" s="881">
        <v>59571</v>
      </c>
      <c r="E1522" s="4">
        <v>18</v>
      </c>
      <c r="F1522" s="101">
        <v>59571</v>
      </c>
      <c r="G1522" s="57"/>
      <c r="H1522" s="4" t="s">
        <v>7375</v>
      </c>
      <c r="I1522" s="4"/>
      <c r="J1522" s="4" t="s">
        <v>1904</v>
      </c>
      <c r="K1522" s="54"/>
      <c r="L1522" s="57"/>
      <c r="M1522" s="57"/>
      <c r="N1522" s="4" t="s">
        <v>944</v>
      </c>
      <c r="O1522" s="4">
        <v>327084912</v>
      </c>
      <c r="P1522" s="4">
        <v>327084946</v>
      </c>
      <c r="Q1522" s="767" t="s">
        <v>2933</v>
      </c>
      <c r="R1522" s="767">
        <v>358479212</v>
      </c>
      <c r="S1522" s="4">
        <v>358479211</v>
      </c>
      <c r="T1522" s="4" t="s">
        <v>3097</v>
      </c>
      <c r="U1522" s="4">
        <v>896508943</v>
      </c>
      <c r="V1522" s="4">
        <v>896508943</v>
      </c>
      <c r="W1522" s="4"/>
      <c r="X1522" s="4" t="s">
        <v>944</v>
      </c>
      <c r="Y1522" s="4">
        <v>59571</v>
      </c>
      <c r="Z1522" s="35"/>
      <c r="AA1522" s="1" t="str">
        <f>IFERROR(VLOOKUP(D:D,[1]Габариты!$A:$I,9,0),"")</f>
        <v>Вакансия</v>
      </c>
      <c r="AB1522" s="6" t="str">
        <f>IFERROR(VLOOKUP(D:D,[1]Габариты!$A:$D,4,0),"")</f>
        <v>ТАБУРЕТЫ</v>
      </c>
      <c r="AC1522" s="39">
        <f t="shared" si="203"/>
        <v>59571</v>
      </c>
      <c r="AD1522" s="13" t="str">
        <f t="shared" si="204"/>
        <v>FBO</v>
      </c>
    </row>
    <row r="1523" spans="1:30" s="6" customFormat="1" ht="20.100000000000001" customHeight="1" outlineLevel="1" x14ac:dyDescent="0.25">
      <c r="A1523" s="734" t="s">
        <v>813</v>
      </c>
      <c r="B1523" s="11"/>
      <c r="C1523" s="13" t="s">
        <v>2582</v>
      </c>
      <c r="D1523" s="40">
        <v>595960</v>
      </c>
      <c r="E1523" s="4">
        <v>18</v>
      </c>
      <c r="F1523" s="101">
        <v>595960</v>
      </c>
      <c r="G1523" s="57"/>
      <c r="H1523" s="4" t="s">
        <v>7376</v>
      </c>
      <c r="I1523" s="4"/>
      <c r="J1523" s="4"/>
      <c r="K1523" s="54"/>
      <c r="L1523" s="57"/>
      <c r="M1523" s="57"/>
      <c r="N1523" s="4" t="s">
        <v>948</v>
      </c>
      <c r="O1523" s="4">
        <v>513156902</v>
      </c>
      <c r="P1523" s="4">
        <v>513156900</v>
      </c>
      <c r="Q1523" s="767"/>
      <c r="R1523" s="767"/>
      <c r="S1523" s="4"/>
      <c r="T1523" s="4"/>
      <c r="U1523" s="4"/>
      <c r="V1523" s="4"/>
      <c r="W1523" s="4"/>
      <c r="X1523" s="4" t="s">
        <v>948</v>
      </c>
      <c r="Y1523" s="4" t="s">
        <v>4066</v>
      </c>
      <c r="Z1523" s="35"/>
      <c r="AA1523" s="1" t="str">
        <f>IFERROR(VLOOKUP(D:D,[1]Габариты!$A:$I,9,0),"")</f>
        <v>Вакансия</v>
      </c>
      <c r="AB1523" s="6" t="str">
        <f>IFERROR(VLOOKUP(D:D,[1]Габариты!$A:$D,4,0),"")</f>
        <v>ТАБУРЕТЫ</v>
      </c>
      <c r="AC1523" s="39">
        <f t="shared" si="203"/>
        <v>595960</v>
      </c>
      <c r="AD1523" s="13" t="str">
        <f t="shared" si="204"/>
        <v>FBO</v>
      </c>
    </row>
    <row r="1524" spans="1:30" s="6" customFormat="1" ht="20.100000000000001" customHeight="1" outlineLevel="1" x14ac:dyDescent="0.25">
      <c r="A1524" s="734" t="s">
        <v>815</v>
      </c>
      <c r="B1524" s="11"/>
      <c r="C1524" s="13" t="s">
        <v>2582</v>
      </c>
      <c r="D1524" s="40">
        <v>595962</v>
      </c>
      <c r="E1524" s="4">
        <v>18</v>
      </c>
      <c r="F1524" s="101">
        <v>595962</v>
      </c>
      <c r="G1524" s="57"/>
      <c r="H1524" s="4" t="s">
        <v>7377</v>
      </c>
      <c r="I1524" s="4"/>
      <c r="J1524" s="4" t="s">
        <v>1906</v>
      </c>
      <c r="K1524" s="54"/>
      <c r="L1524" s="57"/>
      <c r="M1524" s="57"/>
      <c r="N1524" s="4" t="s">
        <v>950</v>
      </c>
      <c r="O1524" s="4">
        <v>513164207</v>
      </c>
      <c r="P1524" s="4">
        <v>513164204</v>
      </c>
      <c r="Q1524" s="767"/>
      <c r="R1524" s="767"/>
      <c r="S1524" s="4"/>
      <c r="T1524" s="4" t="s">
        <v>3099</v>
      </c>
      <c r="U1524" s="4">
        <v>896490089</v>
      </c>
      <c r="V1524" s="4">
        <v>896490089</v>
      </c>
      <c r="W1524" s="4"/>
      <c r="X1524" s="4" t="s">
        <v>950</v>
      </c>
      <c r="Y1524" s="4">
        <v>595962</v>
      </c>
      <c r="Z1524" s="35"/>
      <c r="AA1524" s="1" t="str">
        <f>IFERROR(VLOOKUP(D:D,[1]Габариты!$A:$I,9,0),"")</f>
        <v>Вакансия</v>
      </c>
      <c r="AB1524" s="6" t="str">
        <f>IFERROR(VLOOKUP(D:D,[1]Габариты!$A:$D,4,0),"")</f>
        <v>ТАБУРЕТЫ</v>
      </c>
      <c r="AC1524" s="39">
        <f t="shared" si="203"/>
        <v>595962</v>
      </c>
      <c r="AD1524" s="13" t="str">
        <f t="shared" si="204"/>
        <v>FBO</v>
      </c>
    </row>
    <row r="1525" spans="1:30" s="6" customFormat="1" ht="20.100000000000001" customHeight="1" outlineLevel="1" x14ac:dyDescent="0.25">
      <c r="A1525" s="734" t="s">
        <v>1064</v>
      </c>
      <c r="B1525" s="11"/>
      <c r="C1525" s="13" t="s">
        <v>2582</v>
      </c>
      <c r="D1525" s="40">
        <v>55556</v>
      </c>
      <c r="E1525" s="4">
        <v>50</v>
      </c>
      <c r="F1525" s="101">
        <v>55556</v>
      </c>
      <c r="G1525" s="57"/>
      <c r="H1525" s="4" t="s">
        <v>7378</v>
      </c>
      <c r="I1525" s="4"/>
      <c r="J1525" s="4" t="s">
        <v>1907</v>
      </c>
      <c r="K1525" s="54"/>
      <c r="L1525" s="57"/>
      <c r="M1525" s="57"/>
      <c r="N1525" s="4" t="s">
        <v>1075</v>
      </c>
      <c r="O1525" s="4">
        <v>643183725</v>
      </c>
      <c r="P1525" s="4">
        <v>643183726</v>
      </c>
      <c r="Q1525" s="767"/>
      <c r="R1525" s="767"/>
      <c r="S1525" s="4"/>
      <c r="T1525" s="4" t="s">
        <v>3100</v>
      </c>
      <c r="U1525" s="4">
        <v>906474680</v>
      </c>
      <c r="V1525" s="4">
        <v>906474680</v>
      </c>
      <c r="W1525" s="4"/>
      <c r="X1525" s="4" t="s">
        <v>1075</v>
      </c>
      <c r="Y1525" s="4">
        <v>55556</v>
      </c>
      <c r="Z1525" s="35"/>
      <c r="AA1525" s="1" t="str">
        <f>IFERROR(VLOOKUP(D:D,[1]Габариты!$A:$I,9,0),"")</f>
        <v>Вакансия</v>
      </c>
      <c r="AB1525" s="6" t="str">
        <f>IFERROR(VLOOKUP(D:D,[1]Габариты!$A:$D,4,0),"")</f>
        <v>ТАБУРЕТЫ</v>
      </c>
      <c r="AC1525" s="39">
        <f t="shared" si="203"/>
        <v>55556</v>
      </c>
      <c r="AD1525" s="13" t="str">
        <f t="shared" si="204"/>
        <v>FBO</v>
      </c>
    </row>
    <row r="1526" spans="1:30" s="6" customFormat="1" ht="20.100000000000001" customHeight="1" outlineLevel="1" x14ac:dyDescent="0.25">
      <c r="A1526" s="635" t="s">
        <v>331</v>
      </c>
      <c r="B1526" s="15"/>
      <c r="C1526" s="13" t="s">
        <v>2582</v>
      </c>
      <c r="D1526" s="881">
        <v>59570</v>
      </c>
      <c r="E1526" s="4">
        <v>18</v>
      </c>
      <c r="F1526" s="101">
        <v>59570</v>
      </c>
      <c r="G1526" s="57"/>
      <c r="H1526" s="4" t="s">
        <v>7379</v>
      </c>
      <c r="I1526" s="4"/>
      <c r="J1526" s="4" t="s">
        <v>1905</v>
      </c>
      <c r="K1526" s="54"/>
      <c r="L1526" s="57"/>
      <c r="M1526" s="57"/>
      <c r="N1526" s="4" t="s">
        <v>945</v>
      </c>
      <c r="O1526" s="4">
        <v>327082373</v>
      </c>
      <c r="P1526" s="4">
        <v>327082388</v>
      </c>
      <c r="Q1526" s="767" t="s">
        <v>2934</v>
      </c>
      <c r="R1526" s="767">
        <v>348126268</v>
      </c>
      <c r="S1526" s="4">
        <v>348126287</v>
      </c>
      <c r="T1526" s="4" t="s">
        <v>3098</v>
      </c>
      <c r="U1526" s="4">
        <v>896610931</v>
      </c>
      <c r="V1526" s="4">
        <v>896610931</v>
      </c>
      <c r="W1526" s="4"/>
      <c r="X1526" s="4" t="s">
        <v>945</v>
      </c>
      <c r="Y1526" s="4">
        <v>59570</v>
      </c>
      <c r="Z1526" s="35"/>
      <c r="AA1526" s="1" t="str">
        <f>IFERROR(VLOOKUP(D:D,[1]Габариты!$A:$I,9,0),"")</f>
        <v>Вакансия</v>
      </c>
      <c r="AB1526" s="6" t="str">
        <f>IFERROR(VLOOKUP(D:D,[1]Габариты!$A:$D,4,0),"")</f>
        <v>ТАБУРЕТЫ</v>
      </c>
      <c r="AC1526" s="39">
        <f t="shared" si="203"/>
        <v>59570</v>
      </c>
      <c r="AD1526" s="13" t="str">
        <f t="shared" si="204"/>
        <v>FBO</v>
      </c>
    </row>
    <row r="1527" spans="1:30" s="1" customFormat="1" ht="20.100000000000001" customHeight="1" outlineLevel="1" x14ac:dyDescent="0.2">
      <c r="A1527" s="755" t="s">
        <v>8821</v>
      </c>
      <c r="B1527" s="754" t="s">
        <v>3846</v>
      </c>
      <c r="C1527" s="13"/>
      <c r="D1527" s="41"/>
      <c r="E1527" s="4"/>
      <c r="F1527" s="101"/>
      <c r="G1527" s="57"/>
      <c r="H1527" s="4"/>
      <c r="I1527" s="4"/>
      <c r="J1527" s="4"/>
      <c r="K1527" s="54"/>
      <c r="L1527" s="57"/>
      <c r="M1527" s="57"/>
      <c r="N1527" s="766"/>
      <c r="O1527" s="4"/>
      <c r="P1527" s="4"/>
      <c r="Q1527" s="767"/>
      <c r="R1527" s="767"/>
      <c r="S1527" s="4"/>
      <c r="T1527" s="4"/>
      <c r="U1527" s="4"/>
      <c r="V1527" s="4"/>
      <c r="W1527" s="4"/>
      <c r="X1527" s="4"/>
      <c r="Y1527" s="4" t="s">
        <v>4066</v>
      </c>
      <c r="Z1527" s="35"/>
      <c r="AA1527" s="1" t="str">
        <f>IFERROR(VLOOKUP(D:D,[1]Габариты!$A:$I,9,0),"")</f>
        <v/>
      </c>
      <c r="AB1527" s="6" t="str">
        <f>IFERROR(VLOOKUP(D:D,[1]Габариты!$A:$D,4,0),"")</f>
        <v/>
      </c>
      <c r="AC1527" s="39"/>
      <c r="AD1527" s="3"/>
    </row>
    <row r="1528" spans="1:30" s="6" customFormat="1" ht="20.100000000000001" customHeight="1" outlineLevel="1" x14ac:dyDescent="0.25">
      <c r="A1528" s="635" t="s">
        <v>62</v>
      </c>
      <c r="B1528" s="3"/>
      <c r="C1528" s="13" t="s">
        <v>2582</v>
      </c>
      <c r="D1528" s="39">
        <v>2466</v>
      </c>
      <c r="E1528" s="4">
        <v>22</v>
      </c>
      <c r="F1528" s="101">
        <v>2466</v>
      </c>
      <c r="G1528" s="57" t="s">
        <v>6109</v>
      </c>
      <c r="H1528" s="4"/>
      <c r="I1528" s="4"/>
      <c r="J1528" s="4"/>
      <c r="K1528" s="54"/>
      <c r="L1528" s="57"/>
      <c r="M1528" s="57"/>
      <c r="N1528" s="766"/>
      <c r="O1528" s="4"/>
      <c r="P1528" s="4"/>
      <c r="Q1528" s="767"/>
      <c r="R1528" s="767"/>
      <c r="S1528" s="4"/>
      <c r="T1528" s="4"/>
      <c r="U1528" s="4"/>
      <c r="V1528" s="4"/>
      <c r="W1528" s="4" t="s">
        <v>2450</v>
      </c>
      <c r="X1528" s="4"/>
      <c r="Y1528" s="4" t="s">
        <v>4066</v>
      </c>
      <c r="Z1528" s="35"/>
      <c r="AA1528" s="1" t="str">
        <f>IFERROR(VLOOKUP(D:D,[1]Габариты!$A:$I,9,0),"")</f>
        <v>Вакансия</v>
      </c>
      <c r="AB1528" s="6" t="str">
        <f>IFERROR(VLOOKUP(D:D,[1]Габариты!$A:$D,4,0),"")</f>
        <v>ТУМБЫ под ТВ</v>
      </c>
      <c r="AC1528" s="39">
        <f t="shared" si="203"/>
        <v>2466</v>
      </c>
      <c r="AD1528" s="13" t="str">
        <f t="shared" si="204"/>
        <v>FBO</v>
      </c>
    </row>
    <row r="1529" spans="1:30" s="6" customFormat="1" ht="20.100000000000001" customHeight="1" outlineLevel="1" x14ac:dyDescent="0.25">
      <c r="A1529" s="631" t="s">
        <v>534</v>
      </c>
      <c r="B1529" s="29"/>
      <c r="C1529" s="13" t="s">
        <v>2581</v>
      </c>
      <c r="D1529" s="40">
        <v>3188</v>
      </c>
      <c r="E1529" s="4">
        <v>14</v>
      </c>
      <c r="F1529" s="101">
        <v>3188</v>
      </c>
      <c r="G1529" s="57"/>
      <c r="H1529" s="4" t="s">
        <v>7380</v>
      </c>
      <c r="I1529" s="4"/>
      <c r="J1529" s="4"/>
      <c r="K1529" s="54"/>
      <c r="L1529" s="57"/>
      <c r="M1529" s="57"/>
      <c r="N1529" s="806" t="s">
        <v>7686</v>
      </c>
      <c r="O1529" s="4">
        <v>469816785</v>
      </c>
      <c r="P1529" s="4">
        <v>469816784</v>
      </c>
      <c r="Q1529" s="767"/>
      <c r="R1529" s="767"/>
      <c r="S1529" s="4"/>
      <c r="T1529" s="4"/>
      <c r="U1529" s="4"/>
      <c r="V1529" s="4"/>
      <c r="W1529" s="4" t="s">
        <v>2476</v>
      </c>
      <c r="X1529" s="4"/>
      <c r="Y1529" s="4" t="s">
        <v>4066</v>
      </c>
      <c r="Z1529" s="35"/>
      <c r="AA1529" s="1" t="str">
        <f>IFERROR(VLOOKUP(D:D,[1]Габариты!$A:$I,9,0),"")</f>
        <v>Вакансия</v>
      </c>
      <c r="AB1529" s="6" t="str">
        <f>IFERROR(VLOOKUP(D:D,[1]Габариты!$A:$D,4,0),"")</f>
        <v>ТУМБЫ под ТВ</v>
      </c>
      <c r="AC1529" s="39">
        <f t="shared" si="203"/>
        <v>3188</v>
      </c>
      <c r="AD1529" s="13" t="str">
        <f t="shared" si="204"/>
        <v>FBS</v>
      </c>
    </row>
    <row r="1530" spans="1:30" s="6" customFormat="1" ht="20.100000000000001" customHeight="1" outlineLevel="1" x14ac:dyDescent="0.25">
      <c r="A1530" s="631" t="s">
        <v>522</v>
      </c>
      <c r="B1530" s="29"/>
      <c r="C1530" s="13" t="s">
        <v>2581</v>
      </c>
      <c r="D1530" s="40">
        <v>3171</v>
      </c>
      <c r="E1530" s="4">
        <v>18</v>
      </c>
      <c r="F1530" s="101">
        <v>3171</v>
      </c>
      <c r="G1530" s="57"/>
      <c r="H1530" s="4" t="s">
        <v>7381</v>
      </c>
      <c r="I1530" s="4"/>
      <c r="J1530" s="4"/>
      <c r="K1530" s="54"/>
      <c r="L1530" s="57"/>
      <c r="M1530" s="57"/>
      <c r="N1530" s="4"/>
      <c r="O1530" s="4">
        <v>469062469</v>
      </c>
      <c r="P1530" s="4">
        <v>469062468</v>
      </c>
      <c r="Q1530" s="767"/>
      <c r="R1530" s="767"/>
      <c r="S1530" s="4"/>
      <c r="T1530" s="4"/>
      <c r="U1530" s="4"/>
      <c r="V1530" s="4"/>
      <c r="W1530" s="4" t="s">
        <v>2481</v>
      </c>
      <c r="X1530" s="4" t="s">
        <v>881</v>
      </c>
      <c r="Y1530" s="4" t="s">
        <v>4066</v>
      </c>
      <c r="Z1530" s="35"/>
      <c r="AA1530" s="1" t="str">
        <f>IFERROR(VLOOKUP(D:D,[1]Габариты!$A:$I,9,0),"")</f>
        <v>Вакансия</v>
      </c>
      <c r="AB1530" s="6" t="str">
        <f>IFERROR(VLOOKUP(D:D,[1]Габариты!$A:$D,4,0),"")</f>
        <v>ТУМБЫ под ТВ</v>
      </c>
      <c r="AC1530" s="39">
        <f t="shared" si="203"/>
        <v>3171</v>
      </c>
      <c r="AD1530" s="13" t="str">
        <f t="shared" si="204"/>
        <v>FBS</v>
      </c>
    </row>
    <row r="1531" spans="1:30" s="6" customFormat="1" ht="20.100000000000001" customHeight="1" outlineLevel="1" x14ac:dyDescent="0.25">
      <c r="A1531" s="631" t="s">
        <v>1143</v>
      </c>
      <c r="B1531" s="29"/>
      <c r="C1531" s="13" t="s">
        <v>2581</v>
      </c>
      <c r="D1531" s="40">
        <v>3160</v>
      </c>
      <c r="E1531" s="4">
        <v>14</v>
      </c>
      <c r="F1531" s="101">
        <v>3160</v>
      </c>
      <c r="G1531" s="57"/>
      <c r="H1531" s="4" t="s">
        <v>7382</v>
      </c>
      <c r="I1531" s="4"/>
      <c r="J1531" s="4"/>
      <c r="K1531" s="54"/>
      <c r="L1531" s="57"/>
      <c r="M1531" s="57"/>
      <c r="N1531" s="4"/>
      <c r="O1531" s="4">
        <v>469616488</v>
      </c>
      <c r="P1531" s="4">
        <v>469616489</v>
      </c>
      <c r="Q1531" s="767"/>
      <c r="R1531" s="767"/>
      <c r="S1531" s="4"/>
      <c r="T1531" s="4"/>
      <c r="U1531" s="4"/>
      <c r="V1531" s="4"/>
      <c r="W1531" s="4" t="s">
        <v>2479</v>
      </c>
      <c r="X1531" s="4" t="s">
        <v>878</v>
      </c>
      <c r="Y1531" s="4" t="s">
        <v>4066</v>
      </c>
      <c r="Z1531" s="35"/>
      <c r="AA1531" s="1" t="str">
        <f>IFERROR(VLOOKUP(D:D,[1]Габариты!$A:$I,9,0),"")</f>
        <v>Вакансия</v>
      </c>
      <c r="AB1531" s="6" t="str">
        <f>IFERROR(VLOOKUP(D:D,[1]Габариты!$A:$D,4,0),"")</f>
        <v>ТУМБЫ под ТВ</v>
      </c>
      <c r="AC1531" s="39">
        <f t="shared" si="203"/>
        <v>3160</v>
      </c>
      <c r="AD1531" s="13" t="str">
        <f t="shared" si="204"/>
        <v>FBS</v>
      </c>
    </row>
    <row r="1532" spans="1:30" s="6" customFormat="1" ht="20.100000000000001" customHeight="1" outlineLevel="1" x14ac:dyDescent="0.25">
      <c r="A1532" s="635" t="s">
        <v>543</v>
      </c>
      <c r="B1532" s="25"/>
      <c r="C1532" s="13" t="s">
        <v>2581</v>
      </c>
      <c r="D1532" s="40">
        <v>3195</v>
      </c>
      <c r="E1532" s="4">
        <v>24</v>
      </c>
      <c r="F1532" s="101">
        <v>3195</v>
      </c>
      <c r="G1532" s="57"/>
      <c r="H1532" s="4" t="s">
        <v>7383</v>
      </c>
      <c r="I1532" s="4" t="s">
        <v>2076</v>
      </c>
      <c r="J1532" s="4"/>
      <c r="K1532" s="54"/>
      <c r="L1532" s="57"/>
      <c r="M1532" s="57"/>
      <c r="N1532" s="4" t="s">
        <v>875</v>
      </c>
      <c r="O1532" s="4">
        <v>466346215</v>
      </c>
      <c r="P1532" s="4">
        <v>466346214</v>
      </c>
      <c r="Q1532" s="767"/>
      <c r="R1532" s="767"/>
      <c r="S1532" s="4"/>
      <c r="T1532" s="4"/>
      <c r="U1532" s="4"/>
      <c r="V1532" s="4"/>
      <c r="W1532" s="4" t="s">
        <v>2478</v>
      </c>
      <c r="X1532" s="4" t="s">
        <v>875</v>
      </c>
      <c r="Y1532" s="4" t="s">
        <v>4066</v>
      </c>
      <c r="Z1532" s="35"/>
      <c r="AA1532" s="1" t="str">
        <f>IFERROR(VLOOKUP(D:D,[1]Габариты!$A:$I,9,0),"")</f>
        <v>Вакансия</v>
      </c>
      <c r="AB1532" s="6" t="str">
        <f>IFERROR(VLOOKUP(D:D,[1]Габариты!$A:$D,4,0),"")</f>
        <v>ТУМБЫ под ТВ</v>
      </c>
      <c r="AC1532" s="39">
        <f t="shared" si="203"/>
        <v>3195</v>
      </c>
      <c r="AD1532" s="13" t="str">
        <f t="shared" si="204"/>
        <v>FBS</v>
      </c>
    </row>
    <row r="1533" spans="1:30" s="6" customFormat="1" ht="20.100000000000001" customHeight="1" outlineLevel="1" x14ac:dyDescent="0.25">
      <c r="A1533" s="635" t="s">
        <v>503</v>
      </c>
      <c r="B1533" s="25"/>
      <c r="C1533" s="13" t="s">
        <v>3172</v>
      </c>
      <c r="D1533" s="40">
        <v>3159</v>
      </c>
      <c r="E1533" s="4">
        <v>19</v>
      </c>
      <c r="F1533" s="101">
        <v>3159</v>
      </c>
      <c r="G1533" s="57"/>
      <c r="H1533" s="4" t="s">
        <v>7384</v>
      </c>
      <c r="I1533" s="4"/>
      <c r="J1533" s="4"/>
      <c r="K1533" s="54" t="s">
        <v>2475</v>
      </c>
      <c r="L1533" s="57">
        <v>427640984</v>
      </c>
      <c r="M1533" s="57">
        <v>427640984</v>
      </c>
      <c r="N1533" s="766"/>
      <c r="O1533" s="4"/>
      <c r="P1533" s="4"/>
      <c r="Q1533" s="767"/>
      <c r="R1533" s="767"/>
      <c r="S1533" s="4"/>
      <c r="T1533" s="4"/>
      <c r="U1533" s="4"/>
      <c r="V1533" s="4"/>
      <c r="W1533" s="4" t="s">
        <v>2475</v>
      </c>
      <c r="X1533" s="4" t="s">
        <v>873</v>
      </c>
      <c r="Y1533" s="4" t="s">
        <v>4066</v>
      </c>
      <c r="Z1533" s="35"/>
      <c r="AA1533" s="1" t="str">
        <f>IFERROR(VLOOKUP(D:D,[1]Габариты!$A:$I,9,0),"")</f>
        <v>Вакансия</v>
      </c>
      <c r="AB1533" s="6" t="str">
        <f>IFERROR(VLOOKUP(D:D,[1]Габариты!$A:$D,4,0),"")</f>
        <v>ТУМБЫ под ТВ</v>
      </c>
      <c r="AC1533" s="39">
        <f t="shared" si="203"/>
        <v>3159</v>
      </c>
      <c r="AD1533" s="13" t="str">
        <f t="shared" si="204"/>
        <v xml:space="preserve">СКГТ </v>
      </c>
    </row>
    <row r="1534" spans="1:30" s="6" customFormat="1" ht="20.100000000000001" customHeight="1" outlineLevel="1" x14ac:dyDescent="0.25">
      <c r="A1534" s="631" t="s">
        <v>569</v>
      </c>
      <c r="B1534" s="29"/>
      <c r="C1534" s="13" t="s">
        <v>2581</v>
      </c>
      <c r="D1534" s="40">
        <v>3363</v>
      </c>
      <c r="E1534" s="4">
        <v>19</v>
      </c>
      <c r="F1534" s="101">
        <v>3363</v>
      </c>
      <c r="G1534" s="57" t="s">
        <v>5064</v>
      </c>
      <c r="H1534" s="4" t="s">
        <v>7385</v>
      </c>
      <c r="I1534" s="4"/>
      <c r="J1534" s="4" t="s">
        <v>3752</v>
      </c>
      <c r="K1534" s="54" t="s">
        <v>2484</v>
      </c>
      <c r="L1534" s="57">
        <v>514610766</v>
      </c>
      <c r="M1534" s="57">
        <v>514610766</v>
      </c>
      <c r="N1534" s="4" t="s">
        <v>884</v>
      </c>
      <c r="O1534" s="4">
        <v>522340971</v>
      </c>
      <c r="P1534" s="4">
        <v>522340970</v>
      </c>
      <c r="Q1534" s="767"/>
      <c r="R1534" s="767"/>
      <c r="S1534" s="4"/>
      <c r="T1534" s="4"/>
      <c r="U1534" s="4"/>
      <c r="V1534" s="4"/>
      <c r="W1534" s="4" t="s">
        <v>2484</v>
      </c>
      <c r="X1534" s="4" t="s">
        <v>884</v>
      </c>
      <c r="Y1534" s="4" t="s">
        <v>4066</v>
      </c>
      <c r="Z1534" s="35"/>
      <c r="AA1534" s="1" t="str">
        <f>IFERROR(VLOOKUP(D:D,[1]Габариты!$A:$I,9,0),"")</f>
        <v>Вакансия</v>
      </c>
      <c r="AB1534" s="6" t="str">
        <f>IFERROR(VLOOKUP(D:D,[1]Габариты!$A:$D,4,0),"")</f>
        <v>ТУМБЫ под ТВ</v>
      </c>
      <c r="AC1534" s="39">
        <f t="shared" si="203"/>
        <v>3363</v>
      </c>
      <c r="AD1534" s="13" t="str">
        <f t="shared" si="204"/>
        <v>FBS</v>
      </c>
    </row>
    <row r="1535" spans="1:30" s="6" customFormat="1" ht="20.100000000000001" customHeight="1" outlineLevel="1" x14ac:dyDescent="0.25">
      <c r="A1535" s="631" t="s">
        <v>1730</v>
      </c>
      <c r="B1535" s="29"/>
      <c r="C1535" s="13" t="s">
        <v>4050</v>
      </c>
      <c r="D1535" s="40" t="s">
        <v>1731</v>
      </c>
      <c r="E1535" s="4">
        <v>10</v>
      </c>
      <c r="F1535" s="101" t="s">
        <v>4673</v>
      </c>
      <c r="G1535" s="57" t="s">
        <v>5218</v>
      </c>
      <c r="H1535" s="4" t="s">
        <v>7386</v>
      </c>
      <c r="I1535" s="4"/>
      <c r="J1535" s="4"/>
      <c r="K1535" s="54" t="s">
        <v>4673</v>
      </c>
      <c r="L1535" s="57">
        <v>1250691602</v>
      </c>
      <c r="M1535" s="57">
        <v>1250691602</v>
      </c>
      <c r="N1535" s="4" t="s">
        <v>1746</v>
      </c>
      <c r="O1535" s="4">
        <v>844516664</v>
      </c>
      <c r="P1535" s="4">
        <v>844516663</v>
      </c>
      <c r="Q1535" s="767"/>
      <c r="R1535" s="767"/>
      <c r="S1535" s="4"/>
      <c r="T1535" s="4"/>
      <c r="U1535" s="4"/>
      <c r="V1535" s="4"/>
      <c r="W1535" s="4"/>
      <c r="X1535" s="4" t="s">
        <v>1746</v>
      </c>
      <c r="Y1535" s="4" t="s">
        <v>4066</v>
      </c>
      <c r="Z1535" s="35"/>
      <c r="AA1535" s="1" t="str">
        <f>IFERROR(VLOOKUP(D:D,[1]Габариты!$A:$I,9,0),"")</f>
        <v>Вакансия</v>
      </c>
      <c r="AB1535" s="6" t="str">
        <f>IFERROR(VLOOKUP(D:D,[1]Габариты!$A:$D,4,0),"")</f>
        <v>ТУМБЫ под ТВ</v>
      </c>
      <c r="AC1535" s="39" t="str">
        <f t="shared" si="203"/>
        <v>MK1580101</v>
      </c>
      <c r="AD1535" s="13" t="str">
        <f t="shared" si="204"/>
        <v>СКГТ (ОЗОН)</v>
      </c>
    </row>
    <row r="1536" spans="1:30" s="6" customFormat="1" ht="20.100000000000001" customHeight="1" outlineLevel="1" x14ac:dyDescent="0.25">
      <c r="A1536" s="631" t="s">
        <v>1914</v>
      </c>
      <c r="B1536" s="29"/>
      <c r="C1536" s="13" t="s">
        <v>2581</v>
      </c>
      <c r="D1536" s="40">
        <v>8565</v>
      </c>
      <c r="E1536" s="4">
        <v>20</v>
      </c>
      <c r="F1536" s="101">
        <v>8565</v>
      </c>
      <c r="G1536" s="57"/>
      <c r="H1536" s="4"/>
      <c r="I1536" s="4" t="s">
        <v>3700</v>
      </c>
      <c r="J1536" s="4" t="s">
        <v>3653</v>
      </c>
      <c r="K1536" s="54"/>
      <c r="L1536" s="57"/>
      <c r="M1536" s="57"/>
      <c r="N1536" s="4" t="s">
        <v>2666</v>
      </c>
      <c r="O1536" s="4">
        <v>944754022</v>
      </c>
      <c r="P1536" s="4">
        <v>944754027</v>
      </c>
      <c r="Q1536" s="767"/>
      <c r="R1536" s="767"/>
      <c r="S1536" s="4"/>
      <c r="T1536" s="4" t="s">
        <v>3764</v>
      </c>
      <c r="U1536" s="4">
        <v>1191331152</v>
      </c>
      <c r="V1536" s="4">
        <v>1191331152</v>
      </c>
      <c r="W1536" s="4"/>
      <c r="X1536" s="4" t="s">
        <v>2666</v>
      </c>
      <c r="Y1536" s="4" t="s">
        <v>4066</v>
      </c>
      <c r="Z1536" s="35"/>
      <c r="AA1536" s="1" t="str">
        <f>IFERROR(VLOOKUP(D:D,[1]Габариты!$A:$I,9,0),"")</f>
        <v>Вакансия</v>
      </c>
      <c r="AB1536" s="6" t="str">
        <f>IFERROR(VLOOKUP(D:D,[1]Габариты!$A:$D,4,0),"")</f>
        <v>ТУМБЫ под ТВ</v>
      </c>
      <c r="AC1536" s="39">
        <f t="shared" ref="AC1536:AC1611" si="205">D1536</f>
        <v>8565</v>
      </c>
      <c r="AD1536" s="13" t="str">
        <f t="shared" si="204"/>
        <v>FBS</v>
      </c>
    </row>
    <row r="1537" spans="1:30" s="6" customFormat="1" ht="20.100000000000001" customHeight="1" outlineLevel="1" x14ac:dyDescent="0.25">
      <c r="A1537" s="631" t="s">
        <v>1915</v>
      </c>
      <c r="B1537" s="29"/>
      <c r="C1537" s="13" t="s">
        <v>2581</v>
      </c>
      <c r="D1537" s="40">
        <v>8566</v>
      </c>
      <c r="E1537" s="4">
        <v>20</v>
      </c>
      <c r="F1537" s="101">
        <v>8566</v>
      </c>
      <c r="G1537" s="57"/>
      <c r="H1537" s="4"/>
      <c r="I1537" s="4" t="s">
        <v>3701</v>
      </c>
      <c r="J1537" s="4" t="s">
        <v>3651</v>
      </c>
      <c r="K1537" s="54"/>
      <c r="L1537" s="57"/>
      <c r="M1537" s="57"/>
      <c r="N1537" s="4" t="s">
        <v>2667</v>
      </c>
      <c r="O1537" s="4">
        <v>942019927</v>
      </c>
      <c r="P1537" s="4">
        <v>942019926</v>
      </c>
      <c r="Q1537" s="767"/>
      <c r="R1537" s="767"/>
      <c r="S1537" s="4"/>
      <c r="T1537" s="4" t="s">
        <v>3765</v>
      </c>
      <c r="U1537" s="4">
        <v>1191339448</v>
      </c>
      <c r="V1537" s="4">
        <v>1191339448</v>
      </c>
      <c r="W1537" s="4"/>
      <c r="X1537" s="4" t="s">
        <v>2667</v>
      </c>
      <c r="Y1537" s="4" t="s">
        <v>4066</v>
      </c>
      <c r="Z1537" s="35"/>
      <c r="AA1537" s="1" t="str">
        <f>IFERROR(VLOOKUP(D:D,[1]Габариты!$A:$I,9,0),"")</f>
        <v>Вакансия</v>
      </c>
      <c r="AB1537" s="6" t="str">
        <f>IFERROR(VLOOKUP(D:D,[1]Габариты!$A:$D,4,0),"")</f>
        <v>ТУМБЫ под ТВ</v>
      </c>
      <c r="AC1537" s="39">
        <f t="shared" si="205"/>
        <v>8566</v>
      </c>
      <c r="AD1537" s="13" t="str">
        <f t="shared" si="204"/>
        <v>FBS</v>
      </c>
    </row>
    <row r="1538" spans="1:30" s="6" customFormat="1" ht="20.100000000000001" customHeight="1" outlineLevel="1" x14ac:dyDescent="0.25">
      <c r="A1538" s="635" t="s">
        <v>1916</v>
      </c>
      <c r="B1538" s="29"/>
      <c r="C1538" s="13" t="s">
        <v>2581</v>
      </c>
      <c r="D1538" s="40">
        <v>8567</v>
      </c>
      <c r="E1538" s="4">
        <v>20</v>
      </c>
      <c r="F1538" s="101">
        <v>8567</v>
      </c>
      <c r="G1538" s="57"/>
      <c r="H1538" s="4"/>
      <c r="I1538" s="4" t="s">
        <v>3702</v>
      </c>
      <c r="J1538" s="4" t="s">
        <v>3652</v>
      </c>
      <c r="K1538" s="54"/>
      <c r="L1538" s="57"/>
      <c r="M1538" s="57"/>
      <c r="N1538" s="4" t="s">
        <v>2668</v>
      </c>
      <c r="O1538" s="4">
        <v>942033300</v>
      </c>
      <c r="P1538" s="4">
        <v>942033299</v>
      </c>
      <c r="Q1538" s="767"/>
      <c r="R1538" s="767"/>
      <c r="S1538" s="4"/>
      <c r="T1538" s="4" t="s">
        <v>3766</v>
      </c>
      <c r="U1538" s="4">
        <v>1191405015</v>
      </c>
      <c r="V1538" s="4">
        <v>1191405015</v>
      </c>
      <c r="W1538" s="4"/>
      <c r="X1538" s="4" t="s">
        <v>2668</v>
      </c>
      <c r="Y1538" s="4" t="s">
        <v>4066</v>
      </c>
      <c r="Z1538" s="35"/>
      <c r="AA1538" s="1" t="str">
        <f>IFERROR(VLOOKUP(D:D,[1]Габариты!$A:$I,9,0),"")</f>
        <v>Вакансия</v>
      </c>
      <c r="AB1538" s="6" t="str">
        <f>IFERROR(VLOOKUP(D:D,[1]Габариты!$A:$D,4,0),"")</f>
        <v>ТУМБЫ под ТВ</v>
      </c>
      <c r="AC1538" s="39">
        <f t="shared" si="205"/>
        <v>8567</v>
      </c>
      <c r="AD1538" s="13" t="str">
        <f t="shared" si="204"/>
        <v>FBS</v>
      </c>
    </row>
    <row r="1539" spans="1:30" s="6" customFormat="1" ht="20.100000000000001" customHeight="1" outlineLevel="1" x14ac:dyDescent="0.25">
      <c r="A1539" s="631" t="s">
        <v>1069</v>
      </c>
      <c r="B1539" s="29"/>
      <c r="C1539" s="13" t="s">
        <v>2581</v>
      </c>
      <c r="D1539" s="40" t="s">
        <v>1509</v>
      </c>
      <c r="E1539" s="4">
        <v>22</v>
      </c>
      <c r="F1539" s="101" t="s">
        <v>4736</v>
      </c>
      <c r="G1539" s="57" t="s">
        <v>5162</v>
      </c>
      <c r="H1539" s="4" t="s">
        <v>6922</v>
      </c>
      <c r="I1539" s="4"/>
      <c r="J1539" s="4" t="s">
        <v>2003</v>
      </c>
      <c r="K1539" s="54" t="s">
        <v>4736</v>
      </c>
      <c r="L1539" s="57">
        <v>880960571</v>
      </c>
      <c r="M1539" s="57">
        <v>880960571</v>
      </c>
      <c r="N1539" s="4" t="s">
        <v>1433</v>
      </c>
      <c r="O1539" s="4">
        <v>646602835</v>
      </c>
      <c r="P1539" s="4">
        <v>646602836</v>
      </c>
      <c r="Q1539" s="767"/>
      <c r="R1539" s="767"/>
      <c r="S1539" s="4"/>
      <c r="T1539" s="4" t="s">
        <v>3853</v>
      </c>
      <c r="U1539" s="4">
        <v>1379922697</v>
      </c>
      <c r="V1539" s="4">
        <v>1379922697</v>
      </c>
      <c r="W1539" s="4"/>
      <c r="X1539" s="4" t="s">
        <v>1433</v>
      </c>
      <c r="Y1539" s="4" t="s">
        <v>4066</v>
      </c>
      <c r="Z1539" s="35"/>
      <c r="AA1539" s="1" t="str">
        <f>IFERROR(VLOOKUP(D:D,[1]Габариты!$A:$I,9,0),"")</f>
        <v>Вакансия</v>
      </c>
      <c r="AB1539" s="6" t="str">
        <f>IFERROR(VLOOKUP(D:D,[1]Габариты!$A:$D,4,0),"")</f>
        <v>ТУМБЫ под ТВ</v>
      </c>
      <c r="AC1539" s="39" t="str">
        <f t="shared" si="205"/>
        <v>MK00011</v>
      </c>
      <c r="AD1539" s="13" t="str">
        <f t="shared" si="204"/>
        <v>FBS</v>
      </c>
    </row>
    <row r="1540" spans="1:30" s="6" customFormat="1" ht="20.100000000000001" customHeight="1" outlineLevel="1" x14ac:dyDescent="0.25">
      <c r="A1540" s="631" t="s">
        <v>1589</v>
      </c>
      <c r="B1540" s="29"/>
      <c r="C1540" s="13" t="s">
        <v>2581</v>
      </c>
      <c r="D1540" s="40" t="s">
        <v>1588</v>
      </c>
      <c r="E1540" s="4">
        <v>26</v>
      </c>
      <c r="F1540" s="101" t="s">
        <v>4678</v>
      </c>
      <c r="G1540" s="57" t="s">
        <v>5179</v>
      </c>
      <c r="H1540" s="4" t="s">
        <v>6923</v>
      </c>
      <c r="I1540" s="4"/>
      <c r="J1540" s="4" t="s">
        <v>3755</v>
      </c>
      <c r="K1540" s="54" t="s">
        <v>4678</v>
      </c>
      <c r="L1540" s="57">
        <v>1209312141</v>
      </c>
      <c r="M1540" s="57">
        <v>1209312141</v>
      </c>
      <c r="N1540" s="4" t="s">
        <v>1650</v>
      </c>
      <c r="O1540" s="4">
        <v>814331602</v>
      </c>
      <c r="P1540" s="4">
        <v>814331602</v>
      </c>
      <c r="Q1540" s="767"/>
      <c r="R1540" s="767"/>
      <c r="S1540" s="4"/>
      <c r="T1540" s="4" t="s">
        <v>3775</v>
      </c>
      <c r="U1540" s="4">
        <v>1258745306</v>
      </c>
      <c r="V1540" s="4">
        <v>1258745306</v>
      </c>
      <c r="W1540" s="4"/>
      <c r="X1540" s="4" t="s">
        <v>1650</v>
      </c>
      <c r="Y1540" s="4" t="s">
        <v>4066</v>
      </c>
      <c r="Z1540" s="35"/>
      <c r="AA1540" s="1" t="str">
        <f>IFERROR(VLOOKUP(D:D,[1]Габариты!$A:$I,9,0),"")</f>
        <v>Вакансия</v>
      </c>
      <c r="AB1540" s="6" t="str">
        <f>IFERROR(VLOOKUP(D:D,[1]Габариты!$A:$D,4,0),"")</f>
        <v>ТУМБЫ под ТВ</v>
      </c>
      <c r="AC1540" s="39" t="str">
        <f t="shared" si="205"/>
        <v>MK00035</v>
      </c>
      <c r="AD1540" s="13" t="str">
        <f t="shared" si="204"/>
        <v>FBS</v>
      </c>
    </row>
    <row r="1541" spans="1:30" s="6" customFormat="1" ht="20.100000000000001" customHeight="1" outlineLevel="1" x14ac:dyDescent="0.25">
      <c r="A1541" s="635" t="s">
        <v>500</v>
      </c>
      <c r="B1541" s="24"/>
      <c r="C1541" s="13" t="s">
        <v>2581</v>
      </c>
      <c r="D1541" s="39">
        <v>3155</v>
      </c>
      <c r="E1541" s="4">
        <v>30</v>
      </c>
      <c r="F1541" s="101">
        <v>3155</v>
      </c>
      <c r="G1541" s="57" t="s">
        <v>5029</v>
      </c>
      <c r="H1541" s="4" t="s">
        <v>6916</v>
      </c>
      <c r="I1541" s="4" t="s">
        <v>3743</v>
      </c>
      <c r="J1541" s="4" t="s">
        <v>3748</v>
      </c>
      <c r="K1541" s="54" t="s">
        <v>2473</v>
      </c>
      <c r="L1541" s="57">
        <v>419689659</v>
      </c>
      <c r="M1541" s="57">
        <v>419689659</v>
      </c>
      <c r="N1541" s="4" t="s">
        <v>871</v>
      </c>
      <c r="O1541" s="4">
        <v>522250291</v>
      </c>
      <c r="P1541" s="4">
        <v>522250290</v>
      </c>
      <c r="Q1541" s="767"/>
      <c r="R1541" s="767"/>
      <c r="S1541" s="4"/>
      <c r="T1541" s="4" t="s">
        <v>3825</v>
      </c>
      <c r="U1541" s="4">
        <v>1342247554</v>
      </c>
      <c r="V1541" s="4">
        <v>1342247554</v>
      </c>
      <c r="W1541" s="4" t="s">
        <v>2473</v>
      </c>
      <c r="X1541" s="4" t="s">
        <v>871</v>
      </c>
      <c r="Y1541" s="4">
        <v>3155</v>
      </c>
      <c r="Z1541" s="35"/>
      <c r="AA1541" s="1" t="str">
        <f>IFERROR(VLOOKUP(D:D,[1]Габариты!$A:$I,9,0),"")</f>
        <v>Вакансия</v>
      </c>
      <c r="AB1541" s="6" t="str">
        <f>IFERROR(VLOOKUP(D:D,[1]Габариты!$A:$D,4,0),"")</f>
        <v>ТУМБЫ под ТВ</v>
      </c>
      <c r="AC1541" s="39">
        <f t="shared" si="205"/>
        <v>3155</v>
      </c>
      <c r="AD1541" s="13" t="str">
        <f t="shared" ref="AD1541:AD1547" si="206">C1541</f>
        <v>FBS</v>
      </c>
    </row>
    <row r="1542" spans="1:30" s="6" customFormat="1" ht="20.100000000000001" customHeight="1" outlineLevel="1" x14ac:dyDescent="0.25">
      <c r="A1542" s="748" t="s">
        <v>475</v>
      </c>
      <c r="B1542" s="26"/>
      <c r="C1542" s="13" t="s">
        <v>2581</v>
      </c>
      <c r="D1542" s="39">
        <v>3157</v>
      </c>
      <c r="E1542" s="4">
        <v>22</v>
      </c>
      <c r="F1542" s="101">
        <v>3157</v>
      </c>
      <c r="G1542" s="57" t="s">
        <v>5031</v>
      </c>
      <c r="H1542" s="4" t="s">
        <v>6917</v>
      </c>
      <c r="I1542" s="4" t="s">
        <v>3733</v>
      </c>
      <c r="J1542" s="4" t="s">
        <v>3753</v>
      </c>
      <c r="K1542" s="54" t="s">
        <v>2474</v>
      </c>
      <c r="L1542" s="57">
        <v>387638578</v>
      </c>
      <c r="M1542" s="57">
        <v>387638578</v>
      </c>
      <c r="N1542" s="4" t="s">
        <v>872</v>
      </c>
      <c r="O1542" s="4">
        <v>522313750</v>
      </c>
      <c r="P1542" s="4">
        <v>522313749</v>
      </c>
      <c r="Q1542" s="767"/>
      <c r="R1542" s="767"/>
      <c r="S1542" s="4"/>
      <c r="T1542" s="4"/>
      <c r="U1542" s="4"/>
      <c r="V1542" s="4"/>
      <c r="W1542" s="4" t="s">
        <v>2474</v>
      </c>
      <c r="X1542" s="4" t="s">
        <v>872</v>
      </c>
      <c r="Y1542" s="4" t="s">
        <v>4066</v>
      </c>
      <c r="Z1542" s="35"/>
      <c r="AA1542" s="1" t="str">
        <f>IFERROR(VLOOKUP(D:D,[1]Габариты!$A:$I,9,0),"")</f>
        <v>Вакансия</v>
      </c>
      <c r="AB1542" s="6" t="str">
        <f>IFERROR(VLOOKUP(D:D,[1]Габариты!$A:$D,4,0),"")</f>
        <v>ТУМБЫ под ТВ</v>
      </c>
      <c r="AC1542" s="39">
        <f t="shared" si="205"/>
        <v>3157</v>
      </c>
      <c r="AD1542" s="13" t="str">
        <f t="shared" si="206"/>
        <v>FBS</v>
      </c>
    </row>
    <row r="1543" spans="1:30" s="6" customFormat="1" ht="20.100000000000001" customHeight="1" outlineLevel="1" x14ac:dyDescent="0.25">
      <c r="A1543" s="631" t="s">
        <v>567</v>
      </c>
      <c r="B1543" s="29"/>
      <c r="C1543" s="13" t="s">
        <v>2581</v>
      </c>
      <c r="D1543" s="40">
        <v>3361</v>
      </c>
      <c r="E1543" s="4">
        <v>19</v>
      </c>
      <c r="F1543" s="101">
        <v>3361</v>
      </c>
      <c r="G1543" s="57" t="s">
        <v>5062</v>
      </c>
      <c r="H1543" s="4" t="s">
        <v>6918</v>
      </c>
      <c r="I1543" s="4" t="s">
        <v>3732</v>
      </c>
      <c r="J1543" s="4" t="s">
        <v>3750</v>
      </c>
      <c r="K1543" s="54" t="s">
        <v>2482</v>
      </c>
      <c r="L1543" s="57">
        <v>518637565</v>
      </c>
      <c r="M1543" s="57">
        <v>518637565</v>
      </c>
      <c r="N1543" s="4" t="s">
        <v>882</v>
      </c>
      <c r="O1543" s="4">
        <v>522259807</v>
      </c>
      <c r="P1543" s="4">
        <v>522259809</v>
      </c>
      <c r="Q1543" s="767"/>
      <c r="R1543" s="767"/>
      <c r="S1543" s="4"/>
      <c r="T1543" s="4" t="s">
        <v>3826</v>
      </c>
      <c r="U1543" s="4">
        <v>1342271882</v>
      </c>
      <c r="V1543" s="4">
        <v>1342271882</v>
      </c>
      <c r="W1543" s="4" t="s">
        <v>2482</v>
      </c>
      <c r="X1543" s="4" t="s">
        <v>882</v>
      </c>
      <c r="Y1543" s="4" t="s">
        <v>4066</v>
      </c>
      <c r="Z1543" s="35"/>
      <c r="AA1543" s="1" t="str">
        <f>IFERROR(VLOOKUP(D:D,[1]Габариты!$A:$I,9,0),"")</f>
        <v>Вакансия</v>
      </c>
      <c r="AB1543" s="6" t="str">
        <f>IFERROR(VLOOKUP(D:D,[1]Габариты!$A:$D,4,0),"")</f>
        <v>ТУМБЫ под ТВ</v>
      </c>
      <c r="AC1543" s="39">
        <f t="shared" si="205"/>
        <v>3361</v>
      </c>
      <c r="AD1543" s="13" t="str">
        <f t="shared" si="206"/>
        <v>FBS</v>
      </c>
    </row>
    <row r="1544" spans="1:30" s="6" customFormat="1" ht="20.100000000000001" customHeight="1" outlineLevel="1" x14ac:dyDescent="0.25">
      <c r="A1544" s="631" t="s">
        <v>568</v>
      </c>
      <c r="B1544" s="29"/>
      <c r="C1544" s="13" t="s">
        <v>2581</v>
      </c>
      <c r="D1544" s="40">
        <v>3362</v>
      </c>
      <c r="E1544" s="4">
        <v>30</v>
      </c>
      <c r="F1544" s="101">
        <v>3362</v>
      </c>
      <c r="G1544" s="57" t="s">
        <v>5063</v>
      </c>
      <c r="H1544" s="4" t="s">
        <v>6919</v>
      </c>
      <c r="I1544" s="4" t="s">
        <v>3731</v>
      </c>
      <c r="J1544" s="4" t="s">
        <v>3749</v>
      </c>
      <c r="K1544" s="54" t="s">
        <v>2483</v>
      </c>
      <c r="L1544" s="57">
        <v>514564102</v>
      </c>
      <c r="M1544" s="57">
        <v>514564102</v>
      </c>
      <c r="N1544" s="4" t="s">
        <v>883</v>
      </c>
      <c r="O1544" s="4">
        <v>522260840</v>
      </c>
      <c r="P1544" s="4">
        <v>522260841</v>
      </c>
      <c r="Q1544" s="767"/>
      <c r="R1544" s="767"/>
      <c r="S1544" s="4"/>
      <c r="T1544" s="4" t="s">
        <v>4076</v>
      </c>
      <c r="U1544" s="4">
        <v>1342300100</v>
      </c>
      <c r="V1544" s="4">
        <v>1342300100</v>
      </c>
      <c r="W1544" s="4" t="s">
        <v>2483</v>
      </c>
      <c r="X1544" s="4" t="s">
        <v>883</v>
      </c>
      <c r="Y1544" s="4" t="s">
        <v>4066</v>
      </c>
      <c r="Z1544" s="35"/>
      <c r="AA1544" s="1" t="str">
        <f>IFERROR(VLOOKUP(D:D,[1]Габариты!$A:$I,9,0),"")</f>
        <v>Вакансия</v>
      </c>
      <c r="AB1544" s="6" t="str">
        <f>IFERROR(VLOOKUP(D:D,[1]Габариты!$A:$D,4,0),"")</f>
        <v>ТУМБЫ под ТВ</v>
      </c>
      <c r="AC1544" s="39">
        <f t="shared" si="205"/>
        <v>3362</v>
      </c>
      <c r="AD1544" s="13" t="str">
        <f t="shared" si="206"/>
        <v>FBS</v>
      </c>
    </row>
    <row r="1545" spans="1:30" s="6" customFormat="1" ht="20.100000000000001" customHeight="1" outlineLevel="1" x14ac:dyDescent="0.25">
      <c r="A1545" s="631" t="s">
        <v>570</v>
      </c>
      <c r="B1545" s="29"/>
      <c r="C1545" s="13" t="s">
        <v>2581</v>
      </c>
      <c r="D1545" s="40">
        <v>3364</v>
      </c>
      <c r="E1545" s="4">
        <v>22</v>
      </c>
      <c r="F1545" s="101">
        <v>3364</v>
      </c>
      <c r="G1545" s="57" t="s">
        <v>5065</v>
      </c>
      <c r="H1545" s="4" t="s">
        <v>6920</v>
      </c>
      <c r="I1545" s="4" t="s">
        <v>3734</v>
      </c>
      <c r="J1545" s="4" t="s">
        <v>3751</v>
      </c>
      <c r="K1545" s="54" t="s">
        <v>2485</v>
      </c>
      <c r="L1545" s="57">
        <v>1361246618</v>
      </c>
      <c r="M1545" s="57">
        <v>1361246618</v>
      </c>
      <c r="N1545" s="4" t="s">
        <v>885</v>
      </c>
      <c r="O1545" s="4">
        <v>520514151</v>
      </c>
      <c r="P1545" s="4">
        <v>520514150</v>
      </c>
      <c r="Q1545" s="767"/>
      <c r="R1545" s="767"/>
      <c r="S1545" s="4"/>
      <c r="T1545" s="4"/>
      <c r="U1545" s="4"/>
      <c r="V1545" s="4"/>
      <c r="W1545" s="4" t="s">
        <v>2485</v>
      </c>
      <c r="X1545" s="4" t="s">
        <v>885</v>
      </c>
      <c r="Y1545" s="4" t="s">
        <v>4066</v>
      </c>
      <c r="Z1545" s="35"/>
      <c r="AA1545" s="1" t="str">
        <f>IFERROR(VLOOKUP(D:D,[1]Габариты!$A:$I,9,0),"")</f>
        <v>Вакансия</v>
      </c>
      <c r="AB1545" s="6" t="str">
        <f>IFERROR(VLOOKUP(D:D,[1]Габариты!$A:$D,4,0),"")</f>
        <v>ТУМБЫ под ТВ</v>
      </c>
      <c r="AC1545" s="39">
        <f t="shared" si="205"/>
        <v>3364</v>
      </c>
      <c r="AD1545" s="13" t="str">
        <f t="shared" si="206"/>
        <v>FBS</v>
      </c>
    </row>
    <row r="1546" spans="1:30" s="6" customFormat="1" ht="20.100000000000001" customHeight="1" outlineLevel="1" x14ac:dyDescent="0.25">
      <c r="A1546" s="631" t="s">
        <v>1048</v>
      </c>
      <c r="B1546" s="29"/>
      <c r="C1546" s="13" t="s">
        <v>2581</v>
      </c>
      <c r="D1546" s="40" t="s">
        <v>1508</v>
      </c>
      <c r="E1546" s="4">
        <v>26</v>
      </c>
      <c r="F1546" s="101" t="s">
        <v>4718</v>
      </c>
      <c r="G1546" s="57" t="s">
        <v>5165</v>
      </c>
      <c r="H1546" s="4" t="s">
        <v>6921</v>
      </c>
      <c r="I1546" s="4"/>
      <c r="J1546" s="4" t="s">
        <v>3725</v>
      </c>
      <c r="K1546" s="54" t="s">
        <v>4718</v>
      </c>
      <c r="L1546" s="57">
        <v>884544631</v>
      </c>
      <c r="M1546" s="57">
        <v>884544631</v>
      </c>
      <c r="N1546" s="4" t="s">
        <v>1432</v>
      </c>
      <c r="O1546" s="4">
        <v>630596923</v>
      </c>
      <c r="P1546" s="4">
        <v>630596924</v>
      </c>
      <c r="Q1546" s="767"/>
      <c r="R1546" s="767"/>
      <c r="S1546" s="4"/>
      <c r="T1546" s="4" t="s">
        <v>3721</v>
      </c>
      <c r="U1546" s="4">
        <v>1178906638</v>
      </c>
      <c r="V1546" s="4">
        <v>1178906638</v>
      </c>
      <c r="W1546" s="4"/>
      <c r="X1546" s="4" t="s">
        <v>1432</v>
      </c>
      <c r="Y1546" s="4" t="s">
        <v>4066</v>
      </c>
      <c r="Z1546" s="35"/>
      <c r="AA1546" s="1" t="str">
        <f>IFERROR(VLOOKUP(D:D,[1]Габариты!$A:$I,9,0),"")</f>
        <v>Вакансия</v>
      </c>
      <c r="AB1546" s="6" t="str">
        <f>IFERROR(VLOOKUP(D:D,[1]Габариты!$A:$D,4,0),"")</f>
        <v>ТУМБЫ под ТВ</v>
      </c>
      <c r="AC1546" s="39" t="str">
        <f t="shared" si="205"/>
        <v>MK00020</v>
      </c>
      <c r="AD1546" s="13" t="str">
        <f t="shared" si="206"/>
        <v>FBS</v>
      </c>
    </row>
    <row r="1547" spans="1:30" s="6" customFormat="1" ht="20.100000000000001" customHeight="1" outlineLevel="1" x14ac:dyDescent="0.25">
      <c r="A1547" s="631" t="s">
        <v>1137</v>
      </c>
      <c r="B1547" s="29"/>
      <c r="C1547" s="13" t="s">
        <v>2581</v>
      </c>
      <c r="D1547" s="40" t="s">
        <v>1168</v>
      </c>
      <c r="E1547" s="4">
        <v>22</v>
      </c>
      <c r="F1547" s="101" t="s">
        <v>4691</v>
      </c>
      <c r="G1547" s="57" t="s">
        <v>5184</v>
      </c>
      <c r="H1547" s="4" t="s">
        <v>7738</v>
      </c>
      <c r="I1547" s="4"/>
      <c r="J1547" s="4" t="s">
        <v>2006</v>
      </c>
      <c r="K1547" s="54" t="s">
        <v>4691</v>
      </c>
      <c r="L1547" s="57">
        <v>1190687739</v>
      </c>
      <c r="M1547" s="57">
        <v>1190687739</v>
      </c>
      <c r="N1547" s="4" t="s">
        <v>1435</v>
      </c>
      <c r="O1547" s="4">
        <v>664593681</v>
      </c>
      <c r="P1547" s="4">
        <v>664593680</v>
      </c>
      <c r="Q1547" s="767"/>
      <c r="R1547" s="767"/>
      <c r="S1547" s="4"/>
      <c r="T1547" s="4" t="s">
        <v>3722</v>
      </c>
      <c r="U1547" s="4">
        <v>1178936197</v>
      </c>
      <c r="V1547" s="4">
        <v>1178936197</v>
      </c>
      <c r="W1547" s="4"/>
      <c r="X1547" s="4" t="s">
        <v>1435</v>
      </c>
      <c r="Y1547" s="4" t="s">
        <v>4066</v>
      </c>
      <c r="Z1547" s="35"/>
      <c r="AA1547" s="1" t="str">
        <f>IFERROR(VLOOKUP(D:D,[1]Габариты!$A:$I,9,0),"")</f>
        <v>Вакансия</v>
      </c>
      <c r="AB1547" s="6" t="str">
        <f>IFERROR(VLOOKUP(D:D,[1]Габариты!$A:$D,4,0),"")</f>
        <v>ТУМБЫ под ТВ</v>
      </c>
      <c r="AC1547" s="39" t="str">
        <f t="shared" si="205"/>
        <v>MK00045</v>
      </c>
      <c r="AD1547" s="13" t="str">
        <f t="shared" si="206"/>
        <v>FBS</v>
      </c>
    </row>
    <row r="1548" spans="1:30" s="6" customFormat="1" ht="20.100000000000001" customHeight="1" outlineLevel="1" x14ac:dyDescent="0.25">
      <c r="A1548" s="635" t="s">
        <v>180</v>
      </c>
      <c r="B1548" s="3"/>
      <c r="C1548" s="13" t="s">
        <v>2581</v>
      </c>
      <c r="D1548" s="39">
        <v>2698</v>
      </c>
      <c r="E1548" s="4">
        <v>32</v>
      </c>
      <c r="F1548" s="101">
        <v>2698</v>
      </c>
      <c r="G1548" s="57" t="s">
        <v>4880</v>
      </c>
      <c r="H1548" s="4" t="s">
        <v>6914</v>
      </c>
      <c r="I1548" s="4" t="s">
        <v>1331</v>
      </c>
      <c r="J1548" s="4" t="s">
        <v>1998</v>
      </c>
      <c r="K1548" s="54" t="s">
        <v>2461</v>
      </c>
      <c r="L1548" s="57">
        <v>257715003</v>
      </c>
      <c r="M1548" s="57">
        <v>257715003</v>
      </c>
      <c r="N1548" s="4" t="s">
        <v>659</v>
      </c>
      <c r="O1548" s="4">
        <v>266636399</v>
      </c>
      <c r="P1548" s="4">
        <v>266636455</v>
      </c>
      <c r="Q1548" s="767" t="s">
        <v>3763</v>
      </c>
      <c r="R1548" s="767">
        <v>1221856461</v>
      </c>
      <c r="S1548" s="4">
        <v>1221856462</v>
      </c>
      <c r="T1548" s="4" t="s">
        <v>3715</v>
      </c>
      <c r="U1548" s="4">
        <v>1177773403</v>
      </c>
      <c r="V1548" s="4">
        <v>1177773403</v>
      </c>
      <c r="W1548" s="4" t="s">
        <v>2461</v>
      </c>
      <c r="X1548" s="4" t="s">
        <v>659</v>
      </c>
      <c r="Y1548" s="4" t="s">
        <v>4066</v>
      </c>
      <c r="Z1548" s="35"/>
      <c r="AA1548" s="1" t="str">
        <f>IFERROR(VLOOKUP(D:D,[1]Габариты!$A:$I,9,0),"")</f>
        <v>Вакансия</v>
      </c>
      <c r="AB1548" s="6" t="str">
        <f>IFERROR(VLOOKUP(D:D,[1]Габариты!$A:$D,4,0),"")</f>
        <v>ТУМБЫ под ТВ</v>
      </c>
      <c r="AC1548" s="39">
        <f>D1548</f>
        <v>2698</v>
      </c>
      <c r="AD1548" s="13" t="str">
        <f>C1548</f>
        <v>FBS</v>
      </c>
    </row>
    <row r="1549" spans="1:30" s="1" customFormat="1" ht="20.100000000000001" customHeight="1" outlineLevel="1" x14ac:dyDescent="0.2">
      <c r="A1549" s="755" t="s">
        <v>3692</v>
      </c>
      <c r="B1549" s="754" t="s">
        <v>3846</v>
      </c>
      <c r="C1549" s="13"/>
      <c r="D1549" s="41"/>
      <c r="E1549" s="4"/>
      <c r="F1549" s="101"/>
      <c r="G1549" s="57"/>
      <c r="H1549" s="4"/>
      <c r="I1549" s="4"/>
      <c r="J1549" s="4"/>
      <c r="K1549" s="54"/>
      <c r="L1549" s="57"/>
      <c r="M1549" s="57"/>
      <c r="N1549" s="766"/>
      <c r="O1549" s="4"/>
      <c r="P1549" s="4"/>
      <c r="Q1549" s="767"/>
      <c r="R1549" s="767"/>
      <c r="S1549" s="4"/>
      <c r="T1549" s="4"/>
      <c r="U1549" s="4"/>
      <c r="V1549" s="4"/>
      <c r="W1549" s="4"/>
      <c r="X1549" s="4"/>
      <c r="Y1549" s="4" t="s">
        <v>4066</v>
      </c>
      <c r="Z1549" s="35"/>
      <c r="AA1549" s="1" t="str">
        <f>IFERROR(VLOOKUP(D:D,[1]Габариты!$A:$I,9,0),"")</f>
        <v/>
      </c>
      <c r="AB1549" s="6" t="str">
        <f>IFERROR(VLOOKUP(D:D,[1]Габариты!$A:$D,4,0),"")</f>
        <v/>
      </c>
      <c r="AC1549" s="39"/>
      <c r="AD1549" s="3"/>
    </row>
    <row r="1550" spans="1:30" s="6" customFormat="1" ht="20.100000000000001" customHeight="1" outlineLevel="1" x14ac:dyDescent="0.25">
      <c r="A1550" s="635" t="s">
        <v>506</v>
      </c>
      <c r="B1550" s="3"/>
      <c r="C1550" s="13" t="s">
        <v>2582</v>
      </c>
      <c r="D1550" s="39">
        <v>2468</v>
      </c>
      <c r="E1550" s="4">
        <v>26</v>
      </c>
      <c r="F1550" s="101">
        <v>2468</v>
      </c>
      <c r="G1550" s="57" t="s">
        <v>6106</v>
      </c>
      <c r="H1550" s="4"/>
      <c r="I1550" s="4"/>
      <c r="J1550" s="4"/>
      <c r="K1550" s="54"/>
      <c r="L1550" s="57"/>
      <c r="M1550" s="57"/>
      <c r="N1550" s="766"/>
      <c r="O1550" s="4"/>
      <c r="P1550" s="4"/>
      <c r="Q1550" s="767"/>
      <c r="R1550" s="767"/>
      <c r="S1550" s="4"/>
      <c r="T1550" s="4"/>
      <c r="U1550" s="4"/>
      <c r="V1550" s="4"/>
      <c r="W1550" s="4" t="s">
        <v>2453</v>
      </c>
      <c r="X1550" s="4"/>
      <c r="Y1550" s="4" t="s">
        <v>4066</v>
      </c>
      <c r="Z1550" s="35"/>
      <c r="AA1550" s="1" t="str">
        <f>IFERROR(VLOOKUP(D:D,[1]Габариты!$A:$I,9,0),"")</f>
        <v>Вакансия</v>
      </c>
      <c r="AB1550" s="6" t="str">
        <f>IFERROR(VLOOKUP(D:D,[1]Габариты!$A:$D,4,0),"")</f>
        <v>ТУМБЫ ПРИКРОВАТНЫЕ</v>
      </c>
      <c r="AC1550" s="39">
        <f t="shared" si="205"/>
        <v>2468</v>
      </c>
      <c r="AD1550" s="13" t="str">
        <f t="shared" si="204"/>
        <v>FBO</v>
      </c>
    </row>
    <row r="1551" spans="1:30" s="6" customFormat="1" ht="20.100000000000001" customHeight="1" outlineLevel="1" x14ac:dyDescent="0.25">
      <c r="A1551" s="635" t="s">
        <v>538</v>
      </c>
      <c r="B1551" s="25"/>
      <c r="C1551" s="13" t="s">
        <v>2582</v>
      </c>
      <c r="D1551" s="40">
        <v>3204</v>
      </c>
      <c r="E1551" s="4">
        <v>40</v>
      </c>
      <c r="F1551" s="101">
        <v>3204</v>
      </c>
      <c r="G1551" s="57"/>
      <c r="H1551" s="4" t="s">
        <v>7388</v>
      </c>
      <c r="I1551" s="4"/>
      <c r="J1551" s="4"/>
      <c r="K1551" s="54"/>
      <c r="L1551" s="57"/>
      <c r="M1551" s="57"/>
      <c r="N1551" s="4" t="s">
        <v>874</v>
      </c>
      <c r="O1551" s="4">
        <v>466315893</v>
      </c>
      <c r="P1551" s="4">
        <v>466315894</v>
      </c>
      <c r="Q1551" s="767"/>
      <c r="R1551" s="767"/>
      <c r="S1551" s="4"/>
      <c r="T1551" s="4"/>
      <c r="U1551" s="4"/>
      <c r="V1551" s="4"/>
      <c r="W1551" s="4" t="s">
        <v>2477</v>
      </c>
      <c r="X1551" s="4" t="s">
        <v>874</v>
      </c>
      <c r="Y1551" s="4" t="s">
        <v>4066</v>
      </c>
      <c r="Z1551" s="35"/>
      <c r="AA1551" s="1" t="str">
        <f>IFERROR(VLOOKUP(D:D,[1]Габариты!$A:$I,9,0),"")</f>
        <v>Вакансия</v>
      </c>
      <c r="AB1551" s="6" t="str">
        <f>IFERROR(VLOOKUP(D:D,[1]Габариты!$A:$D,4,0),"")</f>
        <v>ТУМБЫ ПРИКРОВАТНЫЕ</v>
      </c>
      <c r="AC1551" s="39">
        <f t="shared" si="205"/>
        <v>3204</v>
      </c>
      <c r="AD1551" s="13" t="str">
        <f t="shared" si="204"/>
        <v>FBO</v>
      </c>
    </row>
    <row r="1552" spans="1:30" s="6" customFormat="1" ht="20.100000000000001" customHeight="1" outlineLevel="1" x14ac:dyDescent="0.25">
      <c r="A1552" s="635" t="s">
        <v>142</v>
      </c>
      <c r="B1552" s="3"/>
      <c r="C1552" s="13" t="s">
        <v>2582</v>
      </c>
      <c r="D1552" s="39">
        <v>2623</v>
      </c>
      <c r="E1552" s="4">
        <v>22</v>
      </c>
      <c r="F1552" s="101">
        <v>2623</v>
      </c>
      <c r="G1552" s="57" t="s">
        <v>4841</v>
      </c>
      <c r="H1552" s="4" t="s">
        <v>7389</v>
      </c>
      <c r="I1552" s="4"/>
      <c r="J1552" s="4"/>
      <c r="K1552" s="54"/>
      <c r="L1552" s="57"/>
      <c r="M1552" s="57"/>
      <c r="N1552" s="4" t="s">
        <v>623</v>
      </c>
      <c r="O1552" s="4">
        <v>266657541</v>
      </c>
      <c r="P1552" s="4">
        <v>266657555</v>
      </c>
      <c r="Q1552" s="767" t="s">
        <v>2961</v>
      </c>
      <c r="R1552" s="767">
        <v>356036800</v>
      </c>
      <c r="S1552" s="4">
        <v>356036799</v>
      </c>
      <c r="T1552" s="4"/>
      <c r="U1552" s="4"/>
      <c r="V1552" s="4"/>
      <c r="W1552" s="4" t="s">
        <v>2471</v>
      </c>
      <c r="X1552" s="4" t="s">
        <v>623</v>
      </c>
      <c r="Y1552" s="4" t="s">
        <v>4066</v>
      </c>
      <c r="Z1552" s="35"/>
      <c r="AA1552" s="1" t="str">
        <f>IFERROR(VLOOKUP(D:D,[1]Габариты!$A:$I,9,0),"")</f>
        <v>Вакансия</v>
      </c>
      <c r="AB1552" s="6" t="str">
        <f>IFERROR(VLOOKUP(D:D,[1]Габариты!$A:$D,4,0),"")</f>
        <v>ТУМБЫ ПРИКРОВАТНЫЕ</v>
      </c>
      <c r="AC1552" s="39">
        <f t="shared" si="205"/>
        <v>2623</v>
      </c>
      <c r="AD1552" s="13" t="str">
        <f t="shared" si="204"/>
        <v>FBO</v>
      </c>
    </row>
    <row r="1553" spans="1:30" s="6" customFormat="1" ht="20.100000000000001" customHeight="1" outlineLevel="1" x14ac:dyDescent="0.25">
      <c r="A1553" s="635" t="s">
        <v>512</v>
      </c>
      <c r="B1553" s="24"/>
      <c r="C1553" s="13" t="s">
        <v>2582</v>
      </c>
      <c r="D1553" s="39">
        <v>3104</v>
      </c>
      <c r="E1553" s="4">
        <v>30</v>
      </c>
      <c r="F1553" s="101">
        <v>3104</v>
      </c>
      <c r="G1553" s="57" t="s">
        <v>5007</v>
      </c>
      <c r="H1553" s="4" t="s">
        <v>7390</v>
      </c>
      <c r="I1553" s="4"/>
      <c r="J1553" s="4"/>
      <c r="K1553" s="54" t="s">
        <v>2472</v>
      </c>
      <c r="L1553" s="57">
        <v>436056812</v>
      </c>
      <c r="M1553" s="57">
        <v>436056812</v>
      </c>
      <c r="N1553" s="4" t="s">
        <v>870</v>
      </c>
      <c r="O1553" s="4">
        <v>541432002</v>
      </c>
      <c r="P1553" s="4">
        <v>541432003</v>
      </c>
      <c r="Q1553" s="767"/>
      <c r="R1553" s="767"/>
      <c r="S1553" s="4"/>
      <c r="T1553" s="4"/>
      <c r="U1553" s="4"/>
      <c r="V1553" s="4"/>
      <c r="W1553" s="4" t="s">
        <v>2472</v>
      </c>
      <c r="X1553" s="4" t="s">
        <v>870</v>
      </c>
      <c r="Y1553" s="4">
        <v>3104</v>
      </c>
      <c r="Z1553" s="35"/>
      <c r="AA1553" s="1" t="str">
        <f>IFERROR(VLOOKUP(D:D,[1]Габариты!$A:$I,9,0),"")</f>
        <v>Вакансия</v>
      </c>
      <c r="AB1553" s="6" t="str">
        <f>IFERROR(VLOOKUP(D:D,[1]Габариты!$A:$D,4,0),"")</f>
        <v>ТУМБЫ ПРИКРОВАТНЫЕ</v>
      </c>
      <c r="AC1553" s="39">
        <f t="shared" si="205"/>
        <v>3104</v>
      </c>
      <c r="AD1553" s="13" t="str">
        <f t="shared" si="204"/>
        <v>FBO</v>
      </c>
    </row>
    <row r="1554" spans="1:30" s="6" customFormat="1" ht="20.100000000000001" customHeight="1" outlineLevel="1" x14ac:dyDescent="0.25">
      <c r="A1554" s="635" t="s">
        <v>277</v>
      </c>
      <c r="B1554" s="3"/>
      <c r="C1554" s="13" t="s">
        <v>2582</v>
      </c>
      <c r="D1554" s="39">
        <v>3038</v>
      </c>
      <c r="E1554" s="4">
        <v>22</v>
      </c>
      <c r="F1554" s="101">
        <v>3038</v>
      </c>
      <c r="G1554" s="57" t="s">
        <v>4972</v>
      </c>
      <c r="H1554" s="4" t="s">
        <v>7391</v>
      </c>
      <c r="I1554" s="4"/>
      <c r="J1554" s="4"/>
      <c r="K1554" s="54"/>
      <c r="L1554" s="57"/>
      <c r="M1554" s="57"/>
      <c r="N1554" s="4" t="s">
        <v>937</v>
      </c>
      <c r="O1554" s="4">
        <v>277796671</v>
      </c>
      <c r="P1554" s="4">
        <v>277796677</v>
      </c>
      <c r="Q1554" s="767"/>
      <c r="R1554" s="767"/>
      <c r="S1554" s="4"/>
      <c r="T1554" s="4"/>
      <c r="U1554" s="4"/>
      <c r="V1554" s="4"/>
      <c r="W1554" s="4" t="s">
        <v>2449</v>
      </c>
      <c r="X1554" s="4" t="s">
        <v>937</v>
      </c>
      <c r="Y1554" s="4" t="s">
        <v>4066</v>
      </c>
      <c r="Z1554" s="35"/>
      <c r="AA1554" s="1" t="str">
        <f>IFERROR(VLOOKUP(D:D,[1]Габариты!$A:$I,9,0),"")</f>
        <v>Вакансия</v>
      </c>
      <c r="AB1554" s="6" t="str">
        <f>IFERROR(VLOOKUP(D:D,[1]Габариты!$A:$D,4,0),"")</f>
        <v>ТУМБЫ ПРИКРОВАТНЫЕ</v>
      </c>
      <c r="AC1554" s="39">
        <f t="shared" si="205"/>
        <v>3038</v>
      </c>
      <c r="AD1554" s="13" t="str">
        <f t="shared" si="204"/>
        <v>FBO</v>
      </c>
    </row>
    <row r="1555" spans="1:30" s="6" customFormat="1" ht="20.100000000000001" customHeight="1" outlineLevel="1" x14ac:dyDescent="0.25">
      <c r="A1555" s="631" t="s">
        <v>1025</v>
      </c>
      <c r="B1555" s="29"/>
      <c r="C1555" s="13" t="s">
        <v>2582</v>
      </c>
      <c r="D1555" s="40">
        <v>3300</v>
      </c>
      <c r="E1555" s="4">
        <v>36</v>
      </c>
      <c r="F1555" s="101">
        <v>3300</v>
      </c>
      <c r="G1555" s="57" t="s">
        <v>5054</v>
      </c>
      <c r="H1555" s="4" t="s">
        <v>7392</v>
      </c>
      <c r="I1555" s="4"/>
      <c r="J1555" s="4"/>
      <c r="K1555" s="54" t="s">
        <v>7865</v>
      </c>
      <c r="L1555" s="57">
        <v>1209234663</v>
      </c>
      <c r="M1555" s="57">
        <v>1209234663</v>
      </c>
      <c r="N1555" s="4" t="s">
        <v>1042</v>
      </c>
      <c r="O1555" s="4">
        <v>608650916</v>
      </c>
      <c r="P1555" s="4">
        <v>608650915</v>
      </c>
      <c r="Q1555" s="767"/>
      <c r="R1555" s="767"/>
      <c r="S1555" s="4"/>
      <c r="T1555" s="4"/>
      <c r="U1555" s="4"/>
      <c r="V1555" s="4"/>
      <c r="W1555" s="4"/>
      <c r="X1555" s="4" t="s">
        <v>1042</v>
      </c>
      <c r="Y1555" s="4" t="s">
        <v>4066</v>
      </c>
      <c r="Z1555" s="35"/>
      <c r="AA1555" s="1" t="str">
        <f>IFERROR(VLOOKUP(D:D,[1]Габариты!$A:$I,9,0),"")</f>
        <v>Вакансия</v>
      </c>
      <c r="AB1555" s="6" t="str">
        <f>IFERROR(VLOOKUP(D:D,[1]Габариты!$A:$D,4,0),"")</f>
        <v>ТУМБЫ ПРИКРОВАТНЫЕ</v>
      </c>
      <c r="AC1555" s="39">
        <f t="shared" si="205"/>
        <v>3300</v>
      </c>
      <c r="AD1555" s="13" t="str">
        <f t="shared" si="204"/>
        <v>FBO</v>
      </c>
    </row>
    <row r="1556" spans="1:30" s="6" customFormat="1" ht="20.100000000000001" customHeight="1" outlineLevel="1" x14ac:dyDescent="0.25">
      <c r="A1556" s="635" t="s">
        <v>63</v>
      </c>
      <c r="B1556" s="3"/>
      <c r="C1556" s="13" t="s">
        <v>2582</v>
      </c>
      <c r="D1556" s="39">
        <v>2467</v>
      </c>
      <c r="E1556" s="4">
        <v>32</v>
      </c>
      <c r="F1556" s="101">
        <v>2467</v>
      </c>
      <c r="G1556" s="57" t="s">
        <v>4785</v>
      </c>
      <c r="H1556" s="4"/>
      <c r="I1556" s="4"/>
      <c r="J1556" s="4"/>
      <c r="K1556" s="54"/>
      <c r="L1556" s="57"/>
      <c r="M1556" s="57"/>
      <c r="N1556" s="766"/>
      <c r="O1556" s="4"/>
      <c r="P1556" s="4"/>
      <c r="Q1556" s="767"/>
      <c r="R1556" s="767"/>
      <c r="S1556" s="4"/>
      <c r="T1556" s="4"/>
      <c r="U1556" s="4"/>
      <c r="V1556" s="4"/>
      <c r="W1556" s="4" t="s">
        <v>2452</v>
      </c>
      <c r="X1556" s="4" t="s">
        <v>576</v>
      </c>
      <c r="Y1556" s="4" t="s">
        <v>4066</v>
      </c>
      <c r="Z1556" s="35"/>
      <c r="AA1556" s="1" t="str">
        <f>IFERROR(VLOOKUP(D:D,[1]Габариты!$A:$I,9,0),"")</f>
        <v>Вакансия</v>
      </c>
      <c r="AB1556" s="6" t="str">
        <f>IFERROR(VLOOKUP(D:D,[1]Габариты!$A:$D,4,0),"")</f>
        <v>ТУМБЫ ПРИКРОВАТНЫЕ</v>
      </c>
      <c r="AC1556" s="39">
        <f t="shared" si="205"/>
        <v>2467</v>
      </c>
      <c r="AD1556" s="13" t="str">
        <f t="shared" si="204"/>
        <v>FBO</v>
      </c>
    </row>
    <row r="1557" spans="1:30" s="6" customFormat="1" ht="20.100000000000001" customHeight="1" outlineLevel="1" x14ac:dyDescent="0.25">
      <c r="A1557" s="635" t="s">
        <v>548</v>
      </c>
      <c r="B1557" s="25"/>
      <c r="C1557" s="13" t="s">
        <v>2582</v>
      </c>
      <c r="D1557" s="39">
        <v>770325</v>
      </c>
      <c r="E1557" s="4">
        <v>20</v>
      </c>
      <c r="F1557" s="101">
        <v>770325</v>
      </c>
      <c r="G1557" s="57"/>
      <c r="H1557" s="4" t="s">
        <v>7394</v>
      </c>
      <c r="I1557" s="4"/>
      <c r="J1557" s="4"/>
      <c r="K1557" s="54"/>
      <c r="L1557" s="57"/>
      <c r="M1557" s="57"/>
      <c r="N1557" s="4" t="s">
        <v>876</v>
      </c>
      <c r="O1557" s="4">
        <v>484861023</v>
      </c>
      <c r="P1557" s="4">
        <v>484861024</v>
      </c>
      <c r="Q1557" s="767"/>
      <c r="R1557" s="767"/>
      <c r="S1557" s="4"/>
      <c r="T1557" s="4"/>
      <c r="U1557" s="4"/>
      <c r="V1557" s="4"/>
      <c r="W1557" s="4"/>
      <c r="X1557" s="4" t="s">
        <v>876</v>
      </c>
      <c r="Y1557" s="4" t="s">
        <v>4066</v>
      </c>
      <c r="Z1557" s="35"/>
      <c r="AA1557" s="1" t="str">
        <f>IFERROR(VLOOKUP(D:D,[1]Габариты!$A:$I,9,0),"")</f>
        <v>Вакансия</v>
      </c>
      <c r="AB1557" s="6" t="str">
        <f>IFERROR(VLOOKUP(D:D,[1]Габариты!$A:$D,4,0),"")</f>
        <v>ТУМБЫ ПРИКРОВАТНЫЕ</v>
      </c>
      <c r="AC1557" s="39">
        <f t="shared" si="205"/>
        <v>770325</v>
      </c>
      <c r="AD1557" s="13" t="str">
        <f t="shared" si="204"/>
        <v>FBO</v>
      </c>
    </row>
    <row r="1558" spans="1:30" s="6" customFormat="1" ht="20.100000000000001" customHeight="1" outlineLevel="1" x14ac:dyDescent="0.25">
      <c r="A1558" s="635" t="s">
        <v>549</v>
      </c>
      <c r="B1558" s="30"/>
      <c r="C1558" s="13" t="s">
        <v>2582</v>
      </c>
      <c r="D1558" s="39">
        <v>770327</v>
      </c>
      <c r="E1558" s="4">
        <v>20</v>
      </c>
      <c r="F1558" s="101">
        <v>770327</v>
      </c>
      <c r="G1558" s="57"/>
      <c r="H1558" s="4" t="s">
        <v>7395</v>
      </c>
      <c r="I1558" s="4"/>
      <c r="J1558" s="4"/>
      <c r="K1558" s="54"/>
      <c r="L1558" s="57"/>
      <c r="M1558" s="57"/>
      <c r="N1558" s="4" t="s">
        <v>877</v>
      </c>
      <c r="O1558" s="4">
        <v>487401322</v>
      </c>
      <c r="P1558" s="4">
        <v>487401321</v>
      </c>
      <c r="Q1558" s="767"/>
      <c r="R1558" s="767"/>
      <c r="S1558" s="4"/>
      <c r="T1558" s="4"/>
      <c r="U1558" s="4"/>
      <c r="V1558" s="4"/>
      <c r="W1558" s="4"/>
      <c r="X1558" s="4" t="s">
        <v>877</v>
      </c>
      <c r="Y1558" s="4" t="s">
        <v>4066</v>
      </c>
      <c r="Z1558" s="35"/>
      <c r="AA1558" s="1" t="str">
        <f>IFERROR(VLOOKUP(D:D,[1]Габариты!$A:$I,9,0),"")</f>
        <v>Вакансия</v>
      </c>
      <c r="AB1558" s="6" t="str">
        <f>IFERROR(VLOOKUP(D:D,[1]Габариты!$A:$D,4,0),"")</f>
        <v>ТУМБЫ ПРИКРОВАТНЫЕ</v>
      </c>
      <c r="AC1558" s="39">
        <f t="shared" si="205"/>
        <v>770327</v>
      </c>
      <c r="AD1558" s="13" t="str">
        <f t="shared" si="204"/>
        <v>FBO</v>
      </c>
    </row>
    <row r="1559" spans="1:30" s="6" customFormat="1" ht="20.100000000000001" customHeight="1" outlineLevel="1" x14ac:dyDescent="0.25">
      <c r="A1559" s="635" t="s">
        <v>102</v>
      </c>
      <c r="B1559" s="3"/>
      <c r="C1559" s="13" t="s">
        <v>2582</v>
      </c>
      <c r="D1559" s="39">
        <v>2619</v>
      </c>
      <c r="E1559" s="4">
        <v>34</v>
      </c>
      <c r="F1559" s="101">
        <v>2619</v>
      </c>
      <c r="G1559" s="57" t="s">
        <v>4838</v>
      </c>
      <c r="H1559" s="4" t="s">
        <v>7396</v>
      </c>
      <c r="I1559" s="4" t="s">
        <v>1325</v>
      </c>
      <c r="J1559" s="4"/>
      <c r="K1559" s="54" t="s">
        <v>2454</v>
      </c>
      <c r="L1559" s="57">
        <v>199056090</v>
      </c>
      <c r="M1559" s="57">
        <v>199056090</v>
      </c>
      <c r="N1559" s="4" t="s">
        <v>621</v>
      </c>
      <c r="O1559" s="4">
        <v>266952970</v>
      </c>
      <c r="P1559" s="4">
        <v>266952979</v>
      </c>
      <c r="Q1559" s="767" t="s">
        <v>2948</v>
      </c>
      <c r="R1559" s="767">
        <v>348299698</v>
      </c>
      <c r="S1559" s="4">
        <v>348299699</v>
      </c>
      <c r="T1559" s="4"/>
      <c r="U1559" s="4"/>
      <c r="V1559" s="4"/>
      <c r="W1559" s="4" t="s">
        <v>2454</v>
      </c>
      <c r="X1559" s="4" t="s">
        <v>621</v>
      </c>
      <c r="Y1559" s="4">
        <v>2619</v>
      </c>
      <c r="Z1559" s="35"/>
      <c r="AA1559" s="1" t="str">
        <f>IFERROR(VLOOKUP(D:D,[1]Габариты!$A:$I,9,0),"")</f>
        <v>Вакансия</v>
      </c>
      <c r="AB1559" s="6" t="str">
        <f>IFERROR(VLOOKUP(D:D,[1]Габариты!$A:$D,4,0),"")</f>
        <v>ТУМБЫ ПРИКРОВАТНЫЕ</v>
      </c>
      <c r="AC1559" s="39">
        <f t="shared" si="205"/>
        <v>2619</v>
      </c>
      <c r="AD1559" s="13" t="str">
        <f t="shared" si="204"/>
        <v>FBO</v>
      </c>
    </row>
    <row r="1560" spans="1:30" s="6" customFormat="1" ht="20.100000000000001" customHeight="1" outlineLevel="1" x14ac:dyDescent="0.25">
      <c r="A1560" s="749" t="s">
        <v>547</v>
      </c>
      <c r="B1560" s="33"/>
      <c r="C1560" s="13" t="s">
        <v>2582</v>
      </c>
      <c r="D1560" s="39">
        <v>770326</v>
      </c>
      <c r="E1560" s="4">
        <v>20</v>
      </c>
      <c r="F1560" s="101">
        <v>770326</v>
      </c>
      <c r="G1560" s="57"/>
      <c r="H1560" s="4" t="s">
        <v>7397</v>
      </c>
      <c r="I1560" s="4"/>
      <c r="J1560" s="4"/>
      <c r="K1560" s="54"/>
      <c r="L1560" s="57"/>
      <c r="M1560" s="57"/>
      <c r="N1560" s="4" t="s">
        <v>995</v>
      </c>
      <c r="O1560" s="4">
        <v>489854836</v>
      </c>
      <c r="P1560" s="4">
        <v>489854835</v>
      </c>
      <c r="Q1560" s="767"/>
      <c r="R1560" s="767"/>
      <c r="S1560" s="4"/>
      <c r="T1560" s="4"/>
      <c r="U1560" s="4"/>
      <c r="V1560" s="4"/>
      <c r="W1560" s="4"/>
      <c r="X1560" s="4" t="s">
        <v>995</v>
      </c>
      <c r="Y1560" s="4" t="s">
        <v>4066</v>
      </c>
      <c r="Z1560" s="35"/>
      <c r="AA1560" s="1" t="str">
        <f>IFERROR(VLOOKUP(D:D,[1]Габариты!$A:$I,9,0),"")</f>
        <v>Вакансия</v>
      </c>
      <c r="AB1560" s="6" t="str">
        <f>IFERROR(VLOOKUP(D:D,[1]Габариты!$A:$D,4,0),"")</f>
        <v>ТУМБЫ ПРИКРОВАТНЫЕ</v>
      </c>
      <c r="AC1560" s="39">
        <f t="shared" si="205"/>
        <v>770326</v>
      </c>
      <c r="AD1560" s="13" t="str">
        <f t="shared" si="204"/>
        <v>FBO</v>
      </c>
    </row>
    <row r="1561" spans="1:30" s="6" customFormat="1" ht="20.100000000000001" customHeight="1" outlineLevel="1" x14ac:dyDescent="0.25">
      <c r="A1561" s="635" t="s">
        <v>103</v>
      </c>
      <c r="B1561" s="3"/>
      <c r="C1561" s="13" t="s">
        <v>2582</v>
      </c>
      <c r="D1561" s="39">
        <v>2620</v>
      </c>
      <c r="E1561" s="4">
        <v>26</v>
      </c>
      <c r="F1561" s="101">
        <v>2620</v>
      </c>
      <c r="G1561" s="57" t="s">
        <v>4839</v>
      </c>
      <c r="H1561" s="4" t="s">
        <v>7398</v>
      </c>
      <c r="I1561" s="4"/>
      <c r="J1561" s="4"/>
      <c r="K1561" s="54" t="s">
        <v>2455</v>
      </c>
      <c r="L1561" s="57">
        <v>206035736</v>
      </c>
      <c r="M1561" s="57">
        <v>206035736</v>
      </c>
      <c r="N1561" s="4" t="s">
        <v>622</v>
      </c>
      <c r="O1561" s="4">
        <v>266786860</v>
      </c>
      <c r="P1561" s="4">
        <v>266786864</v>
      </c>
      <c r="Q1561" s="767" t="s">
        <v>2949</v>
      </c>
      <c r="R1561" s="767">
        <v>356201401</v>
      </c>
      <c r="S1561" s="4">
        <v>356201402</v>
      </c>
      <c r="T1561" s="4"/>
      <c r="U1561" s="4"/>
      <c r="V1561" s="4"/>
      <c r="W1561" s="4" t="s">
        <v>2455</v>
      </c>
      <c r="X1561" s="4" t="s">
        <v>622</v>
      </c>
      <c r="Y1561" s="4">
        <v>2620</v>
      </c>
      <c r="Z1561" s="35"/>
      <c r="AA1561" s="1" t="str">
        <f>IFERROR(VLOOKUP(D:D,[1]Габариты!$A:$I,9,0),"")</f>
        <v>Вакансия</v>
      </c>
      <c r="AB1561" s="6" t="str">
        <f>IFERROR(VLOOKUP(D:D,[1]Габариты!$A:$D,4,0),"")</f>
        <v>ТУМБЫ ПРИКРОВАТНЫЕ</v>
      </c>
      <c r="AC1561" s="39">
        <f t="shared" si="205"/>
        <v>2620</v>
      </c>
      <c r="AD1561" s="13" t="str">
        <f t="shared" si="204"/>
        <v>FBO</v>
      </c>
    </row>
    <row r="1562" spans="1:30" s="6" customFormat="1" ht="20.100000000000001" customHeight="1" outlineLevel="1" x14ac:dyDescent="0.25">
      <c r="A1562" s="635" t="s">
        <v>410</v>
      </c>
      <c r="B1562" s="3"/>
      <c r="C1562" s="13" t="s">
        <v>2582</v>
      </c>
      <c r="D1562" s="39">
        <v>9397</v>
      </c>
      <c r="E1562" s="4">
        <v>20</v>
      </c>
      <c r="F1562" s="101">
        <v>9397</v>
      </c>
      <c r="G1562" s="57"/>
      <c r="H1562" s="4" t="s">
        <v>7399</v>
      </c>
      <c r="I1562" s="4"/>
      <c r="J1562" s="4"/>
      <c r="K1562" s="54"/>
      <c r="L1562" s="57"/>
      <c r="M1562" s="57"/>
      <c r="N1562" s="4" t="s">
        <v>912</v>
      </c>
      <c r="O1562" s="4">
        <v>328165518</v>
      </c>
      <c r="P1562" s="4">
        <v>328165541</v>
      </c>
      <c r="Q1562" s="767" t="s">
        <v>2954</v>
      </c>
      <c r="R1562" s="767">
        <v>341777825</v>
      </c>
      <c r="S1562" s="4">
        <v>341777838</v>
      </c>
      <c r="T1562" s="4"/>
      <c r="U1562" s="4"/>
      <c r="V1562" s="4"/>
      <c r="W1562" s="4"/>
      <c r="X1562" s="4" t="s">
        <v>912</v>
      </c>
      <c r="Y1562" s="4" t="s">
        <v>4066</v>
      </c>
      <c r="Z1562" s="35"/>
      <c r="AA1562" s="1" t="str">
        <f>IFERROR(VLOOKUP(D:D,[1]Габариты!$A:$I,9,0),"")</f>
        <v>Вакансия</v>
      </c>
      <c r="AB1562" s="6" t="str">
        <f>IFERROR(VLOOKUP(D:D,[1]Габариты!$A:$D,4,0),"")</f>
        <v>ТУМБЫ ПРИКРОВАТНЫЕ</v>
      </c>
      <c r="AC1562" s="39">
        <f t="shared" si="205"/>
        <v>9397</v>
      </c>
      <c r="AD1562" s="13" t="str">
        <f t="shared" si="204"/>
        <v>FBO</v>
      </c>
    </row>
    <row r="1563" spans="1:30" s="6" customFormat="1" ht="20.100000000000001" customHeight="1" outlineLevel="1" x14ac:dyDescent="0.25">
      <c r="A1563" s="665" t="s">
        <v>313</v>
      </c>
      <c r="B1563" s="5"/>
      <c r="C1563" s="13" t="s">
        <v>2582</v>
      </c>
      <c r="D1563" s="820">
        <v>9392</v>
      </c>
      <c r="E1563" s="4">
        <v>34</v>
      </c>
      <c r="F1563" s="101">
        <v>9392</v>
      </c>
      <c r="G1563" s="57"/>
      <c r="H1563" s="4" t="s">
        <v>7400</v>
      </c>
      <c r="I1563" s="4" t="s">
        <v>1336</v>
      </c>
      <c r="J1563" s="4"/>
      <c r="K1563" s="54"/>
      <c r="L1563" s="57"/>
      <c r="M1563" s="57"/>
      <c r="N1563" s="4" t="s">
        <v>2663</v>
      </c>
      <c r="O1563" s="4">
        <v>322919751</v>
      </c>
      <c r="P1563" s="4">
        <v>322919766</v>
      </c>
      <c r="Q1563" s="767"/>
      <c r="R1563" s="767"/>
      <c r="S1563" s="4"/>
      <c r="T1563" s="4"/>
      <c r="U1563" s="4"/>
      <c r="V1563" s="4"/>
      <c r="W1563" s="4"/>
      <c r="X1563" s="4"/>
      <c r="Y1563" s="4" t="s">
        <v>4066</v>
      </c>
      <c r="Z1563" s="35"/>
      <c r="AA1563" s="1" t="str">
        <f>IFERROR(VLOOKUP(D:D,[1]Габариты!$A:$I,9,0),"")</f>
        <v>Вакансия</v>
      </c>
      <c r="AB1563" s="6" t="str">
        <f>IFERROR(VLOOKUP(D:D,[1]Габариты!$A:$D,4,0),"")</f>
        <v>ТУМБЫ ПРИКРОВАТНЫЕ</v>
      </c>
      <c r="AC1563" s="39">
        <f t="shared" si="205"/>
        <v>9392</v>
      </c>
      <c r="AD1563" s="13" t="str">
        <f t="shared" si="204"/>
        <v>FBO</v>
      </c>
    </row>
    <row r="1564" spans="1:30" s="6" customFormat="1" ht="20.100000000000001" customHeight="1" outlineLevel="1" x14ac:dyDescent="0.25">
      <c r="A1564" s="665" t="s">
        <v>276</v>
      </c>
      <c r="B1564" s="2"/>
      <c r="C1564" s="13" t="s">
        <v>2582</v>
      </c>
      <c r="D1564" s="39">
        <v>3037</v>
      </c>
      <c r="E1564" s="4">
        <v>34</v>
      </c>
      <c r="F1564" s="101">
        <v>3037</v>
      </c>
      <c r="G1564" s="57" t="s">
        <v>4971</v>
      </c>
      <c r="H1564" s="4" t="s">
        <v>7401</v>
      </c>
      <c r="I1564" s="4" t="s">
        <v>1324</v>
      </c>
      <c r="J1564" s="4"/>
      <c r="K1564" s="54"/>
      <c r="L1564" s="57"/>
      <c r="M1564" s="57"/>
      <c r="N1564" s="4" t="s">
        <v>755</v>
      </c>
      <c r="O1564" s="4">
        <v>275434741</v>
      </c>
      <c r="P1564" s="4">
        <v>275434766</v>
      </c>
      <c r="Q1564" s="767" t="s">
        <v>2947</v>
      </c>
      <c r="R1564" s="767">
        <v>352781227</v>
      </c>
      <c r="S1564" s="4">
        <v>352781228</v>
      </c>
      <c r="T1564" s="4"/>
      <c r="U1564" s="4"/>
      <c r="V1564" s="4"/>
      <c r="W1564" s="4" t="s">
        <v>2451</v>
      </c>
      <c r="X1564" s="4" t="s">
        <v>755</v>
      </c>
      <c r="Y1564" s="4" t="s">
        <v>4066</v>
      </c>
      <c r="Z1564" s="35"/>
      <c r="AA1564" s="1" t="str">
        <f>IFERROR(VLOOKUP(D:D,[1]Габариты!$A:$I,9,0),"")</f>
        <v>Вакансия</v>
      </c>
      <c r="AB1564" s="6" t="str">
        <f>IFERROR(VLOOKUP(D:D,[1]Габариты!$A:$D,4,0),"")</f>
        <v>ТУМБЫ ПРИКРОВАТНЫЕ</v>
      </c>
      <c r="AC1564" s="39">
        <f t="shared" si="205"/>
        <v>3037</v>
      </c>
      <c r="AD1564" s="13" t="str">
        <f t="shared" si="204"/>
        <v>FBO</v>
      </c>
    </row>
    <row r="1565" spans="1:30" s="6" customFormat="1" ht="20.100000000000001" customHeight="1" outlineLevel="1" x14ac:dyDescent="0.25">
      <c r="A1565" s="631" t="s">
        <v>1144</v>
      </c>
      <c r="B1565" s="29"/>
      <c r="C1565" s="13" t="s">
        <v>2581</v>
      </c>
      <c r="D1565" s="39">
        <v>3172</v>
      </c>
      <c r="E1565" s="4">
        <v>22</v>
      </c>
      <c r="F1565" s="101">
        <v>3172</v>
      </c>
      <c r="G1565" s="57" t="s">
        <v>5035</v>
      </c>
      <c r="H1565" s="4" t="s">
        <v>7402</v>
      </c>
      <c r="I1565" s="4"/>
      <c r="J1565" s="4"/>
      <c r="K1565" s="54" t="s">
        <v>2480</v>
      </c>
      <c r="L1565" s="57">
        <v>882129228</v>
      </c>
      <c r="M1565" s="57">
        <v>882129228</v>
      </c>
      <c r="N1565" s="4" t="s">
        <v>779</v>
      </c>
      <c r="O1565" s="4">
        <v>484790226</v>
      </c>
      <c r="P1565" s="4">
        <v>484790221</v>
      </c>
      <c r="Q1565" s="767"/>
      <c r="R1565" s="767"/>
      <c r="S1565" s="4"/>
      <c r="T1565" s="4"/>
      <c r="U1565" s="4"/>
      <c r="V1565" s="4"/>
      <c r="W1565" s="4" t="s">
        <v>2480</v>
      </c>
      <c r="X1565" s="4" t="s">
        <v>779</v>
      </c>
      <c r="Y1565" s="4" t="s">
        <v>4066</v>
      </c>
      <c r="Z1565" s="35"/>
      <c r="AA1565" s="1" t="str">
        <f>IFERROR(VLOOKUP(D:D,[1]Габариты!$A:$I,9,0),"")</f>
        <v>Вакансия</v>
      </c>
      <c r="AB1565" s="6" t="str">
        <f>IFERROR(VLOOKUP(D:D,[1]Габариты!$A:$D,4,0),"")</f>
        <v>ТУМБЫ ПРИКРОВАТНЫЕ</v>
      </c>
      <c r="AC1565" s="39">
        <f t="shared" si="205"/>
        <v>3172</v>
      </c>
      <c r="AD1565" s="13" t="str">
        <f t="shared" si="204"/>
        <v>FBS</v>
      </c>
    </row>
    <row r="1566" spans="1:30" s="6" customFormat="1" ht="20.100000000000001" customHeight="1" outlineLevel="1" x14ac:dyDescent="0.25">
      <c r="A1566" s="631" t="s">
        <v>1093</v>
      </c>
      <c r="B1566" s="29"/>
      <c r="C1566" s="13" t="s">
        <v>2582</v>
      </c>
      <c r="D1566" s="40">
        <v>3197</v>
      </c>
      <c r="E1566" s="4">
        <v>32</v>
      </c>
      <c r="F1566" s="101">
        <v>3197</v>
      </c>
      <c r="G1566" s="57" t="s">
        <v>5044</v>
      </c>
      <c r="H1566" s="4"/>
      <c r="I1566" s="4"/>
      <c r="J1566" s="4"/>
      <c r="K1566" s="54"/>
      <c r="L1566" s="57"/>
      <c r="M1566" s="57"/>
      <c r="N1566" s="766"/>
      <c r="O1566" s="4"/>
      <c r="P1566" s="4"/>
      <c r="Q1566" s="767"/>
      <c r="R1566" s="767"/>
      <c r="S1566" s="4"/>
      <c r="T1566" s="4"/>
      <c r="U1566" s="4"/>
      <c r="V1566" s="4"/>
      <c r="W1566" s="4"/>
      <c r="X1566" s="4"/>
      <c r="Y1566" s="4" t="s">
        <v>4066</v>
      </c>
      <c r="Z1566" s="35"/>
      <c r="AA1566" s="1" t="str">
        <f>IFERROR(VLOOKUP(D:D,[1]Габариты!$A:$I,9,0),"")</f>
        <v>Вакансия</v>
      </c>
      <c r="AB1566" s="6" t="str">
        <f>IFERROR(VLOOKUP(D:D,[1]Габариты!$A:$D,4,0),"")</f>
        <v>ТУМБЫ ПРИКРОВАТНЫЕ</v>
      </c>
      <c r="AC1566" s="39">
        <f t="shared" si="205"/>
        <v>3197</v>
      </c>
      <c r="AD1566" s="13" t="str">
        <f t="shared" si="204"/>
        <v>FBO</v>
      </c>
    </row>
    <row r="1567" spans="1:30" s="6" customFormat="1" ht="20.100000000000001" customHeight="1" outlineLevel="1" x14ac:dyDescent="0.25">
      <c r="A1567" s="635" t="s">
        <v>48</v>
      </c>
      <c r="B1567" s="3"/>
      <c r="C1567" s="13" t="s">
        <v>2582</v>
      </c>
      <c r="D1567" s="39">
        <v>2515</v>
      </c>
      <c r="E1567" s="4">
        <v>60</v>
      </c>
      <c r="F1567" s="101">
        <v>2515</v>
      </c>
      <c r="G1567" s="57" t="s">
        <v>4806</v>
      </c>
      <c r="H1567" s="4" t="s">
        <v>6950</v>
      </c>
      <c r="I1567" s="4" t="s">
        <v>1340</v>
      </c>
      <c r="J1567" s="4" t="s">
        <v>2002</v>
      </c>
      <c r="K1567" s="54" t="s">
        <v>2469</v>
      </c>
      <c r="L1567" s="57">
        <v>172488247</v>
      </c>
      <c r="M1567" s="57">
        <v>172488247</v>
      </c>
      <c r="N1567" s="4" t="s">
        <v>595</v>
      </c>
      <c r="O1567" s="4">
        <v>262639871</v>
      </c>
      <c r="P1567" s="4">
        <v>262639881</v>
      </c>
      <c r="Q1567" s="767" t="s">
        <v>2960</v>
      </c>
      <c r="R1567" s="767">
        <v>346598693</v>
      </c>
      <c r="S1567" s="4">
        <v>346598693</v>
      </c>
      <c r="T1567" s="4" t="s">
        <v>4085</v>
      </c>
      <c r="U1567" s="4">
        <v>1482885712</v>
      </c>
      <c r="V1567" s="4">
        <v>1482885712</v>
      </c>
      <c r="W1567" s="4" t="s">
        <v>2469</v>
      </c>
      <c r="X1567" s="4" t="s">
        <v>595</v>
      </c>
      <c r="Y1567" s="4">
        <v>2515</v>
      </c>
      <c r="Z1567" s="35"/>
      <c r="AA1567" s="1" t="str">
        <f>IFERROR(VLOOKUP(D:D,[1]Габариты!$A:$I,9,0),"")</f>
        <v>Вакансия</v>
      </c>
      <c r="AB1567" s="6" t="str">
        <f>IFERROR(VLOOKUP(D:D,[1]Габариты!$A:$D,4,0),"")</f>
        <v>ТУМБЫ ПРИКРОВАТНЫЕ</v>
      </c>
      <c r="AC1567" s="39">
        <f t="shared" si="205"/>
        <v>2515</v>
      </c>
      <c r="AD1567" s="13" t="str">
        <f t="shared" si="204"/>
        <v>FBO</v>
      </c>
    </row>
    <row r="1568" spans="1:30" s="6" customFormat="1" ht="20.100000000000001" customHeight="1" outlineLevel="1" x14ac:dyDescent="0.25">
      <c r="A1568" s="631" t="s">
        <v>1091</v>
      </c>
      <c r="B1568" s="29"/>
      <c r="C1568" s="13" t="s">
        <v>2582</v>
      </c>
      <c r="D1568" s="40" t="s">
        <v>1092</v>
      </c>
      <c r="E1568" s="4">
        <v>66</v>
      </c>
      <c r="F1568" s="101" t="s">
        <v>4737</v>
      </c>
      <c r="G1568" s="57" t="s">
        <v>5170</v>
      </c>
      <c r="H1568" s="4" t="s">
        <v>6964</v>
      </c>
      <c r="I1568" s="4"/>
      <c r="J1568" s="4" t="s">
        <v>2004</v>
      </c>
      <c r="K1568" s="54" t="s">
        <v>4737</v>
      </c>
      <c r="L1568" s="57">
        <v>880942423</v>
      </c>
      <c r="M1568" s="57">
        <v>880942423</v>
      </c>
      <c r="N1568" s="4" t="s">
        <v>1124</v>
      </c>
      <c r="O1568" s="4">
        <v>640468838</v>
      </c>
      <c r="P1568" s="4">
        <v>640468836</v>
      </c>
      <c r="Q1568" s="767"/>
      <c r="R1568" s="767"/>
      <c r="S1568" s="4"/>
      <c r="T1568" s="4" t="s">
        <v>3102</v>
      </c>
      <c r="U1568" s="4">
        <v>926450693</v>
      </c>
      <c r="V1568" s="4">
        <v>926450693</v>
      </c>
      <c r="W1568" s="4"/>
      <c r="X1568" s="4" t="s">
        <v>1124</v>
      </c>
      <c r="Y1568" s="4" t="s">
        <v>4066</v>
      </c>
      <c r="Z1568" s="35"/>
      <c r="AA1568" s="1" t="str">
        <f>IFERROR(VLOOKUP(D:D,[1]Габариты!$A:$I,9,0),"")</f>
        <v>Вакансия</v>
      </c>
      <c r="AB1568" s="6" t="str">
        <f>IFERROR(VLOOKUP(D:D,[1]Габариты!$A:$D,4,0),"")</f>
        <v>ТУМБЫ ПРИКРОВАТНЫЕ</v>
      </c>
      <c r="AC1568" s="39" t="str">
        <f t="shared" si="205"/>
        <v>MK00025</v>
      </c>
      <c r="AD1568" s="13" t="str">
        <f t="shared" si="204"/>
        <v>FBO</v>
      </c>
    </row>
    <row r="1569" spans="1:30" s="6" customFormat="1" ht="20.100000000000001" customHeight="1" outlineLevel="1" x14ac:dyDescent="0.25">
      <c r="A1569" s="635" t="s">
        <v>233</v>
      </c>
      <c r="B1569" s="3"/>
      <c r="C1569" s="13" t="s">
        <v>2582</v>
      </c>
      <c r="D1569" s="39">
        <v>2976</v>
      </c>
      <c r="E1569" s="4">
        <v>36</v>
      </c>
      <c r="F1569" s="101">
        <v>2976</v>
      </c>
      <c r="G1569" s="57" t="s">
        <v>4929</v>
      </c>
      <c r="H1569" s="4" t="s">
        <v>6933</v>
      </c>
      <c r="I1569" s="4"/>
      <c r="J1569" s="4"/>
      <c r="K1569" s="54"/>
      <c r="L1569" s="57"/>
      <c r="M1569" s="57"/>
      <c r="N1569" s="4" t="s">
        <v>712</v>
      </c>
      <c r="O1569" s="4">
        <v>268111831</v>
      </c>
      <c r="P1569" s="4">
        <v>268111832</v>
      </c>
      <c r="Q1569" s="767" t="s">
        <v>2944</v>
      </c>
      <c r="R1569" s="767">
        <v>356233051</v>
      </c>
      <c r="S1569" s="4">
        <v>356233052</v>
      </c>
      <c r="T1569" s="4"/>
      <c r="U1569" s="4"/>
      <c r="V1569" s="4"/>
      <c r="W1569" s="4" t="s">
        <v>2446</v>
      </c>
      <c r="X1569" s="4" t="s">
        <v>712</v>
      </c>
      <c r="Y1569" s="4">
        <v>2976</v>
      </c>
      <c r="Z1569" s="35"/>
      <c r="AA1569" s="1" t="str">
        <f>IFERROR(VLOOKUP(D:D,[1]Габариты!$A:$I,9,0),"")</f>
        <v>Вакансия</v>
      </c>
      <c r="AB1569" s="6" t="str">
        <f>IFERROR(VLOOKUP(D:D,[1]Габариты!$A:$D,4,0),"")</f>
        <v>ТУМБЫ ПРИКРОВАТНЫЕ</v>
      </c>
      <c r="AC1569" s="39">
        <f t="shared" si="205"/>
        <v>2976</v>
      </c>
      <c r="AD1569" s="13" t="str">
        <f t="shared" ref="AD1569:AD1577" si="207">C1569</f>
        <v>FBO</v>
      </c>
    </row>
    <row r="1570" spans="1:30" s="6" customFormat="1" ht="20.100000000000001" customHeight="1" outlineLevel="1" x14ac:dyDescent="0.25">
      <c r="A1570" s="635" t="s">
        <v>235</v>
      </c>
      <c r="B1570" s="3"/>
      <c r="C1570" s="13" t="s">
        <v>2582</v>
      </c>
      <c r="D1570" s="39">
        <v>2978</v>
      </c>
      <c r="E1570" s="4">
        <v>36</v>
      </c>
      <c r="F1570" s="101">
        <v>2978</v>
      </c>
      <c r="G1570" s="57" t="s">
        <v>4931</v>
      </c>
      <c r="H1570" s="4" t="s">
        <v>6934</v>
      </c>
      <c r="I1570" s="4"/>
      <c r="J1570" s="4"/>
      <c r="K1570" s="54"/>
      <c r="L1570" s="57"/>
      <c r="M1570" s="57"/>
      <c r="N1570" s="4" t="s">
        <v>714</v>
      </c>
      <c r="O1570" s="4">
        <v>268112282</v>
      </c>
      <c r="P1570" s="4">
        <v>268112295</v>
      </c>
      <c r="Q1570" s="767" t="s">
        <v>2946</v>
      </c>
      <c r="R1570" s="767">
        <v>349189715</v>
      </c>
      <c r="S1570" s="4">
        <v>349189753</v>
      </c>
      <c r="T1570" s="4"/>
      <c r="U1570" s="4"/>
      <c r="V1570" s="4"/>
      <c r="W1570" s="4" t="s">
        <v>2448</v>
      </c>
      <c r="X1570" s="4" t="s">
        <v>714</v>
      </c>
      <c r="Y1570" s="4">
        <v>2978</v>
      </c>
      <c r="Z1570" s="35"/>
      <c r="AA1570" s="1" t="str">
        <f>IFERROR(VLOOKUP(D:D,[1]Габариты!$A:$I,9,0),"")</f>
        <v>Вакансия</v>
      </c>
      <c r="AB1570" s="6" t="str">
        <f>IFERROR(VLOOKUP(D:D,[1]Габариты!$A:$D,4,0),"")</f>
        <v>ТУМБЫ ПРИКРОВАТНЫЕ</v>
      </c>
      <c r="AC1570" s="39">
        <f t="shared" si="205"/>
        <v>2978</v>
      </c>
      <c r="AD1570" s="13" t="str">
        <f t="shared" si="207"/>
        <v>FBO</v>
      </c>
    </row>
    <row r="1571" spans="1:30" s="6" customFormat="1" ht="20.100000000000001" customHeight="1" outlineLevel="1" x14ac:dyDescent="0.25">
      <c r="A1571" s="635" t="s">
        <v>234</v>
      </c>
      <c r="B1571" s="3"/>
      <c r="C1571" s="13" t="s">
        <v>2582</v>
      </c>
      <c r="D1571" s="39">
        <v>2977</v>
      </c>
      <c r="E1571" s="4">
        <v>36</v>
      </c>
      <c r="F1571" s="101">
        <v>2977</v>
      </c>
      <c r="G1571" s="57" t="s">
        <v>4930</v>
      </c>
      <c r="H1571" s="4" t="s">
        <v>6935</v>
      </c>
      <c r="I1571" s="4"/>
      <c r="J1571" s="4"/>
      <c r="K1571" s="54"/>
      <c r="L1571" s="57"/>
      <c r="M1571" s="57"/>
      <c r="N1571" s="4" t="s">
        <v>713</v>
      </c>
      <c r="O1571" s="4">
        <v>268128963</v>
      </c>
      <c r="P1571" s="4">
        <v>268128969</v>
      </c>
      <c r="Q1571" s="767" t="s">
        <v>2945</v>
      </c>
      <c r="R1571" s="767">
        <v>356239980</v>
      </c>
      <c r="S1571" s="4">
        <v>356239981</v>
      </c>
      <c r="T1571" s="4"/>
      <c r="U1571" s="4"/>
      <c r="V1571" s="4"/>
      <c r="W1571" s="4" t="s">
        <v>2447</v>
      </c>
      <c r="X1571" s="4" t="s">
        <v>713</v>
      </c>
      <c r="Y1571" s="4" t="s">
        <v>4066</v>
      </c>
      <c r="Z1571" s="35"/>
      <c r="AA1571" s="1" t="str">
        <f>IFERROR(VLOOKUP(D:D,[1]Габариты!$A:$I,9,0),"")</f>
        <v>Вакансия</v>
      </c>
      <c r="AB1571" s="6" t="str">
        <f>IFERROR(VLOOKUP(D:D,[1]Габариты!$A:$D,4,0),"")</f>
        <v>ТУМБЫ ПРИКРОВАТНЫЕ</v>
      </c>
      <c r="AC1571" s="39">
        <f t="shared" si="205"/>
        <v>2977</v>
      </c>
      <c r="AD1571" s="13" t="str">
        <f t="shared" si="207"/>
        <v>FBO</v>
      </c>
    </row>
    <row r="1572" spans="1:30" s="6" customFormat="1" ht="20.100000000000001" customHeight="1" outlineLevel="1" x14ac:dyDescent="0.25">
      <c r="A1572" s="631" t="s">
        <v>1032</v>
      </c>
      <c r="B1572" s="29"/>
      <c r="C1572" s="13" t="s">
        <v>2582</v>
      </c>
      <c r="D1572" s="40">
        <v>3299</v>
      </c>
      <c r="E1572" s="4">
        <v>40</v>
      </c>
      <c r="F1572" s="101">
        <v>3299</v>
      </c>
      <c r="G1572" s="57" t="s">
        <v>5053</v>
      </c>
      <c r="H1572" s="4" t="s">
        <v>6940</v>
      </c>
      <c r="I1572" s="4"/>
      <c r="J1572" s="4"/>
      <c r="K1572" s="54" t="s">
        <v>7925</v>
      </c>
      <c r="L1572" s="57">
        <v>1348844797</v>
      </c>
      <c r="M1572" s="57">
        <v>1348844797</v>
      </c>
      <c r="N1572" s="4" t="s">
        <v>1043</v>
      </c>
      <c r="O1572" s="4">
        <v>609079198</v>
      </c>
      <c r="P1572" s="4">
        <v>609079197</v>
      </c>
      <c r="Q1572" s="767"/>
      <c r="R1572" s="767"/>
      <c r="S1572" s="4"/>
      <c r="T1572" s="4"/>
      <c r="U1572" s="4"/>
      <c r="V1572" s="4"/>
      <c r="W1572" s="4"/>
      <c r="X1572" s="4" t="s">
        <v>1043</v>
      </c>
      <c r="Y1572" s="4" t="s">
        <v>4066</v>
      </c>
      <c r="Z1572" s="35"/>
      <c r="AA1572" s="1" t="str">
        <f>IFERROR(VLOOKUP(D:D,[1]Габариты!$A:$I,9,0),"")</f>
        <v>Вакансия</v>
      </c>
      <c r="AB1572" s="6" t="str">
        <f>IFERROR(VLOOKUP(D:D,[1]Габариты!$A:$D,4,0),"")</f>
        <v>ТУМБЫ ПРИКРОВАТНЫЕ</v>
      </c>
      <c r="AC1572" s="39">
        <f t="shared" si="205"/>
        <v>3299</v>
      </c>
      <c r="AD1572" s="13" t="str">
        <f t="shared" si="207"/>
        <v>FBO</v>
      </c>
    </row>
    <row r="1573" spans="1:30" s="6" customFormat="1" ht="20.100000000000001" customHeight="1" outlineLevel="1" x14ac:dyDescent="0.25">
      <c r="A1573" s="635" t="s">
        <v>46</v>
      </c>
      <c r="B1573" s="3"/>
      <c r="C1573" s="13" t="s">
        <v>2582</v>
      </c>
      <c r="D1573" s="39">
        <v>2526</v>
      </c>
      <c r="E1573" s="4">
        <v>60</v>
      </c>
      <c r="F1573" s="101">
        <v>2526</v>
      </c>
      <c r="G1573" s="57" t="s">
        <v>4807</v>
      </c>
      <c r="H1573" s="4" t="s">
        <v>6948</v>
      </c>
      <c r="I1573" s="4" t="s">
        <v>1338</v>
      </c>
      <c r="J1573" s="4" t="s">
        <v>2000</v>
      </c>
      <c r="K1573" s="54"/>
      <c r="L1573" s="57"/>
      <c r="M1573" s="57"/>
      <c r="N1573" s="4" t="s">
        <v>596</v>
      </c>
      <c r="O1573" s="4">
        <v>262603345</v>
      </c>
      <c r="P1573" s="4">
        <v>262603346</v>
      </c>
      <c r="Q1573" s="767"/>
      <c r="R1573" s="767"/>
      <c r="S1573" s="4"/>
      <c r="T1573" s="4" t="s">
        <v>4083</v>
      </c>
      <c r="U1573" s="4">
        <v>1482867475</v>
      </c>
      <c r="V1573" s="4">
        <v>1482867475</v>
      </c>
      <c r="W1573" s="4" t="s">
        <v>2467</v>
      </c>
      <c r="X1573" s="4" t="s">
        <v>596</v>
      </c>
      <c r="Y1573" s="4">
        <v>2526</v>
      </c>
      <c r="Z1573" s="35"/>
      <c r="AA1573" s="1" t="str">
        <f>IFERROR(VLOOKUP(D:D,[1]Габариты!$A:$I,9,0),"")</f>
        <v>Вакансия</v>
      </c>
      <c r="AB1573" s="6" t="str">
        <f>IFERROR(VLOOKUP(D:D,[1]Габариты!$A:$D,4,0),"")</f>
        <v>ТУМБЫ ПРИКРОВАТНЫЕ</v>
      </c>
      <c r="AC1573" s="39">
        <f t="shared" si="205"/>
        <v>2526</v>
      </c>
      <c r="AD1573" s="13" t="str">
        <f t="shared" si="207"/>
        <v>FBO</v>
      </c>
    </row>
    <row r="1574" spans="1:30" s="6" customFormat="1" ht="20.100000000000001" customHeight="1" outlineLevel="1" x14ac:dyDescent="0.25">
      <c r="A1574" s="635" t="s">
        <v>47</v>
      </c>
      <c r="B1574" s="3"/>
      <c r="C1574" s="13" t="s">
        <v>2582</v>
      </c>
      <c r="D1574" s="39">
        <v>2504</v>
      </c>
      <c r="E1574" s="4">
        <v>60</v>
      </c>
      <c r="F1574" s="101">
        <v>2504</v>
      </c>
      <c r="G1574" s="57" t="s">
        <v>4805</v>
      </c>
      <c r="H1574" s="4" t="s">
        <v>6949</v>
      </c>
      <c r="I1574" s="4" t="s">
        <v>1339</v>
      </c>
      <c r="J1574" s="4" t="s">
        <v>2001</v>
      </c>
      <c r="K1574" s="54" t="s">
        <v>2468</v>
      </c>
      <c r="L1574" s="57">
        <v>172487821</v>
      </c>
      <c r="M1574" s="57">
        <v>172487821</v>
      </c>
      <c r="N1574" s="4" t="s">
        <v>594</v>
      </c>
      <c r="O1574" s="4">
        <v>262625151</v>
      </c>
      <c r="P1574" s="4">
        <v>262625159</v>
      </c>
      <c r="Q1574" s="767" t="s">
        <v>2959</v>
      </c>
      <c r="R1574" s="767">
        <v>346598076</v>
      </c>
      <c r="S1574" s="4">
        <v>346598076</v>
      </c>
      <c r="T1574" s="4" t="s">
        <v>4084</v>
      </c>
      <c r="U1574" s="4">
        <v>1482883190</v>
      </c>
      <c r="V1574" s="4">
        <v>1482883190</v>
      </c>
      <c r="W1574" s="4" t="s">
        <v>2468</v>
      </c>
      <c r="X1574" s="4" t="s">
        <v>594</v>
      </c>
      <c r="Y1574" s="4">
        <v>2504</v>
      </c>
      <c r="Z1574" s="35"/>
      <c r="AA1574" s="1" t="str">
        <f>IFERROR(VLOOKUP(D:D,[1]Габариты!$A:$I,9,0),"")</f>
        <v>Вакансия</v>
      </c>
      <c r="AB1574" s="6" t="str">
        <f>IFERROR(VLOOKUP(D:D,[1]Габариты!$A:$D,4,0),"")</f>
        <v>ТУМБЫ ПРИКРОВАТНЫЕ</v>
      </c>
      <c r="AC1574" s="39">
        <f t="shared" si="205"/>
        <v>2504</v>
      </c>
      <c r="AD1574" s="13" t="str">
        <f t="shared" si="207"/>
        <v>FBO</v>
      </c>
    </row>
    <row r="1575" spans="1:30" s="6" customFormat="1" ht="20.100000000000001" customHeight="1" outlineLevel="1" x14ac:dyDescent="0.25">
      <c r="A1575" s="665" t="s">
        <v>283</v>
      </c>
      <c r="B1575" s="2"/>
      <c r="C1575" s="13" t="s">
        <v>2582</v>
      </c>
      <c r="D1575" s="39">
        <v>3051</v>
      </c>
      <c r="E1575" s="4">
        <v>60</v>
      </c>
      <c r="F1575" s="101">
        <v>3051</v>
      </c>
      <c r="G1575" s="57" t="s">
        <v>4976</v>
      </c>
      <c r="H1575" s="4" t="s">
        <v>6951</v>
      </c>
      <c r="I1575" s="4" t="s">
        <v>1341</v>
      </c>
      <c r="J1575" s="4" t="s">
        <v>3829</v>
      </c>
      <c r="K1575" s="54"/>
      <c r="L1575" s="57"/>
      <c r="M1575" s="57"/>
      <c r="N1575" s="4" t="s">
        <v>759</v>
      </c>
      <c r="O1575" s="4">
        <v>284236550</v>
      </c>
      <c r="P1575" s="4">
        <v>284236575</v>
      </c>
      <c r="Q1575" s="767"/>
      <c r="R1575" s="767"/>
      <c r="S1575" s="4"/>
      <c r="T1575" s="4" t="s">
        <v>4086</v>
      </c>
      <c r="U1575" s="4">
        <v>1482886757</v>
      </c>
      <c r="V1575" s="4">
        <v>1482886757</v>
      </c>
      <c r="W1575" s="4" t="s">
        <v>2470</v>
      </c>
      <c r="X1575" s="4" t="s">
        <v>759</v>
      </c>
      <c r="Y1575" s="4" t="s">
        <v>4066</v>
      </c>
      <c r="Z1575" s="35"/>
      <c r="AA1575" s="1" t="str">
        <f>IFERROR(VLOOKUP(D:D,[1]Габариты!$A:$I,9,0),"")</f>
        <v>Вакансия</v>
      </c>
      <c r="AB1575" s="6" t="str">
        <f>IFERROR(VLOOKUP(D:D,[1]Габариты!$A:$D,4,0),"")</f>
        <v>ТУМБЫ ПРИКРОВАТНЫЕ</v>
      </c>
      <c r="AC1575" s="39">
        <f t="shared" si="205"/>
        <v>3051</v>
      </c>
      <c r="AD1575" s="13" t="str">
        <f t="shared" si="207"/>
        <v>FBO</v>
      </c>
    </row>
    <row r="1576" spans="1:30" s="6" customFormat="1" ht="20.100000000000001" customHeight="1" outlineLevel="1" x14ac:dyDescent="0.25">
      <c r="A1576" s="631" t="s">
        <v>1777</v>
      </c>
      <c r="B1576" s="29"/>
      <c r="C1576" s="13" t="s">
        <v>2581</v>
      </c>
      <c r="D1576" s="40" t="s">
        <v>1778</v>
      </c>
      <c r="E1576" s="4">
        <v>56</v>
      </c>
      <c r="F1576" s="101" t="s">
        <v>6248</v>
      </c>
      <c r="G1576" s="57" t="s">
        <v>5180</v>
      </c>
      <c r="H1576" s="4" t="s">
        <v>7393</v>
      </c>
      <c r="I1576" s="4"/>
      <c r="J1576" s="4"/>
      <c r="K1576" s="54" t="s">
        <v>6248</v>
      </c>
      <c r="L1576" s="57">
        <v>1480547660</v>
      </c>
      <c r="M1576" s="57">
        <v>1480547660</v>
      </c>
      <c r="N1576" s="4" t="s">
        <v>2665</v>
      </c>
      <c r="O1576" s="4">
        <v>901058821</v>
      </c>
      <c r="P1576" s="4">
        <v>901058819</v>
      </c>
      <c r="Q1576" s="767"/>
      <c r="R1576" s="767"/>
      <c r="S1576" s="4"/>
      <c r="T1576" s="4"/>
      <c r="U1576" s="4"/>
      <c r="V1576" s="4"/>
      <c r="W1576" s="4"/>
      <c r="X1576" s="4" t="s">
        <v>2665</v>
      </c>
      <c r="Y1576" s="4" t="s">
        <v>4066</v>
      </c>
      <c r="Z1576" s="35"/>
      <c r="AA1576" s="1" t="str">
        <f>IFERROR(VLOOKUP(D:D,[1]Габариты!$A:$I,9,0),"")</f>
        <v>Вакансия</v>
      </c>
      <c r="AB1576" s="6" t="str">
        <f>IFERROR(VLOOKUP(D:D,[1]Габариты!$A:$D,4,0),"")</f>
        <v>ТУМБЫ ПРИКРОВАТНЫЕ</v>
      </c>
      <c r="AC1576" s="39" t="str">
        <f t="shared" si="205"/>
        <v>MK00036</v>
      </c>
      <c r="AD1576" s="13" t="str">
        <f t="shared" si="207"/>
        <v>FBS</v>
      </c>
    </row>
    <row r="1577" spans="1:30" s="6" customFormat="1" ht="20.100000000000001" customHeight="1" outlineLevel="1" x14ac:dyDescent="0.25">
      <c r="A1577" s="631" t="s">
        <v>1033</v>
      </c>
      <c r="B1577" s="29"/>
      <c r="C1577" s="13" t="s">
        <v>2582</v>
      </c>
      <c r="D1577" s="40" t="s">
        <v>1507</v>
      </c>
      <c r="E1577" s="4">
        <v>52</v>
      </c>
      <c r="F1577" s="101" t="s">
        <v>4732</v>
      </c>
      <c r="G1577" s="57" t="s">
        <v>5166</v>
      </c>
      <c r="H1577" s="4" t="s">
        <v>6962</v>
      </c>
      <c r="I1577" s="4"/>
      <c r="J1577" s="4"/>
      <c r="K1577" s="54" t="s">
        <v>4732</v>
      </c>
      <c r="L1577" s="57">
        <v>880892225</v>
      </c>
      <c r="M1577" s="57">
        <v>880892225</v>
      </c>
      <c r="N1577" s="4" t="s">
        <v>1431</v>
      </c>
      <c r="O1577" s="4">
        <v>603566907</v>
      </c>
      <c r="P1577" s="4">
        <v>603566906</v>
      </c>
      <c r="Q1577" s="767"/>
      <c r="R1577" s="767"/>
      <c r="S1577" s="4"/>
      <c r="T1577" s="4"/>
      <c r="U1577" s="4"/>
      <c r="V1577" s="4"/>
      <c r="W1577" s="4"/>
      <c r="X1577" s="4" t="s">
        <v>1431</v>
      </c>
      <c r="Y1577" s="4" t="s">
        <v>4066</v>
      </c>
      <c r="Z1577" s="35"/>
      <c r="AA1577" s="1" t="str">
        <f>IFERROR(VLOOKUP(D:D,[1]Габариты!$A:$I,9,0),"")</f>
        <v>Вакансия</v>
      </c>
      <c r="AB1577" s="6" t="str">
        <f>IFERROR(VLOOKUP(D:D,[1]Габариты!$A:$D,4,0),"")</f>
        <v>ТУМБЫ ПРИКРОВАТНЫЕ</v>
      </c>
      <c r="AC1577" s="39" t="str">
        <f t="shared" si="205"/>
        <v>MK00021</v>
      </c>
      <c r="AD1577" s="13" t="str">
        <f t="shared" si="207"/>
        <v>FBO</v>
      </c>
    </row>
    <row r="1578" spans="1:30" s="6" customFormat="1" ht="20.100000000000001" customHeight="1" outlineLevel="1" x14ac:dyDescent="0.25">
      <c r="A1578" s="713" t="s">
        <v>8045</v>
      </c>
      <c r="B1578" s="29"/>
      <c r="C1578" s="276" t="s">
        <v>2582</v>
      </c>
      <c r="D1578" s="283" t="s">
        <v>8046</v>
      </c>
      <c r="E1578" s="278">
        <v>30</v>
      </c>
      <c r="F1578" s="279" t="s">
        <v>8187</v>
      </c>
      <c r="G1578" s="280"/>
      <c r="H1578" s="278" t="s">
        <v>8057</v>
      </c>
      <c r="I1578" s="278"/>
      <c r="J1578" s="278"/>
      <c r="K1578" s="279"/>
      <c r="L1578" s="280"/>
      <c r="M1578" s="280"/>
      <c r="N1578" s="884" t="s">
        <v>8090</v>
      </c>
      <c r="O1578" s="278">
        <v>1784725249</v>
      </c>
      <c r="P1578" s="278">
        <v>1784725249</v>
      </c>
      <c r="Q1578" s="803"/>
      <c r="R1578" s="803"/>
      <c r="S1578" s="278"/>
      <c r="T1578" s="278"/>
      <c r="U1578" s="278"/>
      <c r="V1578" s="278"/>
      <c r="W1578" s="278"/>
      <c r="X1578" s="278" t="s">
        <v>8090</v>
      </c>
      <c r="Y1578" s="278"/>
      <c r="Z1578" s="35"/>
      <c r="AA1578" s="1" t="str">
        <f>IFERROR(VLOOKUP(D:D,[1]Габариты!$A:$I,9,0),"")</f>
        <v>Вакансия</v>
      </c>
      <c r="AB1578" s="6" t="str">
        <f>IFERROR(VLOOKUP(D:D,[1]Габариты!$A:$D,4,0),"")</f>
        <v>ТУМБЫ ПРИКРОВАТНЫЕ</v>
      </c>
      <c r="AC1578" s="39" t="str">
        <f t="shared" ref="AC1578:AC1586" si="208">D1578</f>
        <v>MK2630601</v>
      </c>
      <c r="AD1578" s="13" t="str">
        <f t="shared" ref="AD1578:AD1586" si="209">C1578</f>
        <v>FBO</v>
      </c>
    </row>
    <row r="1579" spans="1:30" s="6" customFormat="1" ht="20.100000000000001" customHeight="1" outlineLevel="1" x14ac:dyDescent="0.25">
      <c r="A1579" s="631" t="s">
        <v>7655</v>
      </c>
      <c r="B1579" s="29"/>
      <c r="C1579" s="13" t="s">
        <v>2582</v>
      </c>
      <c r="D1579" s="188" t="s">
        <v>7654</v>
      </c>
      <c r="E1579" s="184">
        <v>30</v>
      </c>
      <c r="F1579" s="185" t="s">
        <v>7745</v>
      </c>
      <c r="G1579" s="186"/>
      <c r="H1579" s="184" t="s">
        <v>7744</v>
      </c>
      <c r="I1579" s="184"/>
      <c r="J1579" s="184"/>
      <c r="K1579" s="185"/>
      <c r="L1579" s="186"/>
      <c r="M1579" s="186"/>
      <c r="N1579" s="184" t="s">
        <v>7950</v>
      </c>
      <c r="O1579" s="184">
        <v>1761704238</v>
      </c>
      <c r="P1579" s="184">
        <v>1761704238</v>
      </c>
      <c r="Q1579" s="810"/>
      <c r="R1579" s="810"/>
      <c r="S1579" s="184"/>
      <c r="T1579" s="184"/>
      <c r="U1579" s="184"/>
      <c r="V1579" s="184"/>
      <c r="W1579" s="184"/>
      <c r="X1579" s="184" t="s">
        <v>7950</v>
      </c>
      <c r="Y1579" s="184"/>
      <c r="Z1579" s="35"/>
      <c r="AA1579" s="1" t="str">
        <f>IFERROR(VLOOKUP(D:D,[1]Габариты!$A:$I,9,0),"")</f>
        <v>Вакансия</v>
      </c>
      <c r="AB1579" s="6" t="str">
        <f>IFERROR(VLOOKUP(D:D,[1]Габариты!$A:$D,4,0),"")</f>
        <v>ТУМБЫ ПРИКРОВАТНЫЕ</v>
      </c>
      <c r="AC1579" s="39" t="str">
        <f t="shared" si="208"/>
        <v>MK2630901</v>
      </c>
      <c r="AD1579" s="13" t="str">
        <f t="shared" si="209"/>
        <v>FBO</v>
      </c>
    </row>
    <row r="1580" spans="1:30" s="6" customFormat="1" ht="20.100000000000001" customHeight="1" outlineLevel="1" x14ac:dyDescent="0.25">
      <c r="A1580" s="641" t="s">
        <v>5531</v>
      </c>
      <c r="B1580" s="29"/>
      <c r="C1580" s="69" t="s">
        <v>2582</v>
      </c>
      <c r="D1580" s="70" t="s">
        <v>5532</v>
      </c>
      <c r="E1580" s="65">
        <v>34</v>
      </c>
      <c r="F1580" s="101" t="s">
        <v>7629</v>
      </c>
      <c r="G1580" s="57" t="s">
        <v>6104</v>
      </c>
      <c r="H1580" s="65" t="s">
        <v>6972</v>
      </c>
      <c r="I1580" s="65"/>
      <c r="J1580" s="65"/>
      <c r="K1580" s="54"/>
      <c r="L1580" s="57"/>
      <c r="M1580" s="57"/>
      <c r="N1580" s="65" t="s">
        <v>7447</v>
      </c>
      <c r="O1580" s="65">
        <v>1704844610</v>
      </c>
      <c r="P1580" s="65">
        <v>1704844610</v>
      </c>
      <c r="Q1580" s="779"/>
      <c r="R1580" s="779"/>
      <c r="S1580" s="65"/>
      <c r="T1580" s="65"/>
      <c r="U1580" s="65"/>
      <c r="V1580" s="65"/>
      <c r="W1580" s="65"/>
      <c r="X1580" s="65" t="s">
        <v>7447</v>
      </c>
      <c r="Y1580" s="65"/>
      <c r="Z1580" s="35"/>
      <c r="AA1580" s="1" t="str">
        <f>IFERROR(VLOOKUP(D:D,[1]Габариты!$A:$I,9,0),"")</f>
        <v>Вакансия</v>
      </c>
      <c r="AB1580" s="6" t="str">
        <f>IFERROR(VLOOKUP(D:D,[1]Габариты!$A:$D,4,0),"")</f>
        <v>ТУМБЫ ПРИКРОВАТНЫЕ</v>
      </c>
      <c r="AC1580" s="39" t="str">
        <f t="shared" si="208"/>
        <v>4153.17.05/01</v>
      </c>
      <c r="AD1580" s="13" t="str">
        <f t="shared" si="209"/>
        <v>FBO</v>
      </c>
    </row>
    <row r="1581" spans="1:30" s="6" customFormat="1" ht="20.100000000000001" customHeight="1" outlineLevel="1" x14ac:dyDescent="0.25">
      <c r="A1581" s="703" t="s">
        <v>7968</v>
      </c>
      <c r="B1581" s="29"/>
      <c r="C1581" s="71" t="s">
        <v>2582</v>
      </c>
      <c r="D1581" s="246" t="s">
        <v>7967</v>
      </c>
      <c r="E1581" s="242">
        <v>40</v>
      </c>
      <c r="F1581" s="243" t="s">
        <v>7972</v>
      </c>
      <c r="G1581" s="244" t="s">
        <v>7971</v>
      </c>
      <c r="H1581" s="242" t="s">
        <v>7983</v>
      </c>
      <c r="I1581" s="242"/>
      <c r="J1581" s="242"/>
      <c r="K1581" s="243"/>
      <c r="L1581" s="244"/>
      <c r="M1581" s="244"/>
      <c r="N1581" s="885" t="s">
        <v>7990</v>
      </c>
      <c r="O1581" s="242">
        <v>1767853499</v>
      </c>
      <c r="P1581" s="242">
        <v>1767853499</v>
      </c>
      <c r="Q1581" s="825"/>
      <c r="R1581" s="825"/>
      <c r="S1581" s="242"/>
      <c r="T1581" s="242"/>
      <c r="U1581" s="242"/>
      <c r="V1581" s="242"/>
      <c r="W1581" s="242"/>
      <c r="X1581" s="242" t="s">
        <v>7990</v>
      </c>
      <c r="Y1581" s="242"/>
      <c r="Z1581" s="35"/>
      <c r="AA1581" s="1" t="str">
        <f>IFERROR(VLOOKUP(D:D,[1]Габариты!$A:$I,9,0),"")</f>
        <v>Вакансия</v>
      </c>
      <c r="AB1581" s="6" t="str">
        <f>IFERROR(VLOOKUP(D:D,[1]Габариты!$A:$D,4,0),"")</f>
        <v>ТУМБЫ ПРИКРОВАТНЫЕ</v>
      </c>
      <c r="AC1581" s="39" t="str">
        <f t="shared" si="208"/>
        <v>MK262010151</v>
      </c>
      <c r="AD1581" s="13" t="str">
        <f t="shared" si="209"/>
        <v>FBO</v>
      </c>
    </row>
    <row r="1582" spans="1:30" s="6" customFormat="1" ht="20.100000000000001" customHeight="1" outlineLevel="1" x14ac:dyDescent="0.25">
      <c r="A1582" s="631" t="s">
        <v>4377</v>
      </c>
      <c r="B1582" s="29"/>
      <c r="C1582" s="13" t="s">
        <v>2582</v>
      </c>
      <c r="D1582" s="40" t="s">
        <v>4376</v>
      </c>
      <c r="E1582" s="4">
        <v>30</v>
      </c>
      <c r="F1582" s="101" t="s">
        <v>6242</v>
      </c>
      <c r="G1582" s="57"/>
      <c r="H1582" s="4" t="s">
        <v>6966</v>
      </c>
      <c r="I1582" s="4"/>
      <c r="J1582" s="4"/>
      <c r="K1582" s="54"/>
      <c r="L1582" s="57"/>
      <c r="M1582" s="57"/>
      <c r="N1582" s="4" t="s">
        <v>4375</v>
      </c>
      <c r="O1582" s="4">
        <v>1626380353</v>
      </c>
      <c r="P1582" s="4">
        <v>1626380353</v>
      </c>
      <c r="Q1582" s="767"/>
      <c r="R1582" s="767"/>
      <c r="S1582" s="4"/>
      <c r="T1582" s="4"/>
      <c r="U1582" s="4"/>
      <c r="V1582" s="4"/>
      <c r="W1582" s="4"/>
      <c r="X1582" s="4" t="s">
        <v>4375</v>
      </c>
      <c r="Y1582" s="4" t="s">
        <v>4376</v>
      </c>
      <c r="Z1582" s="35"/>
      <c r="AA1582" s="1" t="str">
        <f>IFERROR(VLOOKUP(D:D,[1]Габариты!$A:$I,9,0),"")</f>
        <v>Вакансия</v>
      </c>
      <c r="AB1582" s="6" t="str">
        <f>IFERROR(VLOOKUP(D:D,[1]Габариты!$A:$D,4,0),"")</f>
        <v>ТУМБЫ ПРИКРОВАТНЫЕ</v>
      </c>
      <c r="AC1582" s="39" t="str">
        <f t="shared" si="208"/>
        <v>MK2630101</v>
      </c>
      <c r="AD1582" s="13" t="str">
        <f t="shared" si="209"/>
        <v>FBO</v>
      </c>
    </row>
    <row r="1583" spans="1:30" s="6" customFormat="1" ht="20.100000000000001" customHeight="1" outlineLevel="1" x14ac:dyDescent="0.25">
      <c r="A1583" s="631" t="s">
        <v>4418</v>
      </c>
      <c r="B1583" s="29"/>
      <c r="C1583" s="13" t="s">
        <v>2582</v>
      </c>
      <c r="D1583" s="46" t="s">
        <v>4415</v>
      </c>
      <c r="E1583" s="4">
        <v>36</v>
      </c>
      <c r="F1583" s="101" t="s">
        <v>6320</v>
      </c>
      <c r="G1583" s="57" t="s">
        <v>5150</v>
      </c>
      <c r="H1583" s="4" t="s">
        <v>6959</v>
      </c>
      <c r="I1583" s="4"/>
      <c r="J1583" s="4" t="s">
        <v>7600</v>
      </c>
      <c r="K1583" s="54" t="s">
        <v>6320</v>
      </c>
      <c r="L1583" s="57">
        <v>1773148837</v>
      </c>
      <c r="M1583" s="57">
        <v>1773148837</v>
      </c>
      <c r="N1583" s="4" t="s">
        <v>4432</v>
      </c>
      <c r="O1583" s="4">
        <v>1630680762</v>
      </c>
      <c r="P1583" s="4">
        <v>1630680762</v>
      </c>
      <c r="Q1583" s="767"/>
      <c r="R1583" s="767"/>
      <c r="S1583" s="4"/>
      <c r="T1583" s="4"/>
      <c r="U1583" s="4"/>
      <c r="V1583" s="4"/>
      <c r="W1583" s="4"/>
      <c r="X1583" s="4" t="s">
        <v>4432</v>
      </c>
      <c r="Y1583" s="4"/>
      <c r="Z1583" s="35"/>
      <c r="AA1583" s="1" t="str">
        <f>IFERROR(VLOOKUP(D:D,[1]Габариты!$A:$I,9,0),"")</f>
        <v>Вакансия</v>
      </c>
      <c r="AB1583" s="6" t="str">
        <f>IFERROR(VLOOKUP(D:D,[1]Габариты!$A:$D,4,0),"")</f>
        <v>ТУМБЫ ПРИКРОВАТНЫЕ</v>
      </c>
      <c r="AC1583" s="39" t="str">
        <f t="shared" si="208"/>
        <v>3918.06/01</v>
      </c>
      <c r="AD1583" s="13" t="str">
        <f t="shared" si="209"/>
        <v>FBO</v>
      </c>
    </row>
    <row r="1584" spans="1:30" s="6" customFormat="1" ht="20.100000000000001" customHeight="1" outlineLevel="1" x14ac:dyDescent="0.25">
      <c r="A1584" s="631" t="s">
        <v>4419</v>
      </c>
      <c r="B1584" s="29"/>
      <c r="C1584" s="13" t="s">
        <v>2582</v>
      </c>
      <c r="D1584" s="46" t="s">
        <v>4416</v>
      </c>
      <c r="E1584" s="4">
        <v>34</v>
      </c>
      <c r="F1584" s="101" t="s">
        <v>6321</v>
      </c>
      <c r="G1584" s="57" t="s">
        <v>5151</v>
      </c>
      <c r="H1584" s="4" t="s">
        <v>6960</v>
      </c>
      <c r="I1584" s="4"/>
      <c r="J1584" s="4" t="s">
        <v>7601</v>
      </c>
      <c r="K1584" s="54" t="s">
        <v>6321</v>
      </c>
      <c r="L1584" s="57">
        <v>1773155123</v>
      </c>
      <c r="M1584" s="57">
        <v>1773155123</v>
      </c>
      <c r="N1584" s="4" t="s">
        <v>4431</v>
      </c>
      <c r="O1584" s="4">
        <v>1630676337</v>
      </c>
      <c r="P1584" s="4">
        <v>1630676337</v>
      </c>
      <c r="Q1584" s="767"/>
      <c r="R1584" s="767"/>
      <c r="S1584" s="4"/>
      <c r="T1584" s="4"/>
      <c r="U1584" s="4"/>
      <c r="V1584" s="4"/>
      <c r="W1584" s="4"/>
      <c r="X1584" s="4" t="s">
        <v>4431</v>
      </c>
      <c r="Y1584" s="4"/>
      <c r="Z1584" s="35"/>
      <c r="AA1584" s="1" t="str">
        <f>IFERROR(VLOOKUP(D:D,[1]Габариты!$A:$I,9,0),"")</f>
        <v>Вакансия</v>
      </c>
      <c r="AB1584" s="6" t="str">
        <f>IFERROR(VLOOKUP(D:D,[1]Габариты!$A:$D,4,0),"")</f>
        <v>ТУМБЫ ПРИКРОВАТНЫЕ</v>
      </c>
      <c r="AC1584" s="39" t="str">
        <f t="shared" si="208"/>
        <v>3919.05/01</v>
      </c>
      <c r="AD1584" s="13" t="str">
        <f t="shared" si="209"/>
        <v>FBO</v>
      </c>
    </row>
    <row r="1585" spans="1:30" s="6" customFormat="1" ht="20.100000000000001" customHeight="1" outlineLevel="1" x14ac:dyDescent="0.25">
      <c r="A1585" s="631" t="s">
        <v>8222</v>
      </c>
      <c r="B1585" s="29"/>
      <c r="C1585" s="361" t="s">
        <v>2582</v>
      </c>
      <c r="D1585" s="370" t="s">
        <v>8221</v>
      </c>
      <c r="E1585" s="363">
        <v>34</v>
      </c>
      <c r="F1585" s="364" t="s">
        <v>8261</v>
      </c>
      <c r="G1585" s="365"/>
      <c r="H1585" s="363" t="s">
        <v>8223</v>
      </c>
      <c r="I1585" s="363"/>
      <c r="J1585" s="363"/>
      <c r="K1585" s="364"/>
      <c r="L1585" s="365"/>
      <c r="M1585" s="365"/>
      <c r="N1585" s="363" t="s">
        <v>8229</v>
      </c>
      <c r="O1585" s="363">
        <v>1844035809</v>
      </c>
      <c r="P1585" s="363">
        <v>1844035809</v>
      </c>
      <c r="Q1585" s="802"/>
      <c r="R1585" s="802"/>
      <c r="S1585" s="363"/>
      <c r="T1585" s="363"/>
      <c r="U1585" s="363"/>
      <c r="V1585" s="363"/>
      <c r="W1585" s="363"/>
      <c r="X1585" s="363" t="s">
        <v>8229</v>
      </c>
      <c r="Y1585" s="363"/>
      <c r="Z1585" s="35"/>
      <c r="AA1585" s="1" t="str">
        <f>IFERROR(VLOOKUP(D:D,[1]Габариты!$A:$I,9,0),"")</f>
        <v>Вакансия</v>
      </c>
      <c r="AB1585" s="6" t="str">
        <f>IFERROR(VLOOKUP(D:D,[1]Габариты!$A:$D,4,0),"")</f>
        <v>ТУМБЫ ПРИКРОВАТНЫЕ</v>
      </c>
      <c r="AC1585" s="39" t="str">
        <f t="shared" si="208"/>
        <v>4008.02.03/01</v>
      </c>
      <c r="AD1585" s="361" t="str">
        <f t="shared" si="209"/>
        <v>FBO</v>
      </c>
    </row>
    <row r="1586" spans="1:30" s="6" customFormat="1" ht="20.100000000000001" customHeight="1" outlineLevel="1" x14ac:dyDescent="0.25">
      <c r="A1586" s="635" t="s">
        <v>3432</v>
      </c>
      <c r="B1586" s="29"/>
      <c r="C1586" s="13" t="s">
        <v>2582</v>
      </c>
      <c r="D1586" s="40">
        <v>4071</v>
      </c>
      <c r="E1586" s="4">
        <v>58</v>
      </c>
      <c r="F1586" s="101">
        <v>4071</v>
      </c>
      <c r="G1586" s="57"/>
      <c r="H1586" s="4" t="s">
        <v>6942</v>
      </c>
      <c r="I1586" s="4"/>
      <c r="J1586" s="4" t="s">
        <v>3684</v>
      </c>
      <c r="K1586" s="54"/>
      <c r="L1586" s="57"/>
      <c r="M1586" s="57"/>
      <c r="N1586" s="4" t="s">
        <v>3461</v>
      </c>
      <c r="O1586" s="4">
        <v>1042790488</v>
      </c>
      <c r="P1586" s="4">
        <v>1042790490</v>
      </c>
      <c r="Q1586" s="767"/>
      <c r="R1586" s="767"/>
      <c r="S1586" s="4"/>
      <c r="T1586" s="4" t="s">
        <v>4079</v>
      </c>
      <c r="U1586" s="4">
        <v>1480173940</v>
      </c>
      <c r="V1586" s="4">
        <v>1480173940</v>
      </c>
      <c r="W1586" s="4"/>
      <c r="X1586" s="4" t="s">
        <v>3461</v>
      </c>
      <c r="Y1586" s="4">
        <v>4071</v>
      </c>
      <c r="Z1586" s="35"/>
      <c r="AA1586" s="1" t="str">
        <f>IFERROR(VLOOKUP(D:D,[1]Габариты!$A:$I,9,0),"")</f>
        <v>Вакансия</v>
      </c>
      <c r="AB1586" s="6" t="str">
        <f>IFERROR(VLOOKUP(D:D,[1]Габариты!$A:$D,4,0),"")</f>
        <v>ТУМБЫ ПРИКРОВАТНЫЕ</v>
      </c>
      <c r="AC1586" s="39">
        <f t="shared" si="208"/>
        <v>4071</v>
      </c>
      <c r="AD1586" s="13" t="str">
        <f t="shared" si="209"/>
        <v>FBO</v>
      </c>
    </row>
    <row r="1587" spans="1:30" s="6" customFormat="1" ht="20.100000000000001" customHeight="1" outlineLevel="1" x14ac:dyDescent="0.25">
      <c r="A1587" s="631" t="s">
        <v>987</v>
      </c>
      <c r="B1587" s="29"/>
      <c r="C1587" s="13" t="s">
        <v>2582</v>
      </c>
      <c r="D1587" s="40">
        <v>3510</v>
      </c>
      <c r="E1587" s="4">
        <v>33</v>
      </c>
      <c r="F1587" s="101">
        <v>3510</v>
      </c>
      <c r="G1587" s="57" t="s">
        <v>5075</v>
      </c>
      <c r="H1587" s="4" t="s">
        <v>6937</v>
      </c>
      <c r="I1587" s="4"/>
      <c r="J1587" s="4"/>
      <c r="K1587" s="54" t="s">
        <v>2487</v>
      </c>
      <c r="L1587" s="57">
        <v>1213023867</v>
      </c>
      <c r="M1587" s="57">
        <v>1213023867</v>
      </c>
      <c r="N1587" s="4" t="s">
        <v>1009</v>
      </c>
      <c r="O1587" s="4">
        <v>593974018</v>
      </c>
      <c r="P1587" s="4">
        <v>593974017</v>
      </c>
      <c r="Q1587" s="767"/>
      <c r="R1587" s="767"/>
      <c r="S1587" s="4"/>
      <c r="T1587" s="4"/>
      <c r="U1587" s="4"/>
      <c r="V1587" s="4"/>
      <c r="W1587" s="4" t="s">
        <v>2487</v>
      </c>
      <c r="X1587" s="4" t="s">
        <v>1009</v>
      </c>
      <c r="Y1587" s="4" t="s">
        <v>4066</v>
      </c>
      <c r="Z1587" s="35"/>
      <c r="AA1587" s="1" t="str">
        <f>IFERROR(VLOOKUP(D:D,[1]Габариты!$A:$I,9,0),"")</f>
        <v>Вакансия</v>
      </c>
      <c r="AB1587" s="6" t="str">
        <f>IFERROR(VLOOKUP(D:D,[1]Габариты!$A:$D,4,0),"")</f>
        <v>ТУМБЫ ПРИКРОВАТНЫЕ</v>
      </c>
      <c r="AC1587" s="39">
        <f>D1587</f>
        <v>3510</v>
      </c>
      <c r="AD1587" s="13" t="str">
        <f>C1587</f>
        <v>FBO</v>
      </c>
    </row>
    <row r="1588" spans="1:30" s="6" customFormat="1" ht="20.100000000000001" customHeight="1" outlineLevel="1" x14ac:dyDescent="0.25">
      <c r="A1588" s="702" t="s">
        <v>7569</v>
      </c>
      <c r="B1588" s="163"/>
      <c r="C1588" s="164" t="s">
        <v>2582</v>
      </c>
      <c r="D1588" s="165" t="s">
        <v>7568</v>
      </c>
      <c r="E1588" s="166">
        <v>24</v>
      </c>
      <c r="F1588" s="167" t="s">
        <v>7608</v>
      </c>
      <c r="G1588" s="168" t="s">
        <v>7609</v>
      </c>
      <c r="H1588" s="166" t="s">
        <v>7567</v>
      </c>
      <c r="I1588" s="166"/>
      <c r="J1588" s="166"/>
      <c r="K1588" s="167"/>
      <c r="L1588" s="168"/>
      <c r="M1588" s="168"/>
      <c r="N1588" s="848" t="s">
        <v>7645</v>
      </c>
      <c r="O1588" s="166">
        <v>1719596164</v>
      </c>
      <c r="P1588" s="166">
        <v>1719596164</v>
      </c>
      <c r="Q1588" s="793"/>
      <c r="R1588" s="793"/>
      <c r="S1588" s="166"/>
      <c r="T1588" s="166"/>
      <c r="U1588" s="166"/>
      <c r="V1588" s="166"/>
      <c r="W1588" s="166"/>
      <c r="X1588" s="166" t="s">
        <v>7645</v>
      </c>
      <c r="Y1588" s="166"/>
      <c r="Z1588" s="35"/>
      <c r="AA1588" s="1" t="str">
        <f>IFERROR(VLOOKUP(D:D,[1]Габариты!$A:$I,9,0),"")</f>
        <v>Вакансия</v>
      </c>
      <c r="AB1588" s="6" t="str">
        <f>IFERROR(VLOOKUP(D:D,[1]Габариты!$A:$D,4,0),"")</f>
        <v>ТУМБЫ ПРИКРОВАТНЫЕ</v>
      </c>
      <c r="AC1588" s="39" t="str">
        <f>D1588</f>
        <v>3962.17.09/01</v>
      </c>
      <c r="AD1588" s="13" t="str">
        <f>C1588</f>
        <v>FBO</v>
      </c>
    </row>
    <row r="1589" spans="1:30" s="1" customFormat="1" ht="20.100000000000001" customHeight="1" outlineLevel="1" x14ac:dyDescent="0.2">
      <c r="A1589" s="754" t="s">
        <v>438</v>
      </c>
      <c r="B1589" s="754" t="s">
        <v>3846</v>
      </c>
      <c r="C1589" s="13"/>
      <c r="D1589" s="42"/>
      <c r="E1589" s="4"/>
      <c r="F1589" s="101"/>
      <c r="G1589" s="57"/>
      <c r="H1589" s="4"/>
      <c r="I1589" s="4"/>
      <c r="J1589" s="4"/>
      <c r="K1589" s="54"/>
      <c r="L1589" s="57"/>
      <c r="M1589" s="57"/>
      <c r="N1589" s="766"/>
      <c r="O1589" s="4"/>
      <c r="P1589" s="4"/>
      <c r="Q1589" s="767"/>
      <c r="R1589" s="767"/>
      <c r="S1589" s="4"/>
      <c r="T1589" s="4"/>
      <c r="U1589" s="4"/>
      <c r="V1589" s="4"/>
      <c r="W1589" s="4"/>
      <c r="X1589" s="4"/>
      <c r="Y1589" s="4" t="s">
        <v>4066</v>
      </c>
      <c r="Z1589" s="35"/>
      <c r="AA1589" s="1" t="str">
        <f>IFERROR(VLOOKUP(D:D,[1]Габариты!$A:$I,9,0),"")</f>
        <v/>
      </c>
      <c r="AB1589" s="6" t="str">
        <f>IFERROR(VLOOKUP(D:D,[1]Габариты!$A:$D,4,0),"")</f>
        <v/>
      </c>
      <c r="AC1589" s="39"/>
      <c r="AD1589" s="3"/>
    </row>
    <row r="1590" spans="1:30" s="6" customFormat="1" ht="20.100000000000001" customHeight="1" outlineLevel="1" x14ac:dyDescent="0.25">
      <c r="A1590" s="665" t="s">
        <v>1060</v>
      </c>
      <c r="B1590" s="2"/>
      <c r="C1590" s="13" t="s">
        <v>3172</v>
      </c>
      <c r="D1590" s="39">
        <v>19010</v>
      </c>
      <c r="E1590" s="4"/>
      <c r="F1590" s="101">
        <v>19010</v>
      </c>
      <c r="G1590" s="57"/>
      <c r="H1590" s="4"/>
      <c r="I1590" s="4" t="s">
        <v>1344</v>
      </c>
      <c r="J1590" s="4"/>
      <c r="K1590" s="54"/>
      <c r="L1590" s="57"/>
      <c r="M1590" s="57"/>
      <c r="N1590" s="766"/>
      <c r="O1590" s="4"/>
      <c r="P1590" s="4"/>
      <c r="Q1590" s="767" t="s">
        <v>2964</v>
      </c>
      <c r="R1590" s="767">
        <v>640615083</v>
      </c>
      <c r="S1590" s="4">
        <v>640615084</v>
      </c>
      <c r="T1590" s="4"/>
      <c r="U1590" s="4"/>
      <c r="V1590" s="4"/>
      <c r="W1590" s="4"/>
      <c r="X1590" s="4"/>
      <c r="Y1590" s="4" t="s">
        <v>4066</v>
      </c>
      <c r="Z1590" s="35"/>
      <c r="AA1590" s="1" t="str">
        <f>IFERROR(VLOOKUP(D:D,[1]Габариты!$A:$I,9,0),"")</f>
        <v>Вакансия</v>
      </c>
      <c r="AB1590" s="6" t="str">
        <f>IFERROR(VLOOKUP(D:D,[1]Габариты!$A:$D,4,0),"")</f>
        <v>ШЕЗЛОНГ</v>
      </c>
      <c r="AC1590" s="39">
        <f t="shared" si="205"/>
        <v>19010</v>
      </c>
      <c r="AD1590" s="13" t="str">
        <f t="shared" si="204"/>
        <v xml:space="preserve">СКГТ </v>
      </c>
    </row>
    <row r="1591" spans="1:30" s="6" customFormat="1" ht="20.100000000000001" customHeight="1" outlineLevel="1" x14ac:dyDescent="0.25">
      <c r="A1591" s="665" t="s">
        <v>312</v>
      </c>
      <c r="B1591" s="2"/>
      <c r="C1591" s="13" t="s">
        <v>2581</v>
      </c>
      <c r="D1591" s="39">
        <v>9380</v>
      </c>
      <c r="E1591" s="4"/>
      <c r="F1591" s="101">
        <v>9380</v>
      </c>
      <c r="G1591" s="57"/>
      <c r="H1591" s="4" t="s">
        <v>7403</v>
      </c>
      <c r="I1591" s="4"/>
      <c r="J1591" s="4"/>
      <c r="K1591" s="54"/>
      <c r="L1591" s="57"/>
      <c r="M1591" s="57"/>
      <c r="N1591" s="4" t="s">
        <v>2669</v>
      </c>
      <c r="O1591" s="818">
        <v>277033718</v>
      </c>
      <c r="P1591" s="818">
        <v>277033722</v>
      </c>
      <c r="Q1591" s="767"/>
      <c r="R1591" s="767"/>
      <c r="S1591" s="4"/>
      <c r="T1591" s="4"/>
      <c r="U1591" s="4"/>
      <c r="V1591" s="4"/>
      <c r="W1591" s="4"/>
      <c r="X1591" s="4"/>
      <c r="Y1591" s="4" t="s">
        <v>4066</v>
      </c>
      <c r="Z1591" s="35"/>
      <c r="AA1591" s="1" t="str">
        <f>IFERROR(VLOOKUP(D:D,[1]Габариты!$A:$I,9,0),"")</f>
        <v>Вакансия</v>
      </c>
      <c r="AB1591" s="6" t="str">
        <f>IFERROR(VLOOKUP(D:D,[1]Габариты!$A:$D,4,0),"")</f>
        <v>ШЕЗЛОНГ</v>
      </c>
      <c r="AC1591" s="39">
        <f t="shared" si="205"/>
        <v>9380</v>
      </c>
      <c r="AD1591" s="13" t="str">
        <f t="shared" si="204"/>
        <v>FBS</v>
      </c>
    </row>
    <row r="1592" spans="1:30" s="6" customFormat="1" ht="20.100000000000001" customHeight="1" outlineLevel="1" x14ac:dyDescent="0.25">
      <c r="A1592" s="665" t="s">
        <v>321</v>
      </c>
      <c r="B1592" s="2"/>
      <c r="C1592" s="13" t="s">
        <v>2581</v>
      </c>
      <c r="D1592" s="39">
        <v>12473</v>
      </c>
      <c r="E1592" s="4"/>
      <c r="F1592" s="101">
        <v>12473</v>
      </c>
      <c r="G1592" s="57"/>
      <c r="H1592" s="4" t="s">
        <v>7404</v>
      </c>
      <c r="I1592" s="4"/>
      <c r="J1592" s="4"/>
      <c r="K1592" s="54"/>
      <c r="L1592" s="57"/>
      <c r="M1592" s="57"/>
      <c r="N1592" s="806" t="s">
        <v>7687</v>
      </c>
      <c r="O1592" s="4">
        <v>289209170</v>
      </c>
      <c r="P1592" s="4">
        <v>289209187</v>
      </c>
      <c r="Q1592" s="767"/>
      <c r="R1592" s="767"/>
      <c r="S1592" s="4"/>
      <c r="T1592" s="4"/>
      <c r="U1592" s="4"/>
      <c r="V1592" s="4"/>
      <c r="W1592" s="4"/>
      <c r="X1592" s="4"/>
      <c r="Y1592" s="4" t="s">
        <v>4066</v>
      </c>
      <c r="Z1592" s="35"/>
      <c r="AA1592" s="1" t="str">
        <f>IFERROR(VLOOKUP(D:D,[1]Габариты!$A:$I,9,0),"")</f>
        <v>Вакансия</v>
      </c>
      <c r="AB1592" s="6" t="str">
        <f>IFERROR(VLOOKUP(D:D,[1]Габариты!$A:$D,4,0),"")</f>
        <v>ШЕЗЛОНГ</v>
      </c>
      <c r="AC1592" s="39">
        <f t="shared" si="205"/>
        <v>12473</v>
      </c>
      <c r="AD1592" s="13" t="str">
        <f t="shared" si="204"/>
        <v>FBS</v>
      </c>
    </row>
    <row r="1593" spans="1:30" s="6" customFormat="1" ht="20.100000000000001" customHeight="1" outlineLevel="1" x14ac:dyDescent="0.25">
      <c r="A1593" s="665" t="s">
        <v>311</v>
      </c>
      <c r="B1593" s="2"/>
      <c r="C1593" s="13" t="s">
        <v>2581</v>
      </c>
      <c r="D1593" s="39">
        <v>9379</v>
      </c>
      <c r="E1593" s="4"/>
      <c r="F1593" s="101">
        <v>9379</v>
      </c>
      <c r="G1593" s="57"/>
      <c r="H1593" s="4" t="s">
        <v>7405</v>
      </c>
      <c r="I1593" s="4"/>
      <c r="J1593" s="4"/>
      <c r="K1593" s="54"/>
      <c r="L1593" s="57"/>
      <c r="M1593" s="57"/>
      <c r="N1593" s="4"/>
      <c r="O1593" s="4"/>
      <c r="P1593" s="4"/>
      <c r="Q1593" s="767"/>
      <c r="R1593" s="767"/>
      <c r="S1593" s="4"/>
      <c r="T1593" s="4"/>
      <c r="U1593" s="4"/>
      <c r="V1593" s="4"/>
      <c r="W1593" s="4"/>
      <c r="X1593" s="4"/>
      <c r="Y1593" s="4" t="s">
        <v>4066</v>
      </c>
      <c r="Z1593" s="35"/>
      <c r="AA1593" s="1" t="str">
        <f>IFERROR(VLOOKUP(D:D,[1]Габариты!$A:$I,9,0),"")</f>
        <v>Вакансия</v>
      </c>
      <c r="AB1593" s="6" t="str">
        <f>IFERROR(VLOOKUP(D:D,[1]Габариты!$A:$D,4,0),"")</f>
        <v>ШЕЗЛОНГ</v>
      </c>
      <c r="AC1593" s="39">
        <f t="shared" si="205"/>
        <v>9379</v>
      </c>
      <c r="AD1593" s="13" t="str">
        <f t="shared" si="204"/>
        <v>FBS</v>
      </c>
    </row>
    <row r="1594" spans="1:30" s="6" customFormat="1" ht="20.100000000000001" customHeight="1" outlineLevel="1" x14ac:dyDescent="0.25">
      <c r="A1594" s="665" t="s">
        <v>1020</v>
      </c>
      <c r="B1594" s="2"/>
      <c r="C1594" s="13" t="s">
        <v>2581</v>
      </c>
      <c r="D1594" s="39">
        <v>19379</v>
      </c>
      <c r="E1594" s="4"/>
      <c r="F1594" s="101">
        <v>19379</v>
      </c>
      <c r="G1594" s="57"/>
      <c r="H1594" s="4"/>
      <c r="I1594" s="4" t="s">
        <v>1342</v>
      </c>
      <c r="J1594" s="4"/>
      <c r="K1594" s="54"/>
      <c r="L1594" s="57"/>
      <c r="M1594" s="57"/>
      <c r="N1594" s="766"/>
      <c r="O1594" s="4"/>
      <c r="P1594" s="4"/>
      <c r="Q1594" s="767" t="s">
        <v>2962</v>
      </c>
      <c r="R1594" s="767">
        <v>608090560</v>
      </c>
      <c r="S1594" s="4">
        <v>608090556</v>
      </c>
      <c r="T1594" s="4"/>
      <c r="U1594" s="4"/>
      <c r="V1594" s="4"/>
      <c r="W1594" s="4"/>
      <c r="X1594" s="4"/>
      <c r="Y1594" s="4" t="s">
        <v>4066</v>
      </c>
      <c r="Z1594" s="35"/>
      <c r="AA1594" s="1" t="str">
        <f>IFERROR(VLOOKUP(D:D,[1]Габариты!$A:$I,9,0),"")</f>
        <v>Вакансия</v>
      </c>
      <c r="AB1594" s="6" t="str">
        <f>IFERROR(VLOOKUP(D:D,[1]Габариты!$A:$D,4,0),"")</f>
        <v>ШЕЗЛОНГ</v>
      </c>
      <c r="AC1594" s="39">
        <f t="shared" si="205"/>
        <v>19379</v>
      </c>
      <c r="AD1594" s="13" t="str">
        <f t="shared" si="204"/>
        <v>FBS</v>
      </c>
    </row>
    <row r="1595" spans="1:30" s="6" customFormat="1" ht="20.100000000000001" customHeight="1" outlineLevel="1" x14ac:dyDescent="0.25">
      <c r="A1595" s="665" t="s">
        <v>1021</v>
      </c>
      <c r="B1595" s="2"/>
      <c r="C1595" s="13" t="s">
        <v>2581</v>
      </c>
      <c r="D1595" s="39">
        <v>19380</v>
      </c>
      <c r="E1595" s="4"/>
      <c r="F1595" s="101">
        <v>19380</v>
      </c>
      <c r="G1595" s="57"/>
      <c r="H1595" s="4"/>
      <c r="I1595" s="4" t="s">
        <v>1343</v>
      </c>
      <c r="J1595" s="4"/>
      <c r="K1595" s="54"/>
      <c r="L1595" s="57"/>
      <c r="M1595" s="57"/>
      <c r="N1595" s="766"/>
      <c r="O1595" s="4"/>
      <c r="P1595" s="4"/>
      <c r="Q1595" s="767" t="s">
        <v>2963</v>
      </c>
      <c r="R1595" s="767">
        <v>608136185</v>
      </c>
      <c r="S1595" s="4">
        <v>608136184</v>
      </c>
      <c r="T1595" s="4"/>
      <c r="U1595" s="4"/>
      <c r="V1595" s="4"/>
      <c r="W1595" s="4"/>
      <c r="X1595" s="4"/>
      <c r="Y1595" s="4" t="s">
        <v>4066</v>
      </c>
      <c r="Z1595" s="35"/>
      <c r="AA1595" s="1" t="str">
        <f>IFERROR(VLOOKUP(D:D,[1]Габариты!$A:$I,9,0),"")</f>
        <v>Вакансия</v>
      </c>
      <c r="AB1595" s="6" t="str">
        <f>IFERROR(VLOOKUP(D:D,[1]Габариты!$A:$D,4,0),"")</f>
        <v>ШЕЗЛОНГ</v>
      </c>
      <c r="AC1595" s="39">
        <f t="shared" si="205"/>
        <v>19380</v>
      </c>
      <c r="AD1595" s="13" t="str">
        <f t="shared" si="204"/>
        <v>FBS</v>
      </c>
    </row>
    <row r="1596" spans="1:30" s="1" customFormat="1" ht="20.100000000000001" customHeight="1" outlineLevel="1" x14ac:dyDescent="0.2">
      <c r="A1596" s="753" t="s">
        <v>439</v>
      </c>
      <c r="B1596" s="753" t="s">
        <v>3846</v>
      </c>
      <c r="C1596" s="13"/>
      <c r="D1596" s="42"/>
      <c r="E1596" s="4"/>
      <c r="F1596" s="101"/>
      <c r="G1596" s="57"/>
      <c r="H1596" s="4"/>
      <c r="I1596" s="4"/>
      <c r="J1596" s="4"/>
      <c r="K1596" s="54"/>
      <c r="L1596" s="57"/>
      <c r="M1596" s="57"/>
      <c r="N1596" s="766"/>
      <c r="O1596" s="4"/>
      <c r="P1596" s="4"/>
      <c r="Q1596" s="767"/>
      <c r="R1596" s="767"/>
      <c r="S1596" s="4"/>
      <c r="T1596" s="4"/>
      <c r="U1596" s="4"/>
      <c r="V1596" s="4"/>
      <c r="W1596" s="4"/>
      <c r="X1596" s="4"/>
      <c r="Y1596" s="4" t="s">
        <v>4066</v>
      </c>
      <c r="Z1596" s="35"/>
      <c r="AA1596" s="1" t="str">
        <f>IFERROR(VLOOKUP(D:D,[1]Габариты!$A:$I,9,0),"")</f>
        <v/>
      </c>
      <c r="AB1596" s="6" t="str">
        <f>IFERROR(VLOOKUP(D:D,[1]Габариты!$A:$D,4,0),"")</f>
        <v/>
      </c>
      <c r="AC1596" s="39"/>
      <c r="AD1596" s="3"/>
    </row>
    <row r="1597" spans="1:30" s="6" customFormat="1" ht="20.100000000000001" customHeight="1" outlineLevel="1" x14ac:dyDescent="0.25">
      <c r="A1597" s="665" t="s">
        <v>293</v>
      </c>
      <c r="B1597" s="2"/>
      <c r="C1597" s="13" t="s">
        <v>2581</v>
      </c>
      <c r="D1597" s="40">
        <v>3076</v>
      </c>
      <c r="E1597" s="4">
        <v>29</v>
      </c>
      <c r="F1597" s="101">
        <v>3076</v>
      </c>
      <c r="G1597" s="57" t="s">
        <v>4992</v>
      </c>
      <c r="H1597" s="4" t="s">
        <v>7406</v>
      </c>
      <c r="I1597" s="4"/>
      <c r="J1597" s="4"/>
      <c r="K1597" s="54"/>
      <c r="L1597" s="57"/>
      <c r="M1597" s="57"/>
      <c r="N1597" s="4" t="s">
        <v>765</v>
      </c>
      <c r="O1597" s="4">
        <v>298162394</v>
      </c>
      <c r="P1597" s="4">
        <v>298162444</v>
      </c>
      <c r="Q1597" s="767" t="s">
        <v>2966</v>
      </c>
      <c r="R1597" s="767">
        <v>375601317</v>
      </c>
      <c r="S1597" s="4">
        <v>375601318</v>
      </c>
      <c r="T1597" s="4"/>
      <c r="U1597" s="4"/>
      <c r="V1597" s="4"/>
      <c r="W1597" s="4" t="s">
        <v>2490</v>
      </c>
      <c r="X1597" s="4" t="s">
        <v>765</v>
      </c>
      <c r="Y1597" s="4" t="s">
        <v>4066</v>
      </c>
      <c r="Z1597" s="35"/>
      <c r="AA1597" s="1" t="str">
        <f>IFERROR(VLOOKUP(D:D,[1]Габариты!$A:$I,9,0),"")</f>
        <v>Вакансия</v>
      </c>
      <c r="AB1597" s="6" t="str">
        <f>IFERROR(VLOOKUP(D:D,[1]Габариты!$A:$D,4,0),"")</f>
        <v>ШКАФЫ</v>
      </c>
      <c r="AC1597" s="39">
        <f t="shared" si="205"/>
        <v>3076</v>
      </c>
      <c r="AD1597" s="13" t="str">
        <f t="shared" si="204"/>
        <v>FBS</v>
      </c>
    </row>
    <row r="1598" spans="1:30" s="6" customFormat="1" ht="20.100000000000001" customHeight="1" outlineLevel="1" x14ac:dyDescent="0.25">
      <c r="A1598" s="665" t="s">
        <v>449</v>
      </c>
      <c r="B1598" s="20"/>
      <c r="C1598" s="13" t="s">
        <v>2581</v>
      </c>
      <c r="D1598" s="879">
        <v>3078</v>
      </c>
      <c r="E1598" s="4">
        <v>29</v>
      </c>
      <c r="F1598" s="101">
        <v>3078</v>
      </c>
      <c r="G1598" s="57" t="s">
        <v>4994</v>
      </c>
      <c r="H1598" s="4" t="s">
        <v>7407</v>
      </c>
      <c r="I1598" s="4"/>
      <c r="J1598" s="4"/>
      <c r="K1598" s="54"/>
      <c r="L1598" s="57"/>
      <c r="M1598" s="57"/>
      <c r="N1598" s="4" t="s">
        <v>767</v>
      </c>
      <c r="O1598" s="4">
        <v>373525551</v>
      </c>
      <c r="P1598" s="4">
        <v>373525550</v>
      </c>
      <c r="Q1598" s="767" t="s">
        <v>2970</v>
      </c>
      <c r="R1598" s="767">
        <v>373426092</v>
      </c>
      <c r="S1598" s="4">
        <v>373426093</v>
      </c>
      <c r="T1598" s="4"/>
      <c r="U1598" s="4"/>
      <c r="V1598" s="4"/>
      <c r="W1598" s="4" t="s">
        <v>2496</v>
      </c>
      <c r="X1598" s="4" t="s">
        <v>767</v>
      </c>
      <c r="Y1598" s="4" t="s">
        <v>4066</v>
      </c>
      <c r="Z1598" s="35"/>
      <c r="AA1598" s="1" t="str">
        <f>IFERROR(VLOOKUP(D:D,[1]Габариты!$A:$I,9,0),"")</f>
        <v>Вакансия</v>
      </c>
      <c r="AB1598" s="6" t="str">
        <f>IFERROR(VLOOKUP(D:D,[1]Габариты!$A:$D,4,0),"")</f>
        <v>ШКАФЫ</v>
      </c>
      <c r="AC1598" s="39">
        <f t="shared" si="205"/>
        <v>3078</v>
      </c>
      <c r="AD1598" s="13" t="str">
        <f t="shared" si="204"/>
        <v>FBS</v>
      </c>
    </row>
    <row r="1599" spans="1:30" s="6" customFormat="1" ht="20.100000000000001" customHeight="1" outlineLevel="1" x14ac:dyDescent="0.25">
      <c r="A1599" s="631" t="s">
        <v>539</v>
      </c>
      <c r="B1599" s="29"/>
      <c r="C1599" s="13" t="s">
        <v>2581</v>
      </c>
      <c r="D1599" s="40">
        <v>3208</v>
      </c>
      <c r="E1599" s="4">
        <v>28</v>
      </c>
      <c r="F1599" s="101">
        <v>3208</v>
      </c>
      <c r="G1599" s="57" t="s">
        <v>5047</v>
      </c>
      <c r="H1599" s="4" t="s">
        <v>7408</v>
      </c>
      <c r="I1599" s="4" t="s">
        <v>2075</v>
      </c>
      <c r="J1599" s="4"/>
      <c r="K1599" s="54"/>
      <c r="L1599" s="57"/>
      <c r="M1599" s="57"/>
      <c r="N1599" s="4" t="s">
        <v>863</v>
      </c>
      <c r="O1599" s="4">
        <v>484882719</v>
      </c>
      <c r="P1599" s="4">
        <v>484882718</v>
      </c>
      <c r="Q1599" s="767"/>
      <c r="R1599" s="767"/>
      <c r="S1599" s="4"/>
      <c r="T1599" s="4"/>
      <c r="U1599" s="4"/>
      <c r="V1599" s="4"/>
      <c r="W1599" s="4" t="s">
        <v>2501</v>
      </c>
      <c r="X1599" s="4" t="s">
        <v>863</v>
      </c>
      <c r="Y1599" s="4" t="s">
        <v>4066</v>
      </c>
      <c r="Z1599" s="35"/>
      <c r="AA1599" s="1" t="str">
        <f>IFERROR(VLOOKUP(D:D,[1]Габариты!$A:$I,9,0),"")</f>
        <v>Вакансия</v>
      </c>
      <c r="AB1599" s="6" t="str">
        <f>IFERROR(VLOOKUP(D:D,[1]Габариты!$A:$D,4,0),"")</f>
        <v>ШКАФЫ</v>
      </c>
      <c r="AC1599" s="39">
        <f t="shared" si="205"/>
        <v>3208</v>
      </c>
      <c r="AD1599" s="13" t="str">
        <f t="shared" si="204"/>
        <v>FBS</v>
      </c>
    </row>
    <row r="1600" spans="1:30" s="6" customFormat="1" ht="20.100000000000001" customHeight="1" outlineLevel="1" x14ac:dyDescent="0.25">
      <c r="A1600" s="635" t="s">
        <v>456</v>
      </c>
      <c r="B1600" s="22"/>
      <c r="C1600" s="13" t="s">
        <v>2582</v>
      </c>
      <c r="D1600" s="883">
        <v>3094</v>
      </c>
      <c r="E1600" s="4">
        <v>36</v>
      </c>
      <c r="F1600" s="101">
        <v>3094</v>
      </c>
      <c r="G1600" s="57" t="s">
        <v>5005</v>
      </c>
      <c r="H1600" s="4" t="s">
        <v>7409</v>
      </c>
      <c r="I1600" s="4"/>
      <c r="J1600" s="4"/>
      <c r="K1600" s="54"/>
      <c r="L1600" s="57"/>
      <c r="M1600" s="57"/>
      <c r="N1600" s="766" t="s">
        <v>777</v>
      </c>
      <c r="O1600" s="4">
        <v>375487016</v>
      </c>
      <c r="P1600" s="4">
        <v>375487015</v>
      </c>
      <c r="Q1600" s="767"/>
      <c r="R1600" s="767">
        <v>375603938</v>
      </c>
      <c r="S1600" s="4">
        <v>375603937</v>
      </c>
      <c r="T1600" s="4"/>
      <c r="U1600" s="4"/>
      <c r="V1600" s="4"/>
      <c r="W1600" s="4" t="s">
        <v>2499</v>
      </c>
      <c r="X1600" s="4" t="s">
        <v>777</v>
      </c>
      <c r="Y1600" s="4" t="s">
        <v>4066</v>
      </c>
      <c r="Z1600" s="35"/>
      <c r="AA1600" s="1" t="str">
        <f>IFERROR(VLOOKUP(D:D,[1]Габариты!$A:$I,9,0),"")</f>
        <v>Вакансия</v>
      </c>
      <c r="AB1600" s="6" t="str">
        <f>IFERROR(VLOOKUP(D:D,[1]Габариты!$A:$D,4,0),"")</f>
        <v>ШКАФЫ</v>
      </c>
      <c r="AC1600" s="39">
        <f t="shared" si="205"/>
        <v>3094</v>
      </c>
      <c r="AD1600" s="13" t="str">
        <f t="shared" si="204"/>
        <v>FBO</v>
      </c>
    </row>
    <row r="1601" spans="1:30" s="6" customFormat="1" ht="20.100000000000001" customHeight="1" outlineLevel="1" x14ac:dyDescent="0.25">
      <c r="A1601" s="631" t="s">
        <v>535</v>
      </c>
      <c r="B1601" s="29"/>
      <c r="C1601" s="13" t="s">
        <v>3172</v>
      </c>
      <c r="D1601" s="40">
        <v>3190</v>
      </c>
      <c r="E1601" s="4">
        <v>10</v>
      </c>
      <c r="F1601" s="101">
        <v>3190</v>
      </c>
      <c r="G1601" s="57" t="s">
        <v>5043</v>
      </c>
      <c r="H1601" s="4" t="s">
        <v>7410</v>
      </c>
      <c r="I1601" s="4"/>
      <c r="J1601" s="4"/>
      <c r="K1601" s="54" t="s">
        <v>2500</v>
      </c>
      <c r="L1601" s="57">
        <v>1055574341</v>
      </c>
      <c r="M1601" s="57">
        <v>1055574341</v>
      </c>
      <c r="N1601" s="4" t="s">
        <v>862</v>
      </c>
      <c r="O1601" s="4">
        <v>465371484</v>
      </c>
      <c r="P1601" s="4">
        <v>465371485</v>
      </c>
      <c r="Q1601" s="767"/>
      <c r="R1601" s="767"/>
      <c r="S1601" s="4"/>
      <c r="T1601" s="4"/>
      <c r="U1601" s="4"/>
      <c r="V1601" s="4"/>
      <c r="W1601" s="4" t="s">
        <v>2500</v>
      </c>
      <c r="X1601" s="4" t="s">
        <v>862</v>
      </c>
      <c r="Y1601" s="4" t="s">
        <v>4066</v>
      </c>
      <c r="Z1601" s="35"/>
      <c r="AA1601" s="1" t="str">
        <f>IFERROR(VLOOKUP(D:D,[1]Габариты!$A:$I,9,0),"")</f>
        <v>Вакансия</v>
      </c>
      <c r="AB1601" s="6" t="str">
        <f>IFERROR(VLOOKUP(D:D,[1]Габариты!$A:$D,4,0),"")</f>
        <v>ШКАФЫ</v>
      </c>
      <c r="AC1601" s="39">
        <f t="shared" si="205"/>
        <v>3190</v>
      </c>
      <c r="AD1601" s="13" t="str">
        <f t="shared" si="204"/>
        <v xml:space="preserve">СКГТ </v>
      </c>
    </row>
    <row r="1602" spans="1:30" s="6" customFormat="1" ht="20.100000000000001" customHeight="1" outlineLevel="1" x14ac:dyDescent="0.25">
      <c r="A1602" s="635" t="s">
        <v>184</v>
      </c>
      <c r="B1602" s="3"/>
      <c r="C1602" s="13" t="s">
        <v>4328</v>
      </c>
      <c r="D1602" s="39">
        <v>2908</v>
      </c>
      <c r="E1602" s="4">
        <v>18</v>
      </c>
      <c r="F1602" s="101">
        <v>2908</v>
      </c>
      <c r="G1602" s="57" t="s">
        <v>4890</v>
      </c>
      <c r="H1602" s="4" t="s">
        <v>7411</v>
      </c>
      <c r="I1602" s="4"/>
      <c r="J1602" s="4"/>
      <c r="K1602" s="54"/>
      <c r="L1602" s="57"/>
      <c r="M1602" s="57"/>
      <c r="N1602" s="4" t="s">
        <v>668</v>
      </c>
      <c r="O1602" s="4">
        <v>270792860</v>
      </c>
      <c r="P1602" s="4">
        <v>270792862</v>
      </c>
      <c r="Q1602" s="767"/>
      <c r="R1602" s="767"/>
      <c r="S1602" s="4"/>
      <c r="T1602" s="4"/>
      <c r="U1602" s="4"/>
      <c r="V1602" s="4"/>
      <c r="W1602" s="4" t="s">
        <v>2491</v>
      </c>
      <c r="X1602" s="4" t="s">
        <v>668</v>
      </c>
      <c r="Y1602" s="4">
        <v>2908</v>
      </c>
      <c r="Z1602" s="35"/>
      <c r="AA1602" s="1" t="str">
        <f>IFERROR(VLOOKUP(D:D,[1]Габариты!$A:$I,9,0),"")</f>
        <v>Вакансия</v>
      </c>
      <c r="AB1602" s="6" t="str">
        <f>IFERROR(VLOOKUP(D:D,[1]Габариты!$A:$D,4,0),"")</f>
        <v>ШКАФЫ</v>
      </c>
      <c r="AC1602" s="39">
        <f t="shared" si="205"/>
        <v>2908</v>
      </c>
      <c r="AD1602" s="13" t="str">
        <f t="shared" si="204"/>
        <v>СКГТ</v>
      </c>
    </row>
    <row r="1603" spans="1:30" s="6" customFormat="1" ht="20.100000000000001" customHeight="1" outlineLevel="1" x14ac:dyDescent="0.25">
      <c r="A1603" s="635" t="s">
        <v>185</v>
      </c>
      <c r="B1603" s="3"/>
      <c r="C1603" s="13" t="s">
        <v>4328</v>
      </c>
      <c r="D1603" s="39">
        <v>2909</v>
      </c>
      <c r="E1603" s="4">
        <v>18</v>
      </c>
      <c r="F1603" s="101">
        <v>2909</v>
      </c>
      <c r="G1603" s="57" t="s">
        <v>4891</v>
      </c>
      <c r="H1603" s="4" t="s">
        <v>7412</v>
      </c>
      <c r="I1603" s="4"/>
      <c r="J1603" s="4"/>
      <c r="K1603" s="54" t="s">
        <v>2492</v>
      </c>
      <c r="L1603" s="57">
        <v>267589938</v>
      </c>
      <c r="M1603" s="57">
        <v>267589938</v>
      </c>
      <c r="N1603" s="4" t="s">
        <v>669</v>
      </c>
      <c r="O1603" s="4">
        <v>268571614</v>
      </c>
      <c r="P1603" s="4">
        <v>268571654</v>
      </c>
      <c r="Q1603" s="767" t="s">
        <v>2967</v>
      </c>
      <c r="R1603" s="767">
        <v>356310384</v>
      </c>
      <c r="S1603" s="4">
        <v>356310385</v>
      </c>
      <c r="T1603" s="4"/>
      <c r="U1603" s="4"/>
      <c r="V1603" s="4"/>
      <c r="W1603" s="4" t="s">
        <v>2492</v>
      </c>
      <c r="X1603" s="4" t="s">
        <v>669</v>
      </c>
      <c r="Y1603" s="4" t="s">
        <v>4066</v>
      </c>
      <c r="Z1603" s="35"/>
      <c r="AA1603" s="1" t="str">
        <f>IFERROR(VLOOKUP(D:D,[1]Габариты!$A:$I,9,0),"")</f>
        <v>Вакансия</v>
      </c>
      <c r="AB1603" s="6" t="str">
        <f>IFERROR(VLOOKUP(D:D,[1]Габариты!$A:$D,4,0),"")</f>
        <v>ШКАФЫ</v>
      </c>
      <c r="AC1603" s="39">
        <f t="shared" si="205"/>
        <v>2909</v>
      </c>
      <c r="AD1603" s="13" t="str">
        <f t="shared" si="204"/>
        <v>СКГТ</v>
      </c>
    </row>
    <row r="1604" spans="1:30" s="6" customFormat="1" ht="20.100000000000001" customHeight="1" outlineLevel="1" x14ac:dyDescent="0.25">
      <c r="A1604" s="635" t="s">
        <v>186</v>
      </c>
      <c r="B1604" s="3"/>
      <c r="C1604" s="13" t="s">
        <v>4328</v>
      </c>
      <c r="D1604" s="39">
        <v>2910</v>
      </c>
      <c r="E1604" s="4">
        <v>18</v>
      </c>
      <c r="F1604" s="101">
        <v>2910</v>
      </c>
      <c r="G1604" s="57" t="s">
        <v>4892</v>
      </c>
      <c r="H1604" s="4" t="s">
        <v>7413</v>
      </c>
      <c r="I1604" s="4"/>
      <c r="J1604" s="4"/>
      <c r="K1604" s="54"/>
      <c r="L1604" s="57"/>
      <c r="M1604" s="57"/>
      <c r="N1604" s="4" t="s">
        <v>670</v>
      </c>
      <c r="O1604" s="4">
        <v>268576602</v>
      </c>
      <c r="P1604" s="4">
        <v>268576613</v>
      </c>
      <c r="Q1604" s="767" t="s">
        <v>2968</v>
      </c>
      <c r="R1604" s="767">
        <v>351885859</v>
      </c>
      <c r="S1604" s="4">
        <v>351885860</v>
      </c>
      <c r="T1604" s="4"/>
      <c r="U1604" s="4"/>
      <c r="V1604" s="4"/>
      <c r="W1604" s="4" t="s">
        <v>2493</v>
      </c>
      <c r="X1604" s="4" t="s">
        <v>670</v>
      </c>
      <c r="Y1604" s="4" t="s">
        <v>4066</v>
      </c>
      <c r="Z1604" s="35"/>
      <c r="AA1604" s="1" t="str">
        <f>IFERROR(VLOOKUP(D:D,[1]Габариты!$A:$I,9,0),"")</f>
        <v>Вакансия</v>
      </c>
      <c r="AB1604" s="6" t="str">
        <f>IFERROR(VLOOKUP(D:D,[1]Габариты!$A:$D,4,0),"")</f>
        <v>ШКАФЫ</v>
      </c>
      <c r="AC1604" s="39">
        <f t="shared" si="205"/>
        <v>2910</v>
      </c>
      <c r="AD1604" s="13" t="str">
        <f t="shared" si="204"/>
        <v>СКГТ</v>
      </c>
    </row>
    <row r="1605" spans="1:30" s="6" customFormat="1" ht="20.100000000000001" customHeight="1" outlineLevel="1" x14ac:dyDescent="0.25">
      <c r="A1605" s="665" t="s">
        <v>299</v>
      </c>
      <c r="B1605" s="2"/>
      <c r="C1605" s="13" t="s">
        <v>2581</v>
      </c>
      <c r="D1605" s="40">
        <v>3130</v>
      </c>
      <c r="E1605" s="4">
        <v>18</v>
      </c>
      <c r="F1605" s="101">
        <v>3130</v>
      </c>
      <c r="G1605" s="57" t="s">
        <v>5015</v>
      </c>
      <c r="H1605" s="4" t="s">
        <v>7414</v>
      </c>
      <c r="I1605" s="4"/>
      <c r="J1605" s="4"/>
      <c r="K1605" s="54"/>
      <c r="L1605" s="57"/>
      <c r="M1605" s="57"/>
      <c r="N1605" s="4" t="s">
        <v>861</v>
      </c>
      <c r="O1605" s="4">
        <v>323264414</v>
      </c>
      <c r="P1605" s="4">
        <v>323264418</v>
      </c>
      <c r="Q1605" s="767"/>
      <c r="R1605" s="767">
        <v>389396403</v>
      </c>
      <c r="S1605" s="4">
        <v>389396402</v>
      </c>
      <c r="T1605" s="4"/>
      <c r="U1605" s="4"/>
      <c r="V1605" s="4"/>
      <c r="W1605" s="4" t="s">
        <v>2494</v>
      </c>
      <c r="X1605" s="4" t="s">
        <v>861</v>
      </c>
      <c r="Y1605" s="4" t="s">
        <v>4066</v>
      </c>
      <c r="Z1605" s="35"/>
      <c r="AA1605" s="1" t="str">
        <f>IFERROR(VLOOKUP(D:D,[1]Габариты!$A:$I,9,0),"")</f>
        <v>Вакансия</v>
      </c>
      <c r="AB1605" s="6" t="str">
        <f>IFERROR(VLOOKUP(D:D,[1]Габариты!$A:$D,4,0),"")</f>
        <v>ШКАФЫ</v>
      </c>
      <c r="AC1605" s="39">
        <f t="shared" si="205"/>
        <v>3130</v>
      </c>
      <c r="AD1605" s="13" t="str">
        <f t="shared" si="204"/>
        <v>FBS</v>
      </c>
    </row>
    <row r="1606" spans="1:30" s="6" customFormat="1" ht="20.100000000000001" customHeight="1" outlineLevel="1" x14ac:dyDescent="0.25">
      <c r="A1606" s="665" t="s">
        <v>448</v>
      </c>
      <c r="B1606" s="20"/>
      <c r="C1606" s="13" t="s">
        <v>2581</v>
      </c>
      <c r="D1606" s="879">
        <v>3077</v>
      </c>
      <c r="E1606" s="4">
        <v>29</v>
      </c>
      <c r="F1606" s="101">
        <v>3077</v>
      </c>
      <c r="G1606" s="57" t="s">
        <v>4993</v>
      </c>
      <c r="H1606" s="4" t="s">
        <v>7415</v>
      </c>
      <c r="I1606" s="4"/>
      <c r="J1606" s="4"/>
      <c r="K1606" s="54"/>
      <c r="L1606" s="57"/>
      <c r="M1606" s="57"/>
      <c r="N1606" s="4" t="s">
        <v>766</v>
      </c>
      <c r="O1606" s="4">
        <v>373033037</v>
      </c>
      <c r="P1606" s="4">
        <v>373033036</v>
      </c>
      <c r="Q1606" s="767" t="s">
        <v>2969</v>
      </c>
      <c r="R1606" s="767">
        <v>373283466</v>
      </c>
      <c r="S1606" s="4">
        <v>373283467</v>
      </c>
      <c r="T1606" s="4"/>
      <c r="U1606" s="4"/>
      <c r="V1606" s="4"/>
      <c r="W1606" s="4" t="s">
        <v>2495</v>
      </c>
      <c r="X1606" s="4" t="s">
        <v>766</v>
      </c>
      <c r="Y1606" s="4" t="s">
        <v>4066</v>
      </c>
      <c r="Z1606" s="35"/>
      <c r="AA1606" s="1" t="str">
        <f>IFERROR(VLOOKUP(D:D,[1]Габариты!$A:$I,9,0),"")</f>
        <v>Вакансия</v>
      </c>
      <c r="AB1606" s="6" t="str">
        <f>IFERROR(VLOOKUP(D:D,[1]Габариты!$A:$D,4,0),"")</f>
        <v>ШКАФЫ</v>
      </c>
      <c r="AC1606" s="39">
        <f t="shared" si="205"/>
        <v>3077</v>
      </c>
      <c r="AD1606" s="13" t="str">
        <f t="shared" si="204"/>
        <v>FBS</v>
      </c>
    </row>
    <row r="1607" spans="1:30" s="6" customFormat="1" ht="20.100000000000001" customHeight="1" outlineLevel="1" x14ac:dyDescent="0.25">
      <c r="A1607" s="631" t="s">
        <v>1563</v>
      </c>
      <c r="B1607" s="29"/>
      <c r="C1607" s="13" t="s">
        <v>2581</v>
      </c>
      <c r="D1607" s="39">
        <v>9601</v>
      </c>
      <c r="E1607" s="4">
        <v>30</v>
      </c>
      <c r="F1607" s="101">
        <v>9601</v>
      </c>
      <c r="G1607" s="57"/>
      <c r="H1607" s="4" t="s">
        <v>7416</v>
      </c>
      <c r="I1607" s="4"/>
      <c r="J1607" s="4"/>
      <c r="K1607" s="54"/>
      <c r="L1607" s="57"/>
      <c r="M1607" s="57"/>
      <c r="N1607" s="4" t="s">
        <v>1599</v>
      </c>
      <c r="O1607" s="4">
        <v>768743373</v>
      </c>
      <c r="P1607" s="4">
        <v>768743374</v>
      </c>
      <c r="Q1607" s="767"/>
      <c r="R1607" s="767"/>
      <c r="S1607" s="4"/>
      <c r="T1607" s="4"/>
      <c r="U1607" s="4"/>
      <c r="V1607" s="4"/>
      <c r="W1607" s="4"/>
      <c r="X1607" s="4" t="s">
        <v>1599</v>
      </c>
      <c r="Y1607" s="4">
        <v>9601</v>
      </c>
      <c r="Z1607" s="35"/>
      <c r="AA1607" s="1" t="str">
        <f>IFERROR(VLOOKUP(D:D,[1]Габариты!$A:$I,9,0),"")</f>
        <v>Вакансия</v>
      </c>
      <c r="AB1607" s="6" t="str">
        <f>IFERROR(VLOOKUP(D:D,[1]Габариты!$A:$D,4,0),"")</f>
        <v>ШКАФЫ</v>
      </c>
      <c r="AC1607" s="39">
        <f t="shared" si="205"/>
        <v>9601</v>
      </c>
      <c r="AD1607" s="13" t="str">
        <f t="shared" si="204"/>
        <v>FBS</v>
      </c>
    </row>
    <row r="1608" spans="1:30" s="6" customFormat="1" ht="20.100000000000001" customHeight="1" outlineLevel="1" x14ac:dyDescent="0.25">
      <c r="A1608" s="665" t="s">
        <v>297</v>
      </c>
      <c r="B1608" s="2"/>
      <c r="C1608" s="13" t="s">
        <v>2581</v>
      </c>
      <c r="D1608" s="40">
        <v>3088</v>
      </c>
      <c r="E1608" s="4">
        <v>20</v>
      </c>
      <c r="F1608" s="101">
        <v>3088</v>
      </c>
      <c r="G1608" s="57" t="s">
        <v>5002</v>
      </c>
      <c r="H1608" s="4" t="s">
        <v>6975</v>
      </c>
      <c r="I1608" s="4" t="s">
        <v>1345</v>
      </c>
      <c r="J1608" s="4" t="s">
        <v>1909</v>
      </c>
      <c r="K1608" s="54"/>
      <c r="L1608" s="57"/>
      <c r="M1608" s="57"/>
      <c r="N1608" s="4" t="s">
        <v>774</v>
      </c>
      <c r="O1608" s="4">
        <v>311568653</v>
      </c>
      <c r="P1608" s="4">
        <v>311568678</v>
      </c>
      <c r="Q1608" s="767" t="s">
        <v>2965</v>
      </c>
      <c r="R1608" s="767">
        <v>363406342</v>
      </c>
      <c r="S1608" s="4">
        <v>363406341</v>
      </c>
      <c r="T1608" s="4" t="s">
        <v>3103</v>
      </c>
      <c r="U1608" s="4">
        <v>892021055</v>
      </c>
      <c r="V1608" s="4">
        <v>892021055</v>
      </c>
      <c r="W1608" s="4" t="s">
        <v>2489</v>
      </c>
      <c r="X1608" s="4" t="s">
        <v>774</v>
      </c>
      <c r="Y1608" s="4">
        <v>3088</v>
      </c>
      <c r="Z1608" s="35"/>
      <c r="AA1608" s="1" t="str">
        <f>IFERROR(VLOOKUP(D:D,[1]Габариты!$A:$I,9,0),"")</f>
        <v>Вакансия</v>
      </c>
      <c r="AB1608" s="6" t="str">
        <f>IFERROR(VLOOKUP(D:D,[1]Габариты!$A:$D,4,0),"")</f>
        <v>ШКАФЫ</v>
      </c>
      <c r="AC1608" s="39">
        <f t="shared" si="205"/>
        <v>3088</v>
      </c>
      <c r="AD1608" s="13" t="str">
        <f t="shared" si="204"/>
        <v>FBS</v>
      </c>
    </row>
    <row r="1609" spans="1:30" s="6" customFormat="1" ht="20.100000000000001" customHeight="1" outlineLevel="1" x14ac:dyDescent="0.25">
      <c r="A1609" s="631" t="s">
        <v>1567</v>
      </c>
      <c r="B1609" s="29"/>
      <c r="C1609" s="13" t="s">
        <v>2582</v>
      </c>
      <c r="D1609" s="40">
        <v>14016</v>
      </c>
      <c r="E1609" s="4">
        <v>52</v>
      </c>
      <c r="F1609" s="101"/>
      <c r="G1609" s="57"/>
      <c r="H1609" s="4" t="s">
        <v>6990</v>
      </c>
      <c r="I1609" s="4"/>
      <c r="J1609" s="4" t="s">
        <v>2007</v>
      </c>
      <c r="K1609" s="54"/>
      <c r="L1609" s="57"/>
      <c r="M1609" s="57"/>
      <c r="N1609" s="4" t="s">
        <v>1655</v>
      </c>
      <c r="O1609" s="4">
        <v>791211287</v>
      </c>
      <c r="P1609" s="4">
        <v>791211288</v>
      </c>
      <c r="Q1609" s="767"/>
      <c r="R1609" s="767"/>
      <c r="S1609" s="4"/>
      <c r="T1609" s="4"/>
      <c r="U1609" s="4"/>
      <c r="V1609" s="4"/>
      <c r="W1609" s="4"/>
      <c r="X1609" s="4" t="s">
        <v>1655</v>
      </c>
      <c r="Y1609" s="4" t="s">
        <v>4066</v>
      </c>
      <c r="Z1609" s="35"/>
      <c r="AA1609" s="1" t="str">
        <f>IFERROR(VLOOKUP(D:D,[1]Габариты!$A:$I,9,0),"")</f>
        <v>Вакансия</v>
      </c>
      <c r="AB1609" s="6" t="str">
        <f>IFERROR(VLOOKUP(D:D,[1]Габариты!$A:$D,4,0),"")</f>
        <v>ШКАФЫ</v>
      </c>
      <c r="AC1609" s="39">
        <f t="shared" si="205"/>
        <v>14016</v>
      </c>
      <c r="AD1609" s="13" t="str">
        <f t="shared" ref="AD1609:AD1616" si="210">C1609</f>
        <v>FBO</v>
      </c>
    </row>
    <row r="1610" spans="1:30" s="6" customFormat="1" ht="20.100000000000001" customHeight="1" outlineLevel="1" x14ac:dyDescent="0.25">
      <c r="A1610" s="743" t="s">
        <v>3377</v>
      </c>
      <c r="B1610" s="21"/>
      <c r="C1610" s="13" t="s">
        <v>2582</v>
      </c>
      <c r="D1610" s="39">
        <v>14117</v>
      </c>
      <c r="E1610" s="4">
        <v>52</v>
      </c>
      <c r="F1610" s="101"/>
      <c r="G1610" s="57"/>
      <c r="H1610" s="4" t="s">
        <v>6991</v>
      </c>
      <c r="I1610" s="4" t="s">
        <v>3562</v>
      </c>
      <c r="J1610" s="4" t="s">
        <v>3572</v>
      </c>
      <c r="K1610" s="54"/>
      <c r="L1610" s="57"/>
      <c r="M1610" s="57"/>
      <c r="N1610" s="4" t="s">
        <v>3556</v>
      </c>
      <c r="O1610" s="4">
        <v>1062552448</v>
      </c>
      <c r="P1610" s="4">
        <v>1062552448</v>
      </c>
      <c r="Q1610" s="767" t="s">
        <v>3584</v>
      </c>
      <c r="R1610" s="767">
        <v>1062554762</v>
      </c>
      <c r="S1610" s="4">
        <v>1062554762</v>
      </c>
      <c r="T1610" s="4" t="s">
        <v>3547</v>
      </c>
      <c r="U1610" s="4">
        <v>1061405678</v>
      </c>
      <c r="V1610" s="4">
        <v>1061405678</v>
      </c>
      <c r="W1610" s="4"/>
      <c r="X1610" s="4" t="s">
        <v>3556</v>
      </c>
      <c r="Y1610" s="4">
        <v>14117</v>
      </c>
      <c r="Z1610" s="35"/>
      <c r="AA1610" s="1" t="str">
        <f>IFERROR(VLOOKUP(D:D,[1]Габариты!$A:$I,9,0),"")</f>
        <v>Вакансия</v>
      </c>
      <c r="AB1610" s="6" t="str">
        <f>IFERROR(VLOOKUP(D:D,[1]Габариты!$A:$D,4,0),"")</f>
        <v>ШКАФЫ</v>
      </c>
      <c r="AC1610" s="39">
        <f t="shared" si="205"/>
        <v>14117</v>
      </c>
      <c r="AD1610" s="13" t="str">
        <f t="shared" si="210"/>
        <v>FBO</v>
      </c>
    </row>
    <row r="1611" spans="1:30" s="6" customFormat="1" ht="20.100000000000001" customHeight="1" outlineLevel="1" x14ac:dyDescent="0.25">
      <c r="A1611" s="743" t="s">
        <v>3378</v>
      </c>
      <c r="B1611" s="21"/>
      <c r="C1611" s="13" t="s">
        <v>2582</v>
      </c>
      <c r="D1611" s="39">
        <v>14118</v>
      </c>
      <c r="E1611" s="4">
        <v>52</v>
      </c>
      <c r="F1611" s="101"/>
      <c r="G1611" s="57"/>
      <c r="H1611" s="4" t="s">
        <v>6992</v>
      </c>
      <c r="I1611" s="4" t="s">
        <v>3563</v>
      </c>
      <c r="J1611" s="4" t="s">
        <v>3573</v>
      </c>
      <c r="K1611" s="54"/>
      <c r="L1611" s="57"/>
      <c r="M1611" s="57"/>
      <c r="N1611" s="4" t="s">
        <v>3554</v>
      </c>
      <c r="O1611" s="4">
        <v>1062336395</v>
      </c>
      <c r="P1611" s="4">
        <v>1062336396</v>
      </c>
      <c r="Q1611" s="767" t="s">
        <v>3583</v>
      </c>
      <c r="R1611" s="767">
        <v>1062341227</v>
      </c>
      <c r="S1611" s="4">
        <v>1062341227</v>
      </c>
      <c r="T1611" s="4" t="s">
        <v>3548</v>
      </c>
      <c r="U1611" s="4">
        <v>1061413350</v>
      </c>
      <c r="V1611" s="4">
        <v>1061413350</v>
      </c>
      <c r="W1611" s="4"/>
      <c r="X1611" s="4" t="s">
        <v>3554</v>
      </c>
      <c r="Y1611" s="4" t="s">
        <v>4066</v>
      </c>
      <c r="Z1611" s="35"/>
      <c r="AA1611" s="1" t="str">
        <f>IFERROR(VLOOKUP(D:D,[1]Габариты!$A:$I,9,0),"")</f>
        <v>Вакансия</v>
      </c>
      <c r="AB1611" s="6" t="str">
        <f>IFERROR(VLOOKUP(D:D,[1]Габариты!$A:$D,4,0),"")</f>
        <v>ШКАФЫ</v>
      </c>
      <c r="AC1611" s="39">
        <f t="shared" si="205"/>
        <v>14118</v>
      </c>
      <c r="AD1611" s="13" t="str">
        <f t="shared" si="210"/>
        <v>FBO</v>
      </c>
    </row>
    <row r="1612" spans="1:30" s="6" customFormat="1" ht="20.100000000000001" customHeight="1" outlineLevel="1" x14ac:dyDescent="0.25">
      <c r="A1612" s="743" t="s">
        <v>3379</v>
      </c>
      <c r="B1612" s="21"/>
      <c r="C1612" s="13" t="s">
        <v>2582</v>
      </c>
      <c r="D1612" s="39">
        <v>14119</v>
      </c>
      <c r="E1612" s="4">
        <v>52</v>
      </c>
      <c r="F1612" s="101"/>
      <c r="G1612" s="57"/>
      <c r="H1612" s="4" t="s">
        <v>6993</v>
      </c>
      <c r="I1612" s="4" t="s">
        <v>3564</v>
      </c>
      <c r="J1612" s="4" t="s">
        <v>3574</v>
      </c>
      <c r="K1612" s="54"/>
      <c r="L1612" s="57"/>
      <c r="M1612" s="57"/>
      <c r="N1612" s="4" t="s">
        <v>3553</v>
      </c>
      <c r="O1612" s="4">
        <v>1062335726</v>
      </c>
      <c r="P1612" s="4">
        <v>1062335727</v>
      </c>
      <c r="Q1612" s="767" t="s">
        <v>3582</v>
      </c>
      <c r="R1612" s="767">
        <v>1062341310</v>
      </c>
      <c r="S1612" s="4">
        <v>1062341310</v>
      </c>
      <c r="T1612" s="4" t="s">
        <v>3549</v>
      </c>
      <c r="U1612" s="4">
        <v>1062305982</v>
      </c>
      <c r="V1612" s="4">
        <v>1062305982</v>
      </c>
      <c r="W1612" s="4"/>
      <c r="X1612" s="4" t="s">
        <v>3553</v>
      </c>
      <c r="Y1612" s="4" t="s">
        <v>4066</v>
      </c>
      <c r="Z1612" s="35"/>
      <c r="AA1612" s="1" t="str">
        <f>IFERROR(VLOOKUP(D:D,[1]Габариты!$A:$I,9,0),"")</f>
        <v>Вакансия</v>
      </c>
      <c r="AB1612" s="6" t="str">
        <f>IFERROR(VLOOKUP(D:D,[1]Габариты!$A:$D,4,0),"")</f>
        <v>ШКАФЫ</v>
      </c>
      <c r="AC1612" s="39">
        <f t="shared" ref="AC1612:AC1679" si="211">D1612</f>
        <v>14119</v>
      </c>
      <c r="AD1612" s="13" t="str">
        <f t="shared" si="210"/>
        <v>FBO</v>
      </c>
    </row>
    <row r="1613" spans="1:30" s="6" customFormat="1" ht="20.100000000000001" customHeight="1" outlineLevel="1" x14ac:dyDescent="0.25">
      <c r="A1613" s="743" t="s">
        <v>3380</v>
      </c>
      <c r="B1613" s="21"/>
      <c r="C1613" s="13" t="s">
        <v>2582</v>
      </c>
      <c r="D1613" s="39">
        <v>14120</v>
      </c>
      <c r="E1613" s="4">
        <v>52</v>
      </c>
      <c r="F1613" s="101"/>
      <c r="G1613" s="57"/>
      <c r="H1613" s="4" t="s">
        <v>6994</v>
      </c>
      <c r="I1613" s="4" t="s">
        <v>3565</v>
      </c>
      <c r="J1613" s="4" t="s">
        <v>3575</v>
      </c>
      <c r="K1613" s="54"/>
      <c r="L1613" s="57"/>
      <c r="M1613" s="57"/>
      <c r="N1613" s="4" t="s">
        <v>3555</v>
      </c>
      <c r="O1613" s="4">
        <v>1062337547</v>
      </c>
      <c r="P1613" s="4">
        <v>1062337547</v>
      </c>
      <c r="Q1613" s="767" t="s">
        <v>3581</v>
      </c>
      <c r="R1613" s="767">
        <v>1062340749</v>
      </c>
      <c r="S1613" s="4">
        <v>1062340749</v>
      </c>
      <c r="T1613" s="4" t="s">
        <v>3550</v>
      </c>
      <c r="U1613" s="4">
        <v>1062314003</v>
      </c>
      <c r="V1613" s="4">
        <v>1062314003</v>
      </c>
      <c r="W1613" s="4"/>
      <c r="X1613" s="4" t="s">
        <v>3555</v>
      </c>
      <c r="Y1613" s="4" t="s">
        <v>4066</v>
      </c>
      <c r="Z1613" s="35"/>
      <c r="AA1613" s="1" t="str">
        <f>IFERROR(VLOOKUP(D:D,[1]Габариты!$A:$I,9,0),"")</f>
        <v>Вакансия</v>
      </c>
      <c r="AB1613" s="6" t="str">
        <f>IFERROR(VLOOKUP(D:D,[1]Габариты!$A:$D,4,0),"")</f>
        <v>ШКАФЫ</v>
      </c>
      <c r="AC1613" s="39">
        <f t="shared" si="211"/>
        <v>14120</v>
      </c>
      <c r="AD1613" s="13" t="str">
        <f t="shared" si="210"/>
        <v>FBO</v>
      </c>
    </row>
    <row r="1614" spans="1:30" s="6" customFormat="1" ht="20.100000000000001" customHeight="1" outlineLevel="1" x14ac:dyDescent="0.25">
      <c r="A1614" s="665" t="s">
        <v>454</v>
      </c>
      <c r="B1614" s="20"/>
      <c r="C1614" s="13" t="s">
        <v>2581</v>
      </c>
      <c r="D1614" s="879">
        <v>3089</v>
      </c>
      <c r="E1614" s="4">
        <v>20</v>
      </c>
      <c r="F1614" s="101">
        <v>3089</v>
      </c>
      <c r="G1614" s="57" t="s">
        <v>5003</v>
      </c>
      <c r="H1614" s="4" t="s">
        <v>6976</v>
      </c>
      <c r="I1614" s="4" t="s">
        <v>1346</v>
      </c>
      <c r="J1614" s="4" t="s">
        <v>1910</v>
      </c>
      <c r="K1614" s="54"/>
      <c r="L1614" s="57"/>
      <c r="M1614" s="57"/>
      <c r="N1614" s="4" t="s">
        <v>775</v>
      </c>
      <c r="O1614" s="4">
        <v>370908088</v>
      </c>
      <c r="P1614" s="4">
        <v>370908089</v>
      </c>
      <c r="Q1614" s="767" t="s">
        <v>2971</v>
      </c>
      <c r="R1614" s="767">
        <v>371244360</v>
      </c>
      <c r="S1614" s="4">
        <v>371244361</v>
      </c>
      <c r="T1614" s="4" t="s">
        <v>3104</v>
      </c>
      <c r="U1614" s="4">
        <v>892273346</v>
      </c>
      <c r="V1614" s="4">
        <v>892273346</v>
      </c>
      <c r="W1614" s="4" t="s">
        <v>2497</v>
      </c>
      <c r="X1614" s="4" t="s">
        <v>775</v>
      </c>
      <c r="Y1614" s="4">
        <v>3089</v>
      </c>
      <c r="Z1614" s="35"/>
      <c r="AA1614" s="1" t="str">
        <f>IFERROR(VLOOKUP(D:D,[1]Габариты!$A:$I,9,0),"")</f>
        <v>Вакансия</v>
      </c>
      <c r="AB1614" s="6" t="str">
        <f>IFERROR(VLOOKUP(D:D,[1]Габариты!$A:$D,4,0),"")</f>
        <v>ШКАФЫ</v>
      </c>
      <c r="AC1614" s="39">
        <f t="shared" si="211"/>
        <v>3089</v>
      </c>
      <c r="AD1614" s="13" t="str">
        <f t="shared" si="210"/>
        <v>FBS</v>
      </c>
    </row>
    <row r="1615" spans="1:30" s="6" customFormat="1" ht="20.100000000000001" customHeight="1" outlineLevel="1" x14ac:dyDescent="0.25">
      <c r="A1615" s="665" t="s">
        <v>455</v>
      </c>
      <c r="B1615" s="20"/>
      <c r="C1615" s="13" t="s">
        <v>2581</v>
      </c>
      <c r="D1615" s="879">
        <v>3090</v>
      </c>
      <c r="E1615" s="4">
        <v>20</v>
      </c>
      <c r="F1615" s="101">
        <v>3090</v>
      </c>
      <c r="G1615" s="57" t="s">
        <v>5004</v>
      </c>
      <c r="H1615" s="4" t="s">
        <v>6977</v>
      </c>
      <c r="I1615" s="4" t="s">
        <v>2074</v>
      </c>
      <c r="J1615" s="4" t="s">
        <v>1911</v>
      </c>
      <c r="K1615" s="54"/>
      <c r="L1615" s="57"/>
      <c r="M1615" s="57"/>
      <c r="N1615" s="4" t="s">
        <v>776</v>
      </c>
      <c r="O1615" s="4">
        <v>373097798</v>
      </c>
      <c r="P1615" s="4">
        <v>373097797</v>
      </c>
      <c r="Q1615" s="767" t="s">
        <v>2972</v>
      </c>
      <c r="R1615" s="767">
        <v>373293178</v>
      </c>
      <c r="S1615" s="4">
        <v>373293179</v>
      </c>
      <c r="T1615" s="4" t="s">
        <v>3105</v>
      </c>
      <c r="U1615" s="4">
        <v>892311874</v>
      </c>
      <c r="V1615" s="4">
        <v>892311874</v>
      </c>
      <c r="W1615" s="4" t="s">
        <v>2498</v>
      </c>
      <c r="X1615" s="4" t="s">
        <v>776</v>
      </c>
      <c r="Y1615" s="4">
        <v>3090</v>
      </c>
      <c r="Z1615" s="35"/>
      <c r="AA1615" s="1" t="str">
        <f>IFERROR(VLOOKUP(D:D,[1]Габариты!$A:$I,9,0),"")</f>
        <v>Вакансия</v>
      </c>
      <c r="AB1615" s="6" t="str">
        <f>IFERROR(VLOOKUP(D:D,[1]Габариты!$A:$D,4,0),"")</f>
        <v>ШКАФЫ</v>
      </c>
      <c r="AC1615" s="39">
        <f t="shared" si="211"/>
        <v>3090</v>
      </c>
      <c r="AD1615" s="13" t="str">
        <f t="shared" si="210"/>
        <v>FBS</v>
      </c>
    </row>
    <row r="1616" spans="1:30" s="6" customFormat="1" ht="20.100000000000001" customHeight="1" outlineLevel="1" x14ac:dyDescent="0.25">
      <c r="A1616" s="743" t="s">
        <v>3434</v>
      </c>
      <c r="B1616" s="21"/>
      <c r="C1616" s="13" t="s">
        <v>2581</v>
      </c>
      <c r="D1616" s="39">
        <v>30090</v>
      </c>
      <c r="E1616" s="4">
        <v>20</v>
      </c>
      <c r="F1616" s="101">
        <v>30090</v>
      </c>
      <c r="G1616" s="57"/>
      <c r="H1616" s="4" t="s">
        <v>6978</v>
      </c>
      <c r="I1616" s="4" t="s">
        <v>3516</v>
      </c>
      <c r="J1616" s="4" t="s">
        <v>3518</v>
      </c>
      <c r="K1616" s="54"/>
      <c r="L1616" s="57"/>
      <c r="M1616" s="57"/>
      <c r="N1616" s="4" t="s">
        <v>3527</v>
      </c>
      <c r="O1616" s="4">
        <v>1052756728</v>
      </c>
      <c r="P1616" s="4">
        <v>1052756729</v>
      </c>
      <c r="Q1616" s="767" t="s">
        <v>3523</v>
      </c>
      <c r="R1616" s="767">
        <v>1052772669</v>
      </c>
      <c r="S1616" s="4">
        <v>1052772668</v>
      </c>
      <c r="T1616" s="4" t="s">
        <v>3535</v>
      </c>
      <c r="U1616" s="4">
        <v>1052778214</v>
      </c>
      <c r="V1616" s="4">
        <v>1052778214</v>
      </c>
      <c r="W1616" s="4"/>
      <c r="X1616" s="4" t="s">
        <v>3527</v>
      </c>
      <c r="Y1616" s="4" t="s">
        <v>4066</v>
      </c>
      <c r="Z1616" s="35"/>
      <c r="AA1616" s="1" t="str">
        <f>IFERROR(VLOOKUP(D:D,[1]Габариты!$A:$I,9,0),"")</f>
        <v>Вакансия</v>
      </c>
      <c r="AB1616" s="6" t="str">
        <f>IFERROR(VLOOKUP(D:D,[1]Габариты!$A:$D,4,0),"")</f>
        <v>ШКАФЫ</v>
      </c>
      <c r="AC1616" s="39">
        <f t="shared" si="211"/>
        <v>30090</v>
      </c>
      <c r="AD1616" s="13" t="str">
        <f t="shared" si="210"/>
        <v>FBS</v>
      </c>
    </row>
    <row r="1617" spans="1:30" s="6" customFormat="1" ht="20.100000000000001" customHeight="1" outlineLevel="1" x14ac:dyDescent="0.25">
      <c r="A1617" s="743" t="s">
        <v>7454</v>
      </c>
      <c r="B1617" s="21"/>
      <c r="C1617" s="13" t="s">
        <v>4050</v>
      </c>
      <c r="D1617" s="39" t="s">
        <v>7453</v>
      </c>
      <c r="E1617" s="4">
        <v>11</v>
      </c>
      <c r="F1617" s="101" t="s">
        <v>7455</v>
      </c>
      <c r="G1617" s="57" t="s">
        <v>7456</v>
      </c>
      <c r="H1617" s="4" t="s">
        <v>7484</v>
      </c>
      <c r="I1617" s="4"/>
      <c r="J1617" s="4"/>
      <c r="K1617" s="54"/>
      <c r="L1617" s="57"/>
      <c r="M1617" s="57"/>
      <c r="N1617" s="4" t="s">
        <v>7502</v>
      </c>
      <c r="O1617" s="4">
        <v>1718144518</v>
      </c>
      <c r="P1617" s="4">
        <v>1718144518</v>
      </c>
      <c r="Q1617" s="767"/>
      <c r="R1617" s="767"/>
      <c r="S1617" s="4"/>
      <c r="T1617" s="4"/>
      <c r="U1617" s="4"/>
      <c r="V1617" s="4"/>
      <c r="W1617" s="4"/>
      <c r="X1617" s="4" t="s">
        <v>7502</v>
      </c>
      <c r="Y1617" s="4"/>
      <c r="Z1617" s="35"/>
      <c r="AA1617" s="1" t="str">
        <f>IFERROR(VLOOKUP(D:D,[1]Габариты!$A:$I,9,0),"")</f>
        <v>Вакансия</v>
      </c>
      <c r="AB1617" s="6" t="str">
        <f>IFERROR(VLOOKUP(D:D,[1]Габариты!$A:$D,4,0),"")</f>
        <v>ШКАФЫ</v>
      </c>
      <c r="AC1617" s="39" t="str">
        <f>D1617</f>
        <v>MK345170901</v>
      </c>
      <c r="AD1617" s="13" t="str">
        <f>C1617</f>
        <v>СКГТ (ОЗОН)</v>
      </c>
    </row>
    <row r="1618" spans="1:30" s="6" customFormat="1" ht="20.100000000000001" customHeight="1" x14ac:dyDescent="0.25">
      <c r="A1618" s="663" t="s">
        <v>8205</v>
      </c>
      <c r="B1618" s="360"/>
      <c r="C1618" s="13" t="s">
        <v>4050</v>
      </c>
      <c r="D1618" s="362" t="s">
        <v>8203</v>
      </c>
      <c r="E1618" s="363">
        <v>6</v>
      </c>
      <c r="F1618" s="364" t="s">
        <v>8274</v>
      </c>
      <c r="G1618" s="365"/>
      <c r="H1618" s="363" t="s">
        <v>8204</v>
      </c>
      <c r="I1618" s="363"/>
      <c r="J1618" s="363"/>
      <c r="K1618" s="364"/>
      <c r="L1618" s="365"/>
      <c r="M1618" s="365"/>
      <c r="N1618" s="363" t="s">
        <v>8217</v>
      </c>
      <c r="O1618" s="363">
        <v>1836564061</v>
      </c>
      <c r="P1618" s="363">
        <v>1836564061</v>
      </c>
      <c r="Q1618" s="363"/>
      <c r="R1618" s="363"/>
      <c r="S1618" s="363"/>
      <c r="T1618" s="363"/>
      <c r="U1618" s="363"/>
      <c r="V1618" s="363"/>
      <c r="W1618" s="363"/>
      <c r="X1618" s="363" t="s">
        <v>8217</v>
      </c>
      <c r="Y1618" s="363"/>
      <c r="AA1618" s="1" t="str">
        <f>IFERROR(VLOOKUP(D:D,[1]Габариты!$A:$I,9,0),"")</f>
        <v>Вакансия</v>
      </c>
      <c r="AB1618" s="6" t="str">
        <f>IFERROR(VLOOKUP(D:D,[1]Габариты!$A:$D,4,0),"")</f>
        <v>ШКАФЫ</v>
      </c>
      <c r="AC1618" s="39" t="str">
        <f>D1618</f>
        <v>5001.05.09/01</v>
      </c>
      <c r="AD1618" s="361" t="str">
        <f>C1618</f>
        <v>СКГТ (ОЗОН)</v>
      </c>
    </row>
    <row r="1619" spans="1:30" s="6" customFormat="1" ht="20.100000000000001" customHeight="1" x14ac:dyDescent="0.25">
      <c r="A1619" s="637" t="s">
        <v>7548</v>
      </c>
      <c r="B1619" s="157"/>
      <c r="C1619" s="13" t="s">
        <v>4050</v>
      </c>
      <c r="D1619" s="158" t="s">
        <v>7549</v>
      </c>
      <c r="E1619" s="159">
        <v>5</v>
      </c>
      <c r="F1619" s="160" t="s">
        <v>8185</v>
      </c>
      <c r="G1619" s="161"/>
      <c r="H1619" s="159" t="s">
        <v>7571</v>
      </c>
      <c r="I1619" s="159"/>
      <c r="J1619" s="159"/>
      <c r="K1619" s="160"/>
      <c r="L1619" s="161"/>
      <c r="M1619" s="161"/>
      <c r="N1619" s="159" t="s">
        <v>7641</v>
      </c>
      <c r="O1619" s="159">
        <v>1719156797</v>
      </c>
      <c r="P1619" s="159">
        <v>1719156797</v>
      </c>
      <c r="Q1619" s="159"/>
      <c r="R1619" s="159"/>
      <c r="S1619" s="159"/>
      <c r="T1619" s="159"/>
      <c r="U1619" s="159"/>
      <c r="V1619" s="159"/>
      <c r="W1619" s="159"/>
      <c r="X1619" s="159" t="s">
        <v>7641</v>
      </c>
      <c r="Y1619" s="159"/>
      <c r="AA1619" s="1" t="str">
        <f>IFERROR(VLOOKUP(D:D,[1]Габариты!$A:$I,9,0),"")</f>
        <v>Вакансия</v>
      </c>
      <c r="AB1619" s="6" t="str">
        <f>IFERROR(VLOOKUP(D:D,[1]Габариты!$A:$D,4,0),"")</f>
        <v>ШКАФЫ</v>
      </c>
      <c r="AC1619" s="39" t="str">
        <f>D1619</f>
        <v>MK346170901</v>
      </c>
      <c r="AD1619" s="13" t="str">
        <f>C1619</f>
        <v>СКГТ (ОЗОН)</v>
      </c>
    </row>
    <row r="1620" spans="1:30" s="6" customFormat="1" ht="20.100000000000001" customHeight="1" outlineLevel="1" x14ac:dyDescent="0.2">
      <c r="A1620" s="751" t="s">
        <v>8652</v>
      </c>
      <c r="B1620" s="760" t="s">
        <v>3846</v>
      </c>
      <c r="C1620" s="13"/>
      <c r="D1620" s="39"/>
      <c r="E1620" s="4"/>
      <c r="F1620" s="101"/>
      <c r="G1620" s="57"/>
      <c r="H1620" s="4"/>
      <c r="I1620" s="4"/>
      <c r="J1620" s="4"/>
      <c r="K1620" s="54"/>
      <c r="L1620" s="57"/>
      <c r="M1620" s="57"/>
      <c r="N1620" s="766"/>
      <c r="O1620" s="4"/>
      <c r="P1620" s="4"/>
      <c r="Q1620" s="767"/>
      <c r="R1620" s="767"/>
      <c r="S1620" s="4"/>
      <c r="T1620" s="4"/>
      <c r="U1620" s="4"/>
      <c r="V1620" s="4"/>
      <c r="W1620" s="4"/>
      <c r="X1620" s="4"/>
      <c r="Y1620" s="4" t="s">
        <v>4066</v>
      </c>
      <c r="Z1620" s="35"/>
      <c r="AA1620" s="1" t="str">
        <f>IFERROR(VLOOKUP(D:D,[1]Габариты!$A:$I,9,0),"")</f>
        <v/>
      </c>
      <c r="AB1620" s="6" t="str">
        <f>IFERROR(VLOOKUP(D:D,[1]Габариты!$A:$D,4,0),"")</f>
        <v/>
      </c>
      <c r="AC1620" s="39"/>
      <c r="AD1620" s="3"/>
    </row>
    <row r="1621" spans="1:30" s="6" customFormat="1" ht="20.100000000000001" customHeight="1" outlineLevel="1" x14ac:dyDescent="0.25">
      <c r="A1621" s="722" t="s">
        <v>7535</v>
      </c>
      <c r="B1621" s="140"/>
      <c r="C1621" s="13" t="s">
        <v>4050</v>
      </c>
      <c r="D1621" s="148" t="s">
        <v>7534</v>
      </c>
      <c r="E1621" s="143">
        <v>14</v>
      </c>
      <c r="F1621" s="144" t="s">
        <v>8276</v>
      </c>
      <c r="G1621" s="145"/>
      <c r="H1621" s="143" t="s">
        <v>7543</v>
      </c>
      <c r="I1621" s="143"/>
      <c r="J1621" s="143"/>
      <c r="K1621" s="144"/>
      <c r="L1621" s="145"/>
      <c r="M1621" s="145"/>
      <c r="N1621" s="862" t="s">
        <v>7545</v>
      </c>
      <c r="O1621" s="143">
        <v>1725195925</v>
      </c>
      <c r="P1621" s="143">
        <v>1725195925</v>
      </c>
      <c r="Q1621" s="770"/>
      <c r="R1621" s="770"/>
      <c r="S1621" s="143"/>
      <c r="T1621" s="143"/>
      <c r="U1621" s="143"/>
      <c r="V1621" s="143"/>
      <c r="W1621" s="143"/>
      <c r="X1621" s="143"/>
      <c r="Y1621" s="143"/>
      <c r="Z1621" s="35"/>
      <c r="AA1621" s="1" t="str">
        <f>IFERROR(VLOOKUP(D:D,[1]Габариты!$A:$I,9,0),"")</f>
        <v>Вакансия</v>
      </c>
      <c r="AB1621" s="6" t="str">
        <f>IFERROR(VLOOKUP(D:D,[1]Габариты!$A:$D,4,0),"")</f>
        <v>ПРИХОЖАЯ</v>
      </c>
      <c r="AC1621" s="39" t="str">
        <f>D1621</f>
        <v>4458.05.17/01</v>
      </c>
      <c r="AD1621" s="13" t="str">
        <f>C1621</f>
        <v>СКГТ (ОЗОН)</v>
      </c>
    </row>
    <row r="1622" spans="1:30" s="6" customFormat="1" ht="20.100000000000001" customHeight="1" outlineLevel="1" x14ac:dyDescent="0.25">
      <c r="A1622" s="635" t="s">
        <v>1131</v>
      </c>
      <c r="B1622" s="3"/>
      <c r="C1622" s="13" t="s">
        <v>4050</v>
      </c>
      <c r="D1622" s="39" t="s">
        <v>1141</v>
      </c>
      <c r="E1622" s="4">
        <v>10</v>
      </c>
      <c r="F1622" s="101" t="s">
        <v>1141</v>
      </c>
      <c r="G1622" s="57"/>
      <c r="H1622" s="4" t="s">
        <v>7442</v>
      </c>
      <c r="I1622" s="4"/>
      <c r="J1622" s="4"/>
      <c r="K1622" s="54"/>
      <c r="L1622" s="57"/>
      <c r="M1622" s="57"/>
      <c r="N1622" s="4" t="s">
        <v>8343</v>
      </c>
      <c r="O1622" s="4">
        <v>677459185</v>
      </c>
      <c r="P1622" s="4">
        <v>677459184</v>
      </c>
      <c r="Q1622" s="767"/>
      <c r="R1622" s="767"/>
      <c r="S1622" s="4"/>
      <c r="T1622" s="4"/>
      <c r="U1622" s="4"/>
      <c r="V1622" s="4"/>
      <c r="W1622" s="4"/>
      <c r="X1622" s="4" t="s">
        <v>1815</v>
      </c>
      <c r="Y1622" s="4" t="s">
        <v>4066</v>
      </c>
      <c r="Z1622" s="35"/>
      <c r="AA1622" s="1" t="str">
        <f>IFERROR(VLOOKUP(D:D,[1]Габариты!$A:$I,9,0),"")</f>
        <v>Вакансия</v>
      </c>
      <c r="AB1622" s="6" t="str">
        <f>IFERROR(VLOOKUP(D:D,[1]Габариты!$A:$D,4,0),"")</f>
        <v>ПРИХОЖАЯ</v>
      </c>
      <c r="AC1622" s="39" t="str">
        <f t="shared" si="211"/>
        <v>03536/03537</v>
      </c>
      <c r="AD1622" s="13" t="str">
        <f t="shared" si="204"/>
        <v>СКГТ (ОЗОН)</v>
      </c>
    </row>
    <row r="1623" spans="1:30" s="6" customFormat="1" ht="20.100000000000001" customHeight="1" outlineLevel="1" x14ac:dyDescent="0.2">
      <c r="A1623" s="754" t="s">
        <v>1727</v>
      </c>
      <c r="B1623" s="754" t="s">
        <v>3846</v>
      </c>
      <c r="C1623" s="13"/>
      <c r="D1623" s="39"/>
      <c r="E1623" s="4"/>
      <c r="F1623" s="101"/>
      <c r="G1623" s="57"/>
      <c r="H1623" s="4"/>
      <c r="I1623" s="4"/>
      <c r="J1623" s="4"/>
      <c r="K1623" s="54"/>
      <c r="L1623" s="57"/>
      <c r="M1623" s="57"/>
      <c r="N1623" s="766"/>
      <c r="O1623" s="4"/>
      <c r="P1623" s="4"/>
      <c r="Q1623" s="767"/>
      <c r="R1623" s="767"/>
      <c r="S1623" s="4"/>
      <c r="T1623" s="4"/>
      <c r="U1623" s="4"/>
      <c r="V1623" s="4"/>
      <c r="W1623" s="4"/>
      <c r="X1623" s="4"/>
      <c r="Y1623" s="4" t="s">
        <v>4066</v>
      </c>
      <c r="Z1623" s="35"/>
      <c r="AA1623" s="1" t="str">
        <f>IFERROR(VLOOKUP(D:D,[1]Габариты!$A:$I,9,0),"")</f>
        <v/>
      </c>
      <c r="AB1623" s="6" t="str">
        <f>IFERROR(VLOOKUP(D:D,[1]Габариты!$A:$D,4,0),"")</f>
        <v/>
      </c>
      <c r="AC1623" s="39"/>
      <c r="AD1623" s="3"/>
    </row>
    <row r="1624" spans="1:30" s="6" customFormat="1" ht="20.100000000000001" customHeight="1" outlineLevel="1" x14ac:dyDescent="0.25">
      <c r="A1624" s="665" t="s">
        <v>1105</v>
      </c>
      <c r="B1624" s="2"/>
      <c r="C1624" s="13" t="s">
        <v>4050</v>
      </c>
      <c r="D1624" s="39" t="s">
        <v>3672</v>
      </c>
      <c r="E1624" s="4"/>
      <c r="F1624" s="101" t="s">
        <v>3672</v>
      </c>
      <c r="G1624" s="57"/>
      <c r="H1624" s="4" t="s">
        <v>7436</v>
      </c>
      <c r="I1624" s="4"/>
      <c r="J1624" s="4"/>
      <c r="K1624" s="54"/>
      <c r="L1624" s="57"/>
      <c r="M1624" s="57"/>
      <c r="N1624" s="4" t="s">
        <v>1816</v>
      </c>
      <c r="O1624" s="4">
        <v>677466335</v>
      </c>
      <c r="P1624" s="4">
        <v>677466336</v>
      </c>
      <c r="Q1624" s="767"/>
      <c r="R1624" s="767"/>
      <c r="S1624" s="4"/>
      <c r="T1624" s="4"/>
      <c r="U1624" s="4"/>
      <c r="V1624" s="4"/>
      <c r="W1624" s="4"/>
      <c r="X1624" s="4" t="s">
        <v>1816</v>
      </c>
      <c r="Y1624" s="4" t="s">
        <v>4066</v>
      </c>
      <c r="Z1624" s="35"/>
      <c r="AA1624" s="1" t="str">
        <f>IFERROR(VLOOKUP(D:D,[1]Габариты!$A:$I,9,0),"")</f>
        <v>Вакансия</v>
      </c>
      <c r="AB1624" s="6" t="str">
        <f>IFERROR(VLOOKUP(D:D,[1]Габариты!$A:$D,4,0),"")</f>
        <v>ГОСТИНАЯ</v>
      </c>
      <c r="AC1624" s="39" t="str">
        <f t="shared" si="211"/>
        <v>03538/03539</v>
      </c>
      <c r="AD1624" s="13" t="str">
        <f t="shared" ref="AD1624:AD1627" si="212">C1624</f>
        <v>СКГТ (ОЗОН)</v>
      </c>
    </row>
    <row r="1625" spans="1:30" s="6" customFormat="1" ht="20.100000000000001" customHeight="1" outlineLevel="1" x14ac:dyDescent="0.25">
      <c r="A1625" s="635" t="s">
        <v>989</v>
      </c>
      <c r="B1625" s="3"/>
      <c r="C1625" s="13" t="s">
        <v>3172</v>
      </c>
      <c r="D1625" s="39">
        <v>775</v>
      </c>
      <c r="E1625" s="4">
        <v>10</v>
      </c>
      <c r="F1625" s="101">
        <v>775</v>
      </c>
      <c r="G1625" s="57"/>
      <c r="H1625" s="4" t="s">
        <v>7417</v>
      </c>
      <c r="I1625" s="4"/>
      <c r="J1625" s="4"/>
      <c r="K1625" s="54"/>
      <c r="L1625" s="57"/>
      <c r="M1625" s="57"/>
      <c r="N1625" s="806" t="s">
        <v>7688</v>
      </c>
      <c r="O1625" s="4">
        <v>472332478</v>
      </c>
      <c r="P1625" s="4">
        <v>472332479</v>
      </c>
      <c r="Q1625" s="767"/>
      <c r="R1625" s="767"/>
      <c r="S1625" s="4"/>
      <c r="T1625" s="4"/>
      <c r="U1625" s="4"/>
      <c r="V1625" s="4"/>
      <c r="W1625" s="4"/>
      <c r="X1625" s="4"/>
      <c r="Y1625" s="4" t="s">
        <v>4066</v>
      </c>
      <c r="Z1625" s="35"/>
      <c r="AA1625" s="1" t="str">
        <f>IFERROR(VLOOKUP(D:D,[1]Габариты!$A:$I,9,0),"")</f>
        <v>Вакансия</v>
      </c>
      <c r="AB1625" s="6" t="str">
        <f>IFERROR(VLOOKUP(D:D,[1]Габариты!$A:$D,4,0),"")</f>
        <v>ГОСТИНАЯ</v>
      </c>
      <c r="AC1625" s="39">
        <f t="shared" si="211"/>
        <v>775</v>
      </c>
      <c r="AD1625" s="13" t="str">
        <f t="shared" si="212"/>
        <v xml:space="preserve">СКГТ </v>
      </c>
    </row>
    <row r="1626" spans="1:30" s="1" customFormat="1" ht="20.100000000000001" customHeight="1" outlineLevel="1" x14ac:dyDescent="0.2">
      <c r="A1626" s="754" t="s">
        <v>961</v>
      </c>
      <c r="B1626" s="754" t="s">
        <v>3846</v>
      </c>
      <c r="C1626" s="13"/>
      <c r="D1626" s="42"/>
      <c r="E1626" s="4"/>
      <c r="F1626" s="101"/>
      <c r="G1626" s="57"/>
      <c r="H1626" s="4"/>
      <c r="I1626" s="4"/>
      <c r="J1626" s="4"/>
      <c r="K1626" s="54"/>
      <c r="L1626" s="57"/>
      <c r="M1626" s="57"/>
      <c r="N1626" s="766"/>
      <c r="O1626" s="17"/>
      <c r="P1626" s="17"/>
      <c r="Q1626" s="767"/>
      <c r="R1626" s="767"/>
      <c r="S1626" s="4"/>
      <c r="T1626" s="4"/>
      <c r="U1626" s="4"/>
      <c r="V1626" s="4"/>
      <c r="W1626" s="4"/>
      <c r="X1626" s="4"/>
      <c r="Y1626" s="4" t="s">
        <v>4066</v>
      </c>
      <c r="Z1626" s="35"/>
      <c r="AA1626" s="1" t="str">
        <f>IFERROR(VLOOKUP(D:D,[1]Габариты!$A:$I,9,0),"")</f>
        <v/>
      </c>
      <c r="AB1626" s="6" t="str">
        <f>IFERROR(VLOOKUP(D:D,[1]Габариты!$A:$D,4,0),"")</f>
        <v/>
      </c>
      <c r="AC1626" s="39"/>
      <c r="AD1626" s="3"/>
    </row>
    <row r="1627" spans="1:30" s="6" customFormat="1" ht="20.100000000000001" customHeight="1" outlineLevel="1" x14ac:dyDescent="0.25">
      <c r="A1627" s="635" t="s">
        <v>960</v>
      </c>
      <c r="B1627" s="3"/>
      <c r="C1627" s="13" t="s">
        <v>2582</v>
      </c>
      <c r="D1627" s="39">
        <v>16057</v>
      </c>
      <c r="E1627" s="4">
        <v>20</v>
      </c>
      <c r="F1627" s="101">
        <v>16057</v>
      </c>
      <c r="G1627" s="57"/>
      <c r="H1627" s="4" t="s">
        <v>7418</v>
      </c>
      <c r="I1627" s="4"/>
      <c r="J1627" s="4"/>
      <c r="K1627" s="54"/>
      <c r="L1627" s="57"/>
      <c r="M1627" s="57"/>
      <c r="N1627" s="4" t="s">
        <v>1003</v>
      </c>
      <c r="O1627" s="818">
        <v>551412049</v>
      </c>
      <c r="P1627" s="818">
        <v>551412050</v>
      </c>
      <c r="Q1627" s="767"/>
      <c r="R1627" s="767"/>
      <c r="S1627" s="4"/>
      <c r="T1627" s="4"/>
      <c r="U1627" s="4"/>
      <c r="V1627" s="4"/>
      <c r="W1627" s="4"/>
      <c r="X1627" s="4" t="s">
        <v>1003</v>
      </c>
      <c r="Y1627" s="4" t="s">
        <v>4066</v>
      </c>
      <c r="Z1627" s="35"/>
      <c r="AA1627" s="1" t="str">
        <f>IFERROR(VLOOKUP(D:D,[1]Габариты!$A:$I,9,0),"")</f>
        <v>Вакансия</v>
      </c>
      <c r="AB1627" s="6" t="str">
        <f>IFERROR(VLOOKUP(D:D,[1]Габариты!$A:$D,4,0),"")</f>
        <v>ЭТАЖЕРКИ</v>
      </c>
      <c r="AC1627" s="39">
        <f t="shared" si="211"/>
        <v>16057</v>
      </c>
      <c r="AD1627" s="13" t="str">
        <f t="shared" si="212"/>
        <v>FBO</v>
      </c>
    </row>
    <row r="1628" spans="1:30" s="1" customFormat="1" ht="20.100000000000001" customHeight="1" outlineLevel="1" x14ac:dyDescent="0.25">
      <c r="A1628" s="736" t="s">
        <v>5517</v>
      </c>
      <c r="B1628" s="16"/>
      <c r="C1628" s="13"/>
      <c r="D1628" s="42"/>
      <c r="E1628" s="4"/>
      <c r="F1628" s="101"/>
      <c r="G1628" s="57"/>
      <c r="H1628" s="4"/>
      <c r="I1628" s="4"/>
      <c r="J1628" s="4"/>
      <c r="K1628" s="54"/>
      <c r="L1628" s="57"/>
      <c r="M1628" s="57"/>
      <c r="N1628" s="766"/>
      <c r="O1628" s="17"/>
      <c r="P1628" s="17"/>
      <c r="Q1628" s="767"/>
      <c r="R1628" s="767"/>
      <c r="S1628" s="4"/>
      <c r="T1628" s="4"/>
      <c r="U1628" s="4"/>
      <c r="V1628" s="4"/>
      <c r="W1628" s="4"/>
      <c r="X1628" s="4"/>
      <c r="Y1628" s="4"/>
      <c r="Z1628" s="35"/>
      <c r="AB1628" s="6"/>
      <c r="AC1628" s="39"/>
      <c r="AD1628" s="3"/>
    </row>
    <row r="1629" spans="1:30" s="6" customFormat="1" ht="20.100000000000001" customHeight="1" x14ac:dyDescent="0.25">
      <c r="A1629" s="631" t="s">
        <v>5405</v>
      </c>
      <c r="B1629" s="3"/>
      <c r="C1629" s="3"/>
      <c r="D1629" s="54">
        <v>3454</v>
      </c>
      <c r="E1629" s="4"/>
      <c r="F1629" s="101">
        <v>3454</v>
      </c>
      <c r="G1629" s="57" t="s">
        <v>5404</v>
      </c>
      <c r="H1629" s="4"/>
      <c r="I1629" s="4"/>
      <c r="J1629" s="4"/>
      <c r="K1629" s="54" t="s">
        <v>7838</v>
      </c>
      <c r="L1629" s="57">
        <v>951404690</v>
      </c>
      <c r="M1629" s="57">
        <v>951404690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3"/>
      <c r="AC1629" s="39">
        <f t="shared" si="211"/>
        <v>3454</v>
      </c>
      <c r="AD1629" s="3"/>
    </row>
    <row r="1630" spans="1:30" s="6" customFormat="1" ht="20.100000000000001" customHeight="1" x14ac:dyDescent="0.25">
      <c r="A1630" s="631" t="s">
        <v>8359</v>
      </c>
      <c r="B1630" s="395"/>
      <c r="C1630" s="395"/>
      <c r="D1630" s="398">
        <v>3684</v>
      </c>
      <c r="E1630" s="397"/>
      <c r="F1630" s="398" t="s">
        <v>8358</v>
      </c>
      <c r="G1630" s="399" t="s">
        <v>8745</v>
      </c>
      <c r="H1630" s="397"/>
      <c r="I1630" s="4"/>
      <c r="J1630" s="4"/>
      <c r="K1630" s="398" t="s">
        <v>8358</v>
      </c>
      <c r="L1630" s="399">
        <v>1842379754</v>
      </c>
      <c r="M1630" s="399">
        <v>1842379754</v>
      </c>
      <c r="N1630" s="397"/>
      <c r="O1630" s="397"/>
      <c r="P1630" s="397"/>
      <c r="Q1630" s="397"/>
      <c r="R1630" s="397"/>
      <c r="S1630" s="397"/>
      <c r="T1630" s="397"/>
      <c r="U1630" s="397"/>
      <c r="V1630" s="397"/>
      <c r="W1630" s="397"/>
      <c r="X1630" s="397"/>
      <c r="Y1630" s="397"/>
      <c r="Z1630" s="395"/>
      <c r="AC1630" s="39">
        <f t="shared" si="211"/>
        <v>3684</v>
      </c>
      <c r="AD1630" s="395"/>
    </row>
    <row r="1631" spans="1:30" s="6" customFormat="1" ht="20.100000000000001" customHeight="1" x14ac:dyDescent="0.25">
      <c r="A1631" s="631" t="s">
        <v>5407</v>
      </c>
      <c r="B1631" s="3"/>
      <c r="C1631" s="3"/>
      <c r="D1631" s="54">
        <v>3731</v>
      </c>
      <c r="E1631" s="4"/>
      <c r="F1631" s="101">
        <v>3731</v>
      </c>
      <c r="G1631" s="57" t="s">
        <v>5406</v>
      </c>
      <c r="H1631" s="4"/>
      <c r="I1631" s="4"/>
      <c r="J1631" s="4"/>
      <c r="K1631" s="54" t="s">
        <v>7839</v>
      </c>
      <c r="L1631" s="57">
        <v>1128791306</v>
      </c>
      <c r="M1631" s="57">
        <v>1128791306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3"/>
      <c r="AC1631" s="39">
        <f t="shared" si="211"/>
        <v>3731</v>
      </c>
      <c r="AD1631" s="3"/>
    </row>
    <row r="1632" spans="1:30" s="6" customFormat="1" ht="20.100000000000001" customHeight="1" x14ac:dyDescent="0.25">
      <c r="A1632" s="631" t="s">
        <v>5408</v>
      </c>
      <c r="B1632" s="3"/>
      <c r="C1632" s="3"/>
      <c r="D1632" s="54">
        <v>3744</v>
      </c>
      <c r="E1632" s="4"/>
      <c r="F1632" s="101">
        <v>3744</v>
      </c>
      <c r="G1632" s="57" t="s">
        <v>5409</v>
      </c>
      <c r="H1632" s="4"/>
      <c r="I1632" s="4"/>
      <c r="J1632" s="4"/>
      <c r="K1632" s="54" t="s">
        <v>7840</v>
      </c>
      <c r="L1632" s="57">
        <v>1149428918</v>
      </c>
      <c r="M1632" s="57">
        <v>1149428918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3"/>
      <c r="AC1632" s="39">
        <f t="shared" si="211"/>
        <v>3744</v>
      </c>
      <c r="AD1632" s="3"/>
    </row>
    <row r="1633" spans="1:30" s="6" customFormat="1" ht="20.100000000000001" customHeight="1" x14ac:dyDescent="0.25">
      <c r="A1633" s="631" t="s">
        <v>5411</v>
      </c>
      <c r="B1633" s="3"/>
      <c r="C1633" s="3"/>
      <c r="D1633" s="54">
        <v>3834</v>
      </c>
      <c r="E1633" s="4"/>
      <c r="F1633" s="101">
        <v>3834</v>
      </c>
      <c r="G1633" s="57" t="s">
        <v>5410</v>
      </c>
      <c r="H1633" s="4"/>
      <c r="I1633" s="4"/>
      <c r="J1633" s="4"/>
      <c r="K1633" s="54" t="s">
        <v>7841</v>
      </c>
      <c r="L1633" s="57">
        <v>1340922418</v>
      </c>
      <c r="M1633" s="57">
        <v>1340922418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3"/>
      <c r="AC1633" s="39">
        <f t="shared" si="211"/>
        <v>3834</v>
      </c>
      <c r="AD1633" s="3"/>
    </row>
    <row r="1634" spans="1:30" s="6" customFormat="1" ht="20.100000000000001" customHeight="1" x14ac:dyDescent="0.25">
      <c r="A1634" s="635" t="s">
        <v>5412</v>
      </c>
      <c r="B1634" s="3"/>
      <c r="C1634" s="3"/>
      <c r="D1634" s="54">
        <v>3248</v>
      </c>
      <c r="E1634" s="4"/>
      <c r="F1634" s="101">
        <v>3248</v>
      </c>
      <c r="G1634" s="57" t="s">
        <v>5415</v>
      </c>
      <c r="H1634" s="4"/>
      <c r="I1634" s="4"/>
      <c r="J1634" s="4"/>
      <c r="K1634" s="54" t="s">
        <v>7842</v>
      </c>
      <c r="L1634" s="57">
        <v>1586510115</v>
      </c>
      <c r="M1634" s="57">
        <v>1586510115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3"/>
      <c r="AC1634" s="39">
        <f t="shared" si="211"/>
        <v>3248</v>
      </c>
      <c r="AD1634" s="3"/>
    </row>
    <row r="1635" spans="1:30" s="6" customFormat="1" ht="20.100000000000001" customHeight="1" x14ac:dyDescent="0.25">
      <c r="A1635" s="635" t="s">
        <v>5413</v>
      </c>
      <c r="B1635" s="3"/>
      <c r="C1635" s="3"/>
      <c r="D1635" s="54">
        <v>3253</v>
      </c>
      <c r="E1635" s="4"/>
      <c r="F1635" s="101">
        <v>3253</v>
      </c>
      <c r="G1635" s="57" t="s">
        <v>5416</v>
      </c>
      <c r="H1635" s="4"/>
      <c r="I1635" s="4"/>
      <c r="J1635" s="4"/>
      <c r="K1635" s="54" t="s">
        <v>7843</v>
      </c>
      <c r="L1635" s="57">
        <v>1588699840</v>
      </c>
      <c r="M1635" s="57">
        <v>1588699840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3"/>
      <c r="AC1635" s="39">
        <f t="shared" si="211"/>
        <v>3253</v>
      </c>
      <c r="AD1635" s="3"/>
    </row>
    <row r="1636" spans="1:30" s="6" customFormat="1" ht="20.100000000000001" customHeight="1" x14ac:dyDescent="0.25">
      <c r="A1636" s="635" t="s">
        <v>5414</v>
      </c>
      <c r="B1636" s="3"/>
      <c r="C1636" s="3"/>
      <c r="D1636" s="54">
        <v>3789</v>
      </c>
      <c r="E1636" s="4"/>
      <c r="F1636" s="101">
        <v>3789</v>
      </c>
      <c r="G1636" s="57" t="s">
        <v>5417</v>
      </c>
      <c r="H1636" s="4"/>
      <c r="I1636" s="4"/>
      <c r="J1636" s="4"/>
      <c r="K1636" s="54" t="s">
        <v>7844</v>
      </c>
      <c r="L1636" s="57">
        <v>1588745855</v>
      </c>
      <c r="M1636" s="57">
        <v>1588745855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3"/>
      <c r="AC1636" s="39">
        <f t="shared" si="211"/>
        <v>3789</v>
      </c>
      <c r="AD1636" s="3"/>
    </row>
    <row r="1637" spans="1:30" s="6" customFormat="1" ht="20.100000000000001" customHeight="1" x14ac:dyDescent="0.25">
      <c r="A1637" s="635" t="s">
        <v>5423</v>
      </c>
      <c r="B1637" s="3"/>
      <c r="C1637" s="3"/>
      <c r="D1637" s="54">
        <v>3553</v>
      </c>
      <c r="E1637" s="4"/>
      <c r="F1637" s="101">
        <v>3553</v>
      </c>
      <c r="G1637" s="57" t="s">
        <v>5418</v>
      </c>
      <c r="H1637" s="4"/>
      <c r="I1637" s="4"/>
      <c r="J1637" s="4"/>
      <c r="K1637" s="54" t="s">
        <v>7845</v>
      </c>
      <c r="L1637" s="57">
        <v>1604813065</v>
      </c>
      <c r="M1637" s="57">
        <v>1604813065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3"/>
      <c r="AC1637" s="39">
        <f t="shared" si="211"/>
        <v>3553</v>
      </c>
      <c r="AD1637" s="3"/>
    </row>
    <row r="1638" spans="1:30" s="6" customFormat="1" ht="20.100000000000001" customHeight="1" x14ac:dyDescent="0.25">
      <c r="A1638" s="665" t="s">
        <v>5424</v>
      </c>
      <c r="B1638" s="3"/>
      <c r="C1638" s="3"/>
      <c r="D1638" s="54">
        <v>3732</v>
      </c>
      <c r="E1638" s="4"/>
      <c r="F1638" s="101">
        <v>3732</v>
      </c>
      <c r="G1638" s="57" t="s">
        <v>5420</v>
      </c>
      <c r="H1638" s="4"/>
      <c r="I1638" s="4"/>
      <c r="J1638" s="4"/>
      <c r="K1638" s="54" t="s">
        <v>7847</v>
      </c>
      <c r="L1638" s="57">
        <v>1617511071</v>
      </c>
      <c r="M1638" s="57">
        <v>1617511071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3"/>
      <c r="AC1638" s="39">
        <f t="shared" si="211"/>
        <v>3732</v>
      </c>
      <c r="AD1638" s="3"/>
    </row>
    <row r="1639" spans="1:30" s="6" customFormat="1" ht="20.100000000000001" customHeight="1" x14ac:dyDescent="0.25">
      <c r="A1639" s="631" t="s">
        <v>5425</v>
      </c>
      <c r="B1639" s="3"/>
      <c r="C1639" s="3"/>
      <c r="D1639" s="54">
        <v>3788</v>
      </c>
      <c r="E1639" s="4"/>
      <c r="F1639" s="101">
        <v>3788</v>
      </c>
      <c r="G1639" s="57" t="s">
        <v>5422</v>
      </c>
      <c r="H1639" s="4"/>
      <c r="I1639" s="4"/>
      <c r="J1639" s="4"/>
      <c r="K1639" s="54" t="s">
        <v>7849</v>
      </c>
      <c r="L1639" s="57">
        <v>1617575133</v>
      </c>
      <c r="M1639" s="57">
        <v>1617575133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3"/>
      <c r="AC1639" s="39">
        <f t="shared" si="211"/>
        <v>3788</v>
      </c>
      <c r="AD1639" s="3"/>
    </row>
    <row r="1640" spans="1:30" s="6" customFormat="1" ht="20.100000000000001" customHeight="1" x14ac:dyDescent="0.25">
      <c r="A1640" s="631" t="s">
        <v>5612</v>
      </c>
      <c r="B1640" s="3"/>
      <c r="C1640" s="3"/>
      <c r="D1640" s="63">
        <v>3393</v>
      </c>
      <c r="E1640" s="4"/>
      <c r="F1640" s="101">
        <v>3393</v>
      </c>
      <c r="G1640" s="57" t="s">
        <v>5069</v>
      </c>
      <c r="H1640" s="4"/>
      <c r="I1640" s="4"/>
      <c r="J1640" s="4"/>
      <c r="K1640" s="54" t="s">
        <v>7850</v>
      </c>
      <c r="L1640" s="57">
        <v>942968534</v>
      </c>
      <c r="M1640" s="57">
        <v>942968534</v>
      </c>
      <c r="N1640" s="766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62"/>
      <c r="AC1640" s="39">
        <f t="shared" si="211"/>
        <v>3393</v>
      </c>
      <c r="AD1640" s="3"/>
    </row>
    <row r="1641" spans="1:30" s="6" customFormat="1" ht="20.100000000000001" customHeight="1" x14ac:dyDescent="0.25">
      <c r="A1641" s="631" t="s">
        <v>5613</v>
      </c>
      <c r="B1641" s="3"/>
      <c r="C1641" s="3"/>
      <c r="D1641" s="63">
        <v>3567</v>
      </c>
      <c r="E1641" s="4"/>
      <c r="F1641" s="101">
        <v>3567</v>
      </c>
      <c r="G1641" s="57" t="s">
        <v>5088</v>
      </c>
      <c r="H1641" s="4"/>
      <c r="I1641" s="4"/>
      <c r="J1641" s="4"/>
      <c r="K1641" s="54" t="s">
        <v>7851</v>
      </c>
      <c r="L1641" s="57">
        <v>951033079</v>
      </c>
      <c r="M1641" s="57">
        <v>951033079</v>
      </c>
      <c r="N1641" s="766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62"/>
      <c r="AC1641" s="39">
        <f t="shared" si="211"/>
        <v>3567</v>
      </c>
      <c r="AD1641" s="3"/>
    </row>
    <row r="1642" spans="1:30" s="6" customFormat="1" ht="20.100000000000001" customHeight="1" x14ac:dyDescent="0.25">
      <c r="A1642" s="631" t="s">
        <v>5614</v>
      </c>
      <c r="B1642" s="3"/>
      <c r="C1642" s="3"/>
      <c r="D1642" s="63">
        <v>3402</v>
      </c>
      <c r="E1642" s="4"/>
      <c r="F1642" s="101">
        <v>3402</v>
      </c>
      <c r="G1642" s="57" t="s">
        <v>5072</v>
      </c>
      <c r="H1642" s="4"/>
      <c r="I1642" s="4"/>
      <c r="J1642" s="4"/>
      <c r="K1642" s="54" t="s">
        <v>7852</v>
      </c>
      <c r="L1642" s="57">
        <v>1044595378</v>
      </c>
      <c r="M1642" s="57">
        <v>1044595378</v>
      </c>
      <c r="N1642" s="766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62"/>
      <c r="AC1642" s="39">
        <f t="shared" si="211"/>
        <v>3402</v>
      </c>
      <c r="AD1642" s="3"/>
    </row>
    <row r="1643" spans="1:30" s="6" customFormat="1" ht="20.100000000000001" customHeight="1" x14ac:dyDescent="0.25">
      <c r="A1643" s="631" t="s">
        <v>5615</v>
      </c>
      <c r="B1643" s="3"/>
      <c r="C1643" s="3"/>
      <c r="D1643" s="63">
        <v>3562</v>
      </c>
      <c r="E1643" s="4"/>
      <c r="F1643" s="101">
        <v>3562</v>
      </c>
      <c r="G1643" s="57" t="s">
        <v>5086</v>
      </c>
      <c r="H1643" s="4"/>
      <c r="I1643" s="4"/>
      <c r="J1643" s="4"/>
      <c r="K1643" s="54" t="s">
        <v>7853</v>
      </c>
      <c r="L1643" s="57">
        <v>967096491</v>
      </c>
      <c r="M1643" s="57">
        <v>967096491</v>
      </c>
      <c r="N1643" s="766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62"/>
      <c r="AC1643" s="39">
        <f t="shared" si="211"/>
        <v>3562</v>
      </c>
      <c r="AD1643" s="3"/>
    </row>
    <row r="1644" spans="1:30" s="6" customFormat="1" ht="20.100000000000001" customHeight="1" x14ac:dyDescent="0.25">
      <c r="A1644" s="631" t="s">
        <v>5616</v>
      </c>
      <c r="B1644" s="3"/>
      <c r="C1644" s="3"/>
      <c r="D1644" s="63">
        <v>3583</v>
      </c>
      <c r="E1644" s="4"/>
      <c r="F1644" s="101">
        <v>3583</v>
      </c>
      <c r="G1644" s="57" t="s">
        <v>5093</v>
      </c>
      <c r="H1644" s="4"/>
      <c r="I1644" s="4"/>
      <c r="J1644" s="4"/>
      <c r="K1644" s="54" t="s">
        <v>7854</v>
      </c>
      <c r="L1644" s="57">
        <v>964595642</v>
      </c>
      <c r="M1644" s="57">
        <v>964595642</v>
      </c>
      <c r="N1644" s="766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62"/>
      <c r="AC1644" s="39">
        <f t="shared" si="211"/>
        <v>3583</v>
      </c>
      <c r="AD1644" s="3"/>
    </row>
    <row r="1645" spans="1:30" s="6" customFormat="1" ht="20.100000000000001" customHeight="1" x14ac:dyDescent="0.25">
      <c r="A1645" s="631" t="s">
        <v>5617</v>
      </c>
      <c r="B1645" s="3"/>
      <c r="C1645" s="3"/>
      <c r="D1645" s="63">
        <v>3602</v>
      </c>
      <c r="E1645" s="4"/>
      <c r="F1645" s="101">
        <v>3602</v>
      </c>
      <c r="G1645" s="57" t="s">
        <v>5095</v>
      </c>
      <c r="H1645" s="4"/>
      <c r="I1645" s="4"/>
      <c r="J1645" s="4"/>
      <c r="K1645" s="54" t="s">
        <v>7855</v>
      </c>
      <c r="L1645" s="57">
        <v>981798784</v>
      </c>
      <c r="M1645" s="57">
        <v>981798784</v>
      </c>
      <c r="N1645" s="766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62"/>
      <c r="AC1645" s="39">
        <f t="shared" si="211"/>
        <v>3602</v>
      </c>
      <c r="AD1645" s="3"/>
    </row>
    <row r="1646" spans="1:30" s="6" customFormat="1" ht="20.100000000000001" customHeight="1" x14ac:dyDescent="0.25">
      <c r="A1646" s="631" t="s">
        <v>5618</v>
      </c>
      <c r="B1646" s="3"/>
      <c r="C1646" s="3"/>
      <c r="D1646" s="63">
        <v>3604</v>
      </c>
      <c r="E1646" s="4"/>
      <c r="F1646" s="101">
        <v>3604</v>
      </c>
      <c r="G1646" s="57" t="s">
        <v>5096</v>
      </c>
      <c r="H1646" s="4"/>
      <c r="I1646" s="4"/>
      <c r="J1646" s="4"/>
      <c r="K1646" s="54" t="s">
        <v>7856</v>
      </c>
      <c r="L1646" s="57">
        <v>981477674</v>
      </c>
      <c r="M1646" s="57">
        <v>981477674</v>
      </c>
      <c r="N1646" s="766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62"/>
      <c r="AC1646" s="39">
        <f t="shared" si="211"/>
        <v>3604</v>
      </c>
      <c r="AD1646" s="3"/>
    </row>
    <row r="1647" spans="1:30" s="6" customFormat="1" ht="20.100000000000001" customHeight="1" x14ac:dyDescent="0.25">
      <c r="A1647" s="631" t="s">
        <v>5619</v>
      </c>
      <c r="B1647" s="3"/>
      <c r="C1647" s="3"/>
      <c r="D1647" s="63">
        <v>3594</v>
      </c>
      <c r="E1647" s="4"/>
      <c r="F1647" s="101">
        <v>3594</v>
      </c>
      <c r="G1647" s="57" t="s">
        <v>5094</v>
      </c>
      <c r="H1647" s="4"/>
      <c r="I1647" s="4"/>
      <c r="J1647" s="4"/>
      <c r="K1647" s="54" t="s">
        <v>7857</v>
      </c>
      <c r="L1647" s="57">
        <v>1202464208</v>
      </c>
      <c r="M1647" s="57">
        <v>1202464208</v>
      </c>
      <c r="N1647" s="766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62"/>
      <c r="AC1647" s="39">
        <f t="shared" si="211"/>
        <v>3594</v>
      </c>
      <c r="AD1647" s="3"/>
    </row>
    <row r="1648" spans="1:30" s="6" customFormat="1" ht="20.100000000000001" customHeight="1" x14ac:dyDescent="0.25">
      <c r="A1648" s="631" t="s">
        <v>5620</v>
      </c>
      <c r="B1648" s="3"/>
      <c r="C1648" s="3"/>
      <c r="D1648" s="63">
        <v>3616</v>
      </c>
      <c r="E1648" s="4"/>
      <c r="F1648" s="101">
        <v>3616</v>
      </c>
      <c r="G1648" s="57" t="s">
        <v>5098</v>
      </c>
      <c r="H1648" s="4"/>
      <c r="I1648" s="4"/>
      <c r="J1648" s="4"/>
      <c r="K1648" s="54" t="s">
        <v>7858</v>
      </c>
      <c r="L1648" s="57">
        <v>1061435854</v>
      </c>
      <c r="M1648" s="57">
        <v>1061435854</v>
      </c>
      <c r="N1648" s="766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62"/>
      <c r="AC1648" s="39">
        <f t="shared" si="211"/>
        <v>3616</v>
      </c>
      <c r="AD1648" s="3"/>
    </row>
    <row r="1649" spans="1:30" s="6" customFormat="1" ht="20.100000000000001" customHeight="1" x14ac:dyDescent="0.25">
      <c r="A1649" s="631" t="s">
        <v>5621</v>
      </c>
      <c r="B1649" s="3"/>
      <c r="C1649" s="3"/>
      <c r="D1649" s="63">
        <v>3547</v>
      </c>
      <c r="E1649" s="4"/>
      <c r="F1649" s="101">
        <v>3547</v>
      </c>
      <c r="G1649" s="57" t="s">
        <v>5080</v>
      </c>
      <c r="H1649" s="4"/>
      <c r="I1649" s="4"/>
      <c r="J1649" s="4"/>
      <c r="K1649" s="54" t="s">
        <v>7859</v>
      </c>
      <c r="L1649" s="57">
        <v>1082883683</v>
      </c>
      <c r="M1649" s="57">
        <v>1082883683</v>
      </c>
      <c r="N1649" s="766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62"/>
      <c r="AC1649" s="39">
        <f t="shared" si="211"/>
        <v>3547</v>
      </c>
      <c r="AD1649" s="3"/>
    </row>
    <row r="1650" spans="1:30" s="6" customFormat="1" ht="20.100000000000001" customHeight="1" x14ac:dyDescent="0.25">
      <c r="A1650" s="631" t="s">
        <v>5622</v>
      </c>
      <c r="B1650" s="3"/>
      <c r="C1650" s="3"/>
      <c r="D1650" s="63">
        <v>3730</v>
      </c>
      <c r="E1650" s="4"/>
      <c r="F1650" s="101">
        <v>3730</v>
      </c>
      <c r="G1650" s="57" t="s">
        <v>5111</v>
      </c>
      <c r="H1650" s="4"/>
      <c r="I1650" s="4"/>
      <c r="J1650" s="4"/>
      <c r="K1650" s="54" t="s">
        <v>7860</v>
      </c>
      <c r="L1650" s="57">
        <v>1128787289</v>
      </c>
      <c r="M1650" s="57">
        <v>1128787289</v>
      </c>
      <c r="N1650" s="766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62"/>
      <c r="AC1650" s="39">
        <f t="shared" si="211"/>
        <v>3730</v>
      </c>
      <c r="AD1650" s="3"/>
    </row>
    <row r="1651" spans="1:30" s="6" customFormat="1" ht="20.100000000000001" customHeight="1" x14ac:dyDescent="0.25">
      <c r="A1651" s="631" t="s">
        <v>5623</v>
      </c>
      <c r="B1651" s="3"/>
      <c r="C1651" s="3"/>
      <c r="D1651" s="63">
        <v>3734</v>
      </c>
      <c r="E1651" s="4"/>
      <c r="F1651" s="101">
        <v>3734</v>
      </c>
      <c r="G1651" s="57" t="s">
        <v>5112</v>
      </c>
      <c r="H1651" s="4"/>
      <c r="I1651" s="4"/>
      <c r="J1651" s="4"/>
      <c r="K1651" s="54" t="s">
        <v>7861</v>
      </c>
      <c r="L1651" s="57">
        <v>1128824803</v>
      </c>
      <c r="M1651" s="57">
        <v>1128824803</v>
      </c>
      <c r="N1651" s="766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62"/>
      <c r="AC1651" s="39">
        <f t="shared" si="211"/>
        <v>3734</v>
      </c>
      <c r="AD1651" s="3"/>
    </row>
    <row r="1652" spans="1:30" s="6" customFormat="1" ht="20.100000000000001" customHeight="1" x14ac:dyDescent="0.25">
      <c r="A1652" s="631" t="s">
        <v>5624</v>
      </c>
      <c r="B1652" s="3"/>
      <c r="C1652" s="3"/>
      <c r="D1652" s="63">
        <v>3318</v>
      </c>
      <c r="E1652" s="4"/>
      <c r="F1652" s="101">
        <v>3318</v>
      </c>
      <c r="G1652" s="57" t="s">
        <v>5056</v>
      </c>
      <c r="H1652" s="4"/>
      <c r="I1652" s="4"/>
      <c r="J1652" s="4"/>
      <c r="K1652" s="54" t="s">
        <v>7862</v>
      </c>
      <c r="L1652" s="57">
        <v>910852673</v>
      </c>
      <c r="M1652" s="57">
        <v>910852673</v>
      </c>
      <c r="N1652" s="766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62"/>
      <c r="AC1652" s="39">
        <f t="shared" si="211"/>
        <v>3318</v>
      </c>
      <c r="AD1652" s="3"/>
    </row>
    <row r="1653" spans="1:30" s="6" customFormat="1" ht="20.100000000000001" customHeight="1" x14ac:dyDescent="0.25">
      <c r="A1653" s="631" t="s">
        <v>5625</v>
      </c>
      <c r="B1653" s="3"/>
      <c r="C1653" s="3"/>
      <c r="D1653" s="63">
        <v>3560</v>
      </c>
      <c r="E1653" s="4"/>
      <c r="F1653" s="101">
        <v>3560</v>
      </c>
      <c r="G1653" s="57" t="s">
        <v>5085</v>
      </c>
      <c r="H1653" s="4"/>
      <c r="I1653" s="4"/>
      <c r="J1653" s="4"/>
      <c r="K1653" s="54" t="s">
        <v>7863</v>
      </c>
      <c r="L1653" s="57">
        <v>956374547</v>
      </c>
      <c r="M1653" s="57">
        <v>956374547</v>
      </c>
      <c r="N1653" s="766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62"/>
      <c r="AC1653" s="39">
        <f t="shared" si="211"/>
        <v>3560</v>
      </c>
      <c r="AD1653" s="3"/>
    </row>
    <row r="1654" spans="1:30" s="6" customFormat="1" ht="20.100000000000001" customHeight="1" x14ac:dyDescent="0.25">
      <c r="A1654" s="631" t="s">
        <v>5626</v>
      </c>
      <c r="B1654" s="3"/>
      <c r="C1654" s="3"/>
      <c r="D1654" s="63">
        <v>3839</v>
      </c>
      <c r="E1654" s="4"/>
      <c r="F1654" s="101">
        <v>3839</v>
      </c>
      <c r="G1654" s="57" t="s">
        <v>5123</v>
      </c>
      <c r="H1654" s="4"/>
      <c r="I1654" s="4"/>
      <c r="J1654" s="4"/>
      <c r="K1654" s="54" t="s">
        <v>7864</v>
      </c>
      <c r="L1654" s="57">
        <v>1340945063</v>
      </c>
      <c r="M1654" s="57">
        <v>1340945063</v>
      </c>
      <c r="N1654" s="766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62"/>
      <c r="AC1654" s="39">
        <f t="shared" si="211"/>
        <v>3839</v>
      </c>
      <c r="AD1654" s="3"/>
    </row>
    <row r="1655" spans="1:30" s="6" customFormat="1" ht="20.100000000000001" customHeight="1" x14ac:dyDescent="0.25">
      <c r="A1655" s="631" t="s">
        <v>5627</v>
      </c>
      <c r="B1655" s="3"/>
      <c r="C1655" s="3"/>
      <c r="D1655" s="63">
        <v>3595</v>
      </c>
      <c r="E1655" s="4"/>
      <c r="F1655" s="101">
        <v>3595</v>
      </c>
      <c r="G1655" s="57" t="s">
        <v>8233</v>
      </c>
      <c r="H1655" s="4"/>
      <c r="I1655" s="4"/>
      <c r="J1655" s="4"/>
      <c r="K1655" s="54" t="s">
        <v>7539</v>
      </c>
      <c r="L1655" s="57">
        <v>1071607946</v>
      </c>
      <c r="M1655" s="57">
        <v>1071607946</v>
      </c>
      <c r="N1655" s="766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62"/>
      <c r="AC1655" s="39">
        <f t="shared" si="211"/>
        <v>3595</v>
      </c>
      <c r="AD1655" s="3"/>
    </row>
    <row r="1656" spans="1:30" s="6" customFormat="1" ht="20.100000000000001" customHeight="1" x14ac:dyDescent="0.25">
      <c r="A1656" s="631" t="s">
        <v>5628</v>
      </c>
      <c r="B1656" s="3"/>
      <c r="C1656" s="3"/>
      <c r="D1656" s="63">
        <v>3768</v>
      </c>
      <c r="E1656" s="4"/>
      <c r="F1656" s="101">
        <v>3768</v>
      </c>
      <c r="G1656" s="57" t="s">
        <v>5119</v>
      </c>
      <c r="H1656" s="4"/>
      <c r="I1656" s="4"/>
      <c r="J1656" s="4"/>
      <c r="K1656" s="54" t="s">
        <v>7816</v>
      </c>
      <c r="L1656" s="57">
        <v>1340785848</v>
      </c>
      <c r="M1656" s="57">
        <v>1340785848</v>
      </c>
      <c r="N1656" s="766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62"/>
      <c r="AC1656" s="39">
        <f t="shared" si="211"/>
        <v>3768</v>
      </c>
      <c r="AD1656" s="3"/>
    </row>
    <row r="1657" spans="1:30" s="6" customFormat="1" ht="20.100000000000001" customHeight="1" x14ac:dyDescent="0.25">
      <c r="A1657" s="631" t="s">
        <v>5629</v>
      </c>
      <c r="B1657" s="3"/>
      <c r="C1657" s="3"/>
      <c r="D1657" s="63">
        <v>3868</v>
      </c>
      <c r="E1657" s="4"/>
      <c r="F1657" s="101">
        <v>3868</v>
      </c>
      <c r="G1657" s="57" t="s">
        <v>5125</v>
      </c>
      <c r="H1657" s="4"/>
      <c r="I1657" s="4"/>
      <c r="J1657" s="4"/>
      <c r="K1657" s="54" t="s">
        <v>7817</v>
      </c>
      <c r="L1657" s="57">
        <v>1327269495</v>
      </c>
      <c r="M1657" s="57">
        <v>1327269495</v>
      </c>
      <c r="N1657" s="766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62"/>
      <c r="AC1657" s="39">
        <f t="shared" si="211"/>
        <v>3868</v>
      </c>
      <c r="AD1657" s="3"/>
    </row>
    <row r="1658" spans="1:30" s="6" customFormat="1" ht="20.100000000000001" customHeight="1" x14ac:dyDescent="0.25">
      <c r="A1658" s="631" t="s">
        <v>5630</v>
      </c>
      <c r="B1658" s="3"/>
      <c r="C1658" s="3"/>
      <c r="D1658" s="63">
        <v>3869</v>
      </c>
      <c r="E1658" s="4"/>
      <c r="F1658" s="101">
        <v>3869</v>
      </c>
      <c r="G1658" s="57" t="s">
        <v>5126</v>
      </c>
      <c r="H1658" s="4"/>
      <c r="I1658" s="4"/>
      <c r="J1658" s="4"/>
      <c r="K1658" s="54" t="s">
        <v>7818</v>
      </c>
      <c r="L1658" s="57">
        <v>1340247742</v>
      </c>
      <c r="M1658" s="57">
        <v>1340247742</v>
      </c>
      <c r="N1658" s="766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62"/>
      <c r="AC1658" s="39">
        <f t="shared" si="211"/>
        <v>3869</v>
      </c>
      <c r="AD1658" s="3"/>
    </row>
    <row r="1659" spans="1:30" s="6" customFormat="1" ht="20.100000000000001" customHeight="1" x14ac:dyDescent="0.25">
      <c r="A1659" s="631" t="s">
        <v>5631</v>
      </c>
      <c r="B1659" s="3"/>
      <c r="C1659" s="3"/>
      <c r="D1659" s="63">
        <v>3395</v>
      </c>
      <c r="E1659" s="4"/>
      <c r="F1659" s="101">
        <v>3395</v>
      </c>
      <c r="G1659" s="57" t="s">
        <v>5070</v>
      </c>
      <c r="H1659" s="4"/>
      <c r="I1659" s="4"/>
      <c r="J1659" s="4"/>
      <c r="K1659" s="54" t="s">
        <v>7819</v>
      </c>
      <c r="L1659" s="57">
        <v>942868886</v>
      </c>
      <c r="M1659" s="57">
        <v>942868886</v>
      </c>
      <c r="N1659" s="766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62"/>
      <c r="AC1659" s="39">
        <f t="shared" si="211"/>
        <v>3395</v>
      </c>
      <c r="AD1659" s="3"/>
    </row>
    <row r="1660" spans="1:30" s="6" customFormat="1" ht="20.100000000000001" customHeight="1" x14ac:dyDescent="0.25">
      <c r="A1660" s="631" t="s">
        <v>5633</v>
      </c>
      <c r="B1660" s="3"/>
      <c r="C1660" s="3"/>
      <c r="D1660" s="63">
        <v>3879</v>
      </c>
      <c r="E1660" s="4"/>
      <c r="F1660" s="101">
        <v>3879</v>
      </c>
      <c r="G1660" s="57" t="s">
        <v>5132</v>
      </c>
      <c r="H1660" s="4"/>
      <c r="I1660" s="4"/>
      <c r="J1660" s="4"/>
      <c r="K1660" s="54" t="s">
        <v>7820</v>
      </c>
      <c r="L1660" s="57">
        <v>1313967672</v>
      </c>
      <c r="M1660" s="57">
        <v>1313967672</v>
      </c>
      <c r="N1660" s="766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62"/>
      <c r="AC1660" s="39">
        <f t="shared" si="211"/>
        <v>3879</v>
      </c>
      <c r="AD1660" s="3"/>
    </row>
    <row r="1661" spans="1:30" s="6" customFormat="1" ht="20.100000000000001" customHeight="1" x14ac:dyDescent="0.25">
      <c r="A1661" s="631" t="s">
        <v>5634</v>
      </c>
      <c r="B1661" s="3"/>
      <c r="C1661" s="3"/>
      <c r="D1661" s="63">
        <v>3880</v>
      </c>
      <c r="E1661" s="4"/>
      <c r="F1661" s="101">
        <v>3880</v>
      </c>
      <c r="G1661" s="57" t="s">
        <v>5133</v>
      </c>
      <c r="H1661" s="4"/>
      <c r="I1661" s="4"/>
      <c r="J1661" s="4"/>
      <c r="K1661" s="54" t="s">
        <v>7821</v>
      </c>
      <c r="L1661" s="57">
        <v>1313988322</v>
      </c>
      <c r="M1661" s="57">
        <v>1313988322</v>
      </c>
      <c r="N1661" s="766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62"/>
      <c r="AC1661" s="39">
        <f t="shared" si="211"/>
        <v>3880</v>
      </c>
      <c r="AD1661" s="3"/>
    </row>
    <row r="1662" spans="1:30" s="6" customFormat="1" ht="20.100000000000001" customHeight="1" x14ac:dyDescent="0.25">
      <c r="A1662" s="631" t="s">
        <v>5635</v>
      </c>
      <c r="B1662" s="3"/>
      <c r="C1662" s="3"/>
      <c r="D1662" s="63">
        <v>3876</v>
      </c>
      <c r="E1662" s="4"/>
      <c r="F1662" s="101">
        <v>3876</v>
      </c>
      <c r="G1662" s="57" t="s">
        <v>5130</v>
      </c>
      <c r="H1662" s="4"/>
      <c r="I1662" s="4"/>
      <c r="J1662" s="4"/>
      <c r="K1662" s="54" t="s">
        <v>7822</v>
      </c>
      <c r="L1662" s="57">
        <v>1313442060</v>
      </c>
      <c r="M1662" s="57">
        <v>1313442060</v>
      </c>
      <c r="N1662" s="766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62"/>
      <c r="AC1662" s="39">
        <f t="shared" si="211"/>
        <v>3876</v>
      </c>
      <c r="AD1662" s="3"/>
    </row>
    <row r="1663" spans="1:30" s="6" customFormat="1" ht="20.100000000000001" customHeight="1" x14ac:dyDescent="0.25">
      <c r="A1663" s="631" t="s">
        <v>5636</v>
      </c>
      <c r="B1663" s="3"/>
      <c r="C1663" s="3"/>
      <c r="D1663" s="63">
        <v>3874</v>
      </c>
      <c r="E1663" s="4"/>
      <c r="F1663" s="101">
        <v>3874</v>
      </c>
      <c r="G1663" s="57" t="s">
        <v>5128</v>
      </c>
      <c r="H1663" s="4"/>
      <c r="I1663" s="4"/>
      <c r="J1663" s="4"/>
      <c r="K1663" s="54" t="s">
        <v>7823</v>
      </c>
      <c r="L1663" s="57">
        <v>1313360030</v>
      </c>
      <c r="M1663" s="57">
        <v>1313360030</v>
      </c>
      <c r="N1663" s="766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62"/>
      <c r="AC1663" s="39">
        <f t="shared" si="211"/>
        <v>3874</v>
      </c>
      <c r="AD1663" s="3"/>
    </row>
    <row r="1664" spans="1:30" s="6" customFormat="1" ht="20.100000000000001" customHeight="1" x14ac:dyDescent="0.25">
      <c r="A1664" s="631" t="s">
        <v>5637</v>
      </c>
      <c r="B1664" s="3"/>
      <c r="C1664" s="3"/>
      <c r="D1664" s="63">
        <v>3877</v>
      </c>
      <c r="E1664" s="4"/>
      <c r="F1664" s="101">
        <v>3877</v>
      </c>
      <c r="G1664" s="57" t="s">
        <v>5131</v>
      </c>
      <c r="H1664" s="4"/>
      <c r="I1664" s="4"/>
      <c r="J1664" s="4"/>
      <c r="K1664" s="54" t="s">
        <v>7824</v>
      </c>
      <c r="L1664" s="57">
        <v>1313970474</v>
      </c>
      <c r="M1664" s="57">
        <v>1313970474</v>
      </c>
      <c r="N1664" s="766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62"/>
      <c r="AC1664" s="39">
        <f t="shared" si="211"/>
        <v>3877</v>
      </c>
      <c r="AD1664" s="3"/>
    </row>
    <row r="1665" spans="1:30" s="6" customFormat="1" ht="20.100000000000001" customHeight="1" x14ac:dyDescent="0.25">
      <c r="A1665" s="631" t="s">
        <v>5640</v>
      </c>
      <c r="B1665" s="3"/>
      <c r="C1665" s="3"/>
      <c r="D1665" s="63">
        <v>3707</v>
      </c>
      <c r="E1665" s="4"/>
      <c r="F1665" s="101">
        <v>3707</v>
      </c>
      <c r="G1665" s="57" t="s">
        <v>5108</v>
      </c>
      <c r="H1665" s="4"/>
      <c r="I1665" s="4"/>
      <c r="J1665" s="4"/>
      <c r="K1665" s="54" t="s">
        <v>7826</v>
      </c>
      <c r="L1665" s="57">
        <v>1402780739</v>
      </c>
      <c r="M1665" s="57">
        <v>1402780739</v>
      </c>
      <c r="N1665" s="766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62"/>
      <c r="AC1665" s="39">
        <f t="shared" si="211"/>
        <v>3707</v>
      </c>
      <c r="AD1665" s="3"/>
    </row>
    <row r="1666" spans="1:30" s="6" customFormat="1" ht="20.100000000000001" customHeight="1" x14ac:dyDescent="0.25">
      <c r="A1666" s="631" t="s">
        <v>5641</v>
      </c>
      <c r="B1666" s="3"/>
      <c r="C1666" s="3"/>
      <c r="D1666" s="63">
        <v>3782</v>
      </c>
      <c r="E1666" s="4"/>
      <c r="F1666" s="101">
        <v>3782</v>
      </c>
      <c r="G1666" s="57" t="s">
        <v>5120</v>
      </c>
      <c r="H1666" s="4"/>
      <c r="I1666" s="4"/>
      <c r="J1666" s="4"/>
      <c r="K1666" s="54" t="s">
        <v>7827</v>
      </c>
      <c r="L1666" s="57">
        <v>1404516923</v>
      </c>
      <c r="M1666" s="57">
        <v>1404516923</v>
      </c>
      <c r="N1666" s="766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62"/>
      <c r="AC1666" s="39">
        <f t="shared" si="211"/>
        <v>3782</v>
      </c>
      <c r="AD1666" s="3"/>
    </row>
    <row r="1667" spans="1:30" s="6" customFormat="1" ht="20.100000000000001" customHeight="1" x14ac:dyDescent="0.25">
      <c r="A1667" s="631" t="s">
        <v>5642</v>
      </c>
      <c r="B1667" s="3"/>
      <c r="C1667" s="3"/>
      <c r="D1667" s="54">
        <v>3883</v>
      </c>
      <c r="E1667" s="4"/>
      <c r="F1667" s="101">
        <v>3883</v>
      </c>
      <c r="G1667" s="57" t="s">
        <v>5134</v>
      </c>
      <c r="H1667" s="4"/>
      <c r="I1667" s="4"/>
      <c r="J1667" s="4"/>
      <c r="K1667" s="54" t="s">
        <v>7828</v>
      </c>
      <c r="L1667" s="57">
        <v>1456244350</v>
      </c>
      <c r="M1667" s="57">
        <v>1456244350</v>
      </c>
      <c r="N1667" s="766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62"/>
      <c r="AC1667" s="39">
        <f t="shared" si="211"/>
        <v>3883</v>
      </c>
      <c r="AD1667" s="3"/>
    </row>
    <row r="1668" spans="1:30" s="6" customFormat="1" ht="20.100000000000001" customHeight="1" x14ac:dyDescent="0.25">
      <c r="A1668" s="631" t="s">
        <v>5643</v>
      </c>
      <c r="B1668" s="3"/>
      <c r="C1668" s="3"/>
      <c r="D1668" s="54">
        <v>3884</v>
      </c>
      <c r="E1668" s="4"/>
      <c r="F1668" s="101">
        <v>3884</v>
      </c>
      <c r="G1668" s="57" t="s">
        <v>5135</v>
      </c>
      <c r="H1668" s="4"/>
      <c r="I1668" s="4"/>
      <c r="J1668" s="4"/>
      <c r="K1668" s="54" t="s">
        <v>7829</v>
      </c>
      <c r="L1668" s="57">
        <v>1525221828</v>
      </c>
      <c r="M1668" s="57">
        <v>1525221828</v>
      </c>
      <c r="N1668" s="766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62"/>
      <c r="AC1668" s="39">
        <f t="shared" si="211"/>
        <v>3884</v>
      </c>
      <c r="AD1668" s="3"/>
    </row>
    <row r="1669" spans="1:30" s="6" customFormat="1" ht="20.100000000000001" customHeight="1" x14ac:dyDescent="0.25">
      <c r="A1669" s="631" t="s">
        <v>5644</v>
      </c>
      <c r="B1669" s="3"/>
      <c r="C1669" s="3"/>
      <c r="D1669" s="54">
        <v>3650</v>
      </c>
      <c r="E1669" s="4"/>
      <c r="F1669" s="101">
        <v>3650</v>
      </c>
      <c r="G1669" s="57" t="s">
        <v>5107</v>
      </c>
      <c r="H1669" s="4"/>
      <c r="I1669" s="4"/>
      <c r="J1669" s="4"/>
      <c r="K1669" s="54" t="s">
        <v>7830</v>
      </c>
      <c r="L1669" s="57">
        <v>1524464916</v>
      </c>
      <c r="M1669" s="57">
        <v>1524464916</v>
      </c>
      <c r="N1669" s="766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62"/>
      <c r="AC1669" s="39">
        <f t="shared" si="211"/>
        <v>3650</v>
      </c>
      <c r="AD1669" s="3"/>
    </row>
    <row r="1670" spans="1:30" s="6" customFormat="1" ht="20.100000000000001" customHeight="1" x14ac:dyDescent="0.25">
      <c r="A1670" s="631" t="s">
        <v>5645</v>
      </c>
      <c r="B1670" s="3"/>
      <c r="C1670" s="3"/>
      <c r="D1670" s="54">
        <v>3736</v>
      </c>
      <c r="E1670" s="4"/>
      <c r="F1670" s="101">
        <v>3736</v>
      </c>
      <c r="G1670" s="57" t="s">
        <v>5114</v>
      </c>
      <c r="H1670" s="4"/>
      <c r="I1670" s="4"/>
      <c r="J1670" s="4"/>
      <c r="K1670" s="54" t="s">
        <v>7831</v>
      </c>
      <c r="L1670" s="57">
        <v>1130060342</v>
      </c>
      <c r="M1670" s="57">
        <v>1130060342</v>
      </c>
      <c r="N1670" s="766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62"/>
      <c r="AC1670" s="39">
        <f t="shared" si="211"/>
        <v>3736</v>
      </c>
      <c r="AD1670" s="3"/>
    </row>
    <row r="1671" spans="1:30" s="6" customFormat="1" ht="20.100000000000001" customHeight="1" x14ac:dyDescent="0.25">
      <c r="A1671" s="631" t="s">
        <v>5646</v>
      </c>
      <c r="B1671" s="3"/>
      <c r="C1671" s="3"/>
      <c r="D1671" s="54">
        <v>3743</v>
      </c>
      <c r="E1671" s="4"/>
      <c r="F1671" s="101">
        <v>3743</v>
      </c>
      <c r="G1671" s="57" t="s">
        <v>5116</v>
      </c>
      <c r="H1671" s="4"/>
      <c r="I1671" s="4"/>
      <c r="J1671" s="4"/>
      <c r="K1671" s="54" t="s">
        <v>7832</v>
      </c>
      <c r="L1671" s="57">
        <v>1149422479</v>
      </c>
      <c r="M1671" s="57">
        <v>1149422479</v>
      </c>
      <c r="N1671" s="766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62"/>
      <c r="AC1671" s="39">
        <f t="shared" si="211"/>
        <v>3743</v>
      </c>
      <c r="AD1671" s="3"/>
    </row>
    <row r="1672" spans="1:30" s="6" customFormat="1" ht="20.100000000000001" customHeight="1" x14ac:dyDescent="0.25">
      <c r="A1672" s="631" t="s">
        <v>5647</v>
      </c>
      <c r="B1672" s="3"/>
      <c r="C1672" s="3"/>
      <c r="D1672" s="54">
        <v>3313</v>
      </c>
      <c r="E1672" s="4"/>
      <c r="F1672" s="101">
        <v>3313</v>
      </c>
      <c r="G1672" s="57" t="s">
        <v>5055</v>
      </c>
      <c r="H1672" s="4"/>
      <c r="I1672" s="4"/>
      <c r="J1672" s="4"/>
      <c r="K1672" s="54" t="s">
        <v>7833</v>
      </c>
      <c r="L1672" s="57">
        <v>1564192353</v>
      </c>
      <c r="M1672" s="57">
        <v>1564192353</v>
      </c>
      <c r="N1672" s="766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62"/>
      <c r="AC1672" s="39">
        <f t="shared" si="211"/>
        <v>3313</v>
      </c>
      <c r="AD1672" s="3"/>
    </row>
    <row r="1673" spans="1:30" s="6" customFormat="1" ht="20.100000000000001" customHeight="1" x14ac:dyDescent="0.25">
      <c r="A1673" s="631" t="s">
        <v>5648</v>
      </c>
      <c r="B1673" s="3"/>
      <c r="C1673" s="3"/>
      <c r="D1673" s="54">
        <v>3284</v>
      </c>
      <c r="E1673" s="4"/>
      <c r="F1673" s="101">
        <v>3284</v>
      </c>
      <c r="G1673" s="57" t="s">
        <v>5051</v>
      </c>
      <c r="H1673" s="4"/>
      <c r="I1673" s="4"/>
      <c r="J1673" s="4"/>
      <c r="K1673" s="54" t="s">
        <v>7834</v>
      </c>
      <c r="L1673" s="57">
        <v>1564148263</v>
      </c>
      <c r="M1673" s="57">
        <v>1564148263</v>
      </c>
      <c r="N1673" s="766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62"/>
      <c r="AC1673" s="39">
        <f t="shared" si="211"/>
        <v>3284</v>
      </c>
      <c r="AD1673" s="3"/>
    </row>
    <row r="1674" spans="1:30" s="6" customFormat="1" ht="20.100000000000001" customHeight="1" x14ac:dyDescent="0.25">
      <c r="A1674" s="631" t="s">
        <v>6103</v>
      </c>
      <c r="B1674" s="103"/>
      <c r="C1674" s="103"/>
      <c r="D1674" s="101">
        <v>3574</v>
      </c>
      <c r="E1674" s="100"/>
      <c r="F1674" s="101">
        <v>3574</v>
      </c>
      <c r="G1674" s="102" t="s">
        <v>6102</v>
      </c>
      <c r="H1674" s="4"/>
      <c r="I1674" s="100"/>
      <c r="J1674" s="100"/>
      <c r="K1674" s="54" t="s">
        <v>7835</v>
      </c>
      <c r="L1674" s="102">
        <v>946563279</v>
      </c>
      <c r="M1674" s="102">
        <v>946563279</v>
      </c>
      <c r="N1674" s="780"/>
      <c r="O1674" s="100"/>
      <c r="P1674" s="100"/>
      <c r="Q1674" s="100"/>
      <c r="R1674" s="100"/>
      <c r="S1674" s="100"/>
      <c r="T1674" s="100"/>
      <c r="U1674" s="100"/>
      <c r="V1674" s="100"/>
      <c r="W1674" s="100"/>
      <c r="X1674" s="100"/>
      <c r="Y1674" s="100"/>
      <c r="Z1674" s="105"/>
      <c r="AC1674" s="39">
        <f t="shared" si="211"/>
        <v>3574</v>
      </c>
      <c r="AD1674" s="3"/>
    </row>
    <row r="1675" spans="1:30" s="6" customFormat="1" ht="20.100000000000001" customHeight="1" x14ac:dyDescent="0.25">
      <c r="A1675" s="631" t="s">
        <v>6110</v>
      </c>
      <c r="B1675" s="103"/>
      <c r="C1675" s="103"/>
      <c r="D1675" s="101">
        <v>3563</v>
      </c>
      <c r="E1675" s="100"/>
      <c r="F1675" s="101">
        <v>3563</v>
      </c>
      <c r="G1675" s="102" t="s">
        <v>6111</v>
      </c>
      <c r="H1675" s="4"/>
      <c r="I1675" s="100"/>
      <c r="J1675" s="100"/>
      <c r="K1675" s="101"/>
      <c r="L1675" s="102"/>
      <c r="M1675" s="102"/>
      <c r="N1675" s="780"/>
      <c r="O1675" s="100"/>
      <c r="P1675" s="100"/>
      <c r="Q1675" s="100"/>
      <c r="R1675" s="100"/>
      <c r="S1675" s="100"/>
      <c r="T1675" s="100"/>
      <c r="U1675" s="100"/>
      <c r="V1675" s="100"/>
      <c r="W1675" s="100"/>
      <c r="X1675" s="100"/>
      <c r="Y1675" s="100"/>
      <c r="Z1675" s="105"/>
      <c r="AC1675" s="39">
        <f t="shared" si="211"/>
        <v>3563</v>
      </c>
      <c r="AD1675" s="3"/>
    </row>
    <row r="1676" spans="1:30" s="6" customFormat="1" ht="20.100000000000001" customHeight="1" x14ac:dyDescent="0.25">
      <c r="A1676" s="631" t="s">
        <v>6115</v>
      </c>
      <c r="B1676" s="103"/>
      <c r="C1676" s="103"/>
      <c r="D1676" s="101">
        <v>3581</v>
      </c>
      <c r="E1676" s="100"/>
      <c r="F1676" s="101">
        <v>3581</v>
      </c>
      <c r="G1676" s="102" t="s">
        <v>6114</v>
      </c>
      <c r="H1676" s="4"/>
      <c r="I1676" s="100"/>
      <c r="J1676" s="100"/>
      <c r="K1676" s="54" t="s">
        <v>7836</v>
      </c>
      <c r="L1676" s="102">
        <v>926196256</v>
      </c>
      <c r="M1676" s="102">
        <v>926196256</v>
      </c>
      <c r="N1676" s="780"/>
      <c r="O1676" s="100"/>
      <c r="P1676" s="100"/>
      <c r="Q1676" s="100"/>
      <c r="R1676" s="100"/>
      <c r="S1676" s="100"/>
      <c r="T1676" s="100"/>
      <c r="U1676" s="100"/>
      <c r="V1676" s="100"/>
      <c r="W1676" s="100"/>
      <c r="X1676" s="100"/>
      <c r="Y1676" s="100"/>
      <c r="Z1676" s="105"/>
      <c r="AC1676" s="39">
        <f t="shared" si="211"/>
        <v>3581</v>
      </c>
      <c r="AD1676" s="3"/>
    </row>
    <row r="1677" spans="1:30" s="6" customFormat="1" ht="20.100000000000001" customHeight="1" x14ac:dyDescent="0.25">
      <c r="A1677" s="631" t="s">
        <v>6119</v>
      </c>
      <c r="B1677" s="103"/>
      <c r="C1677" s="103"/>
      <c r="D1677" s="101">
        <v>3638</v>
      </c>
      <c r="E1677" s="100"/>
      <c r="F1677" s="101">
        <v>3638</v>
      </c>
      <c r="G1677" s="102" t="s">
        <v>6116</v>
      </c>
      <c r="H1677" s="4"/>
      <c r="I1677" s="100"/>
      <c r="J1677" s="100"/>
      <c r="K1677" s="101"/>
      <c r="L1677" s="102"/>
      <c r="M1677" s="102"/>
      <c r="N1677" s="780"/>
      <c r="O1677" s="100"/>
      <c r="P1677" s="100"/>
      <c r="Q1677" s="100"/>
      <c r="R1677" s="100"/>
      <c r="S1677" s="100"/>
      <c r="T1677" s="100"/>
      <c r="U1677" s="100"/>
      <c r="V1677" s="100"/>
      <c r="W1677" s="100"/>
      <c r="X1677" s="100"/>
      <c r="Y1677" s="100"/>
      <c r="Z1677" s="105"/>
      <c r="AC1677" s="39">
        <f t="shared" si="211"/>
        <v>3638</v>
      </c>
      <c r="AD1677" s="3"/>
    </row>
    <row r="1678" spans="1:30" s="6" customFormat="1" ht="20.100000000000001" customHeight="1" x14ac:dyDescent="0.25">
      <c r="A1678" s="631" t="s">
        <v>6120</v>
      </c>
      <c r="B1678" s="103"/>
      <c r="C1678" s="103"/>
      <c r="D1678" s="101">
        <v>3639</v>
      </c>
      <c r="E1678" s="100"/>
      <c r="F1678" s="101">
        <v>3639</v>
      </c>
      <c r="G1678" s="102" t="s">
        <v>6117</v>
      </c>
      <c r="H1678" s="4"/>
      <c r="I1678" s="100"/>
      <c r="J1678" s="100"/>
      <c r="K1678" s="101"/>
      <c r="L1678" s="102"/>
      <c r="M1678" s="102"/>
      <c r="N1678" s="780"/>
      <c r="O1678" s="100"/>
      <c r="P1678" s="100"/>
      <c r="Q1678" s="100"/>
      <c r="R1678" s="100"/>
      <c r="S1678" s="100"/>
      <c r="T1678" s="100"/>
      <c r="U1678" s="100"/>
      <c r="V1678" s="100"/>
      <c r="W1678" s="100"/>
      <c r="X1678" s="100"/>
      <c r="Y1678" s="100"/>
      <c r="Z1678" s="105"/>
      <c r="AC1678" s="39">
        <f t="shared" si="211"/>
        <v>3639</v>
      </c>
      <c r="AD1678" s="3"/>
    </row>
    <row r="1679" spans="1:30" s="6" customFormat="1" ht="20.100000000000001" customHeight="1" x14ac:dyDescent="0.25">
      <c r="A1679" s="631" t="s">
        <v>6121</v>
      </c>
      <c r="B1679" s="103"/>
      <c r="C1679" s="103"/>
      <c r="D1679" s="101">
        <v>3640</v>
      </c>
      <c r="E1679" s="100"/>
      <c r="F1679" s="101">
        <v>3640</v>
      </c>
      <c r="G1679" s="102" t="s">
        <v>6118</v>
      </c>
      <c r="H1679" s="4"/>
      <c r="I1679" s="100"/>
      <c r="J1679" s="100"/>
      <c r="K1679" s="101"/>
      <c r="L1679" s="102"/>
      <c r="M1679" s="102"/>
      <c r="N1679" s="780"/>
      <c r="O1679" s="100"/>
      <c r="P1679" s="100"/>
      <c r="Q1679" s="100"/>
      <c r="R1679" s="100"/>
      <c r="S1679" s="100"/>
      <c r="T1679" s="100"/>
      <c r="U1679" s="100"/>
      <c r="V1679" s="100"/>
      <c r="W1679" s="100"/>
      <c r="X1679" s="100"/>
      <c r="Y1679" s="100"/>
      <c r="Z1679" s="105"/>
      <c r="AC1679" s="39">
        <f t="shared" si="211"/>
        <v>3640</v>
      </c>
      <c r="AD1679" s="3"/>
    </row>
    <row r="1680" spans="1:30" s="6" customFormat="1" ht="20.100000000000001" customHeight="1" x14ac:dyDescent="0.25">
      <c r="A1680" s="631" t="s">
        <v>6137</v>
      </c>
      <c r="B1680" s="103"/>
      <c r="C1680" s="103"/>
      <c r="D1680" s="101">
        <v>3885</v>
      </c>
      <c r="E1680" s="100">
        <v>18</v>
      </c>
      <c r="F1680" s="101">
        <v>3885</v>
      </c>
      <c r="G1680" s="102" t="s">
        <v>6138</v>
      </c>
      <c r="H1680" s="4"/>
      <c r="I1680" s="100"/>
      <c r="J1680" s="100"/>
      <c r="K1680" s="54" t="s">
        <v>7837</v>
      </c>
      <c r="L1680" s="102">
        <v>1371410441</v>
      </c>
      <c r="M1680" s="102">
        <v>1371410441</v>
      </c>
      <c r="N1680" s="780"/>
      <c r="O1680" s="100"/>
      <c r="P1680" s="100"/>
      <c r="Q1680" s="100"/>
      <c r="R1680" s="100"/>
      <c r="S1680" s="100"/>
      <c r="T1680" s="100"/>
      <c r="U1680" s="100"/>
      <c r="V1680" s="100"/>
      <c r="W1680" s="100"/>
      <c r="X1680" s="100"/>
      <c r="Y1680" s="100"/>
      <c r="Z1680" s="105"/>
      <c r="AC1680" s="39">
        <f t="shared" ref="AC1680:AC1743" si="213">D1680</f>
        <v>3885</v>
      </c>
      <c r="AD1680" s="3"/>
    </row>
    <row r="1681" spans="1:30" s="6" customFormat="1" ht="20.100000000000001" customHeight="1" x14ac:dyDescent="0.25">
      <c r="A1681" s="631" t="s">
        <v>7467</v>
      </c>
      <c r="B1681" s="3"/>
      <c r="C1681" s="3"/>
      <c r="D1681" s="63">
        <v>3576</v>
      </c>
      <c r="E1681" s="4"/>
      <c r="F1681" s="101">
        <v>3576</v>
      </c>
      <c r="G1681" s="57" t="s">
        <v>7460</v>
      </c>
      <c r="H1681" s="4"/>
      <c r="I1681" s="4"/>
      <c r="J1681" s="4"/>
      <c r="K1681" s="54" t="s">
        <v>7466</v>
      </c>
      <c r="L1681" s="57">
        <v>1141523311</v>
      </c>
      <c r="M1681" s="57">
        <v>1141523311</v>
      </c>
      <c r="N1681" s="766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62"/>
      <c r="AC1681" s="39">
        <f t="shared" si="213"/>
        <v>3576</v>
      </c>
      <c r="AD1681" s="3"/>
    </row>
    <row r="1682" spans="1:30" s="6" customFormat="1" ht="20.100000000000001" customHeight="1" x14ac:dyDescent="0.25">
      <c r="A1682" s="631" t="s">
        <v>5572</v>
      </c>
      <c r="B1682" s="3"/>
      <c r="C1682" s="3"/>
      <c r="D1682" s="54" t="s">
        <v>5429</v>
      </c>
      <c r="E1682" s="4">
        <v>22</v>
      </c>
      <c r="F1682" s="101" t="s">
        <v>5304</v>
      </c>
      <c r="G1682" s="57" t="s">
        <v>5661</v>
      </c>
      <c r="H1682" s="4"/>
      <c r="I1682" s="4"/>
      <c r="J1682" s="4"/>
      <c r="K1682" s="54" t="s">
        <v>5304</v>
      </c>
      <c r="L1682" s="57">
        <v>1402678951</v>
      </c>
      <c r="M1682" s="57">
        <v>1402678951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3"/>
      <c r="AC1682" s="39" t="str">
        <f t="shared" si="213"/>
        <v>2491.20/01</v>
      </c>
      <c r="AD1682" s="3"/>
    </row>
    <row r="1683" spans="1:30" s="6" customFormat="1" ht="20.100000000000001" customHeight="1" x14ac:dyDescent="0.25">
      <c r="A1683" s="631" t="s">
        <v>5573</v>
      </c>
      <c r="B1683" s="3"/>
      <c r="C1683" s="3"/>
      <c r="D1683" s="54" t="s">
        <v>5430</v>
      </c>
      <c r="E1683" s="4">
        <v>18</v>
      </c>
      <c r="F1683" s="101" t="s">
        <v>5305</v>
      </c>
      <c r="G1683" s="57" t="s">
        <v>5662</v>
      </c>
      <c r="H1683" s="4"/>
      <c r="I1683" s="4"/>
      <c r="J1683" s="4"/>
      <c r="K1683" s="54" t="s">
        <v>5305</v>
      </c>
      <c r="L1683" s="57">
        <v>1524775808</v>
      </c>
      <c r="M1683" s="57">
        <v>1524775808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3"/>
      <c r="AC1683" s="39" t="str">
        <f t="shared" si="213"/>
        <v>3018.25Ч/01</v>
      </c>
      <c r="AD1683" s="3"/>
    </row>
    <row r="1684" spans="1:30" s="6" customFormat="1" ht="20.100000000000001" customHeight="1" x14ac:dyDescent="0.25">
      <c r="A1684" s="631" t="s">
        <v>5575</v>
      </c>
      <c r="B1684" s="3"/>
      <c r="C1684" s="3"/>
      <c r="D1684" s="55" t="s">
        <v>5433</v>
      </c>
      <c r="E1684" s="4">
        <v>18</v>
      </c>
      <c r="F1684" s="101" t="s">
        <v>5477</v>
      </c>
      <c r="G1684" s="57" t="s">
        <v>5664</v>
      </c>
      <c r="H1684" s="4"/>
      <c r="I1684" s="4"/>
      <c r="J1684" s="4"/>
      <c r="K1684" s="54" t="s">
        <v>5477</v>
      </c>
      <c r="L1684" s="57">
        <v>1528159476</v>
      </c>
      <c r="M1684" s="57">
        <v>1528159476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3"/>
      <c r="AC1684" s="39" t="str">
        <f t="shared" si="213"/>
        <v>3583.25/01</v>
      </c>
      <c r="AD1684" s="3"/>
    </row>
    <row r="1685" spans="1:30" s="6" customFormat="1" ht="20.100000000000001" customHeight="1" x14ac:dyDescent="0.25">
      <c r="A1685" s="631" t="s">
        <v>5576</v>
      </c>
      <c r="B1685" s="3"/>
      <c r="C1685" s="3"/>
      <c r="D1685" s="55" t="s">
        <v>5434</v>
      </c>
      <c r="E1685" s="4">
        <v>18</v>
      </c>
      <c r="F1685" s="101" t="s">
        <v>5478</v>
      </c>
      <c r="G1685" s="57" t="s">
        <v>5665</v>
      </c>
      <c r="H1685" s="4"/>
      <c r="I1685" s="4"/>
      <c r="J1685" s="4"/>
      <c r="K1685" s="54" t="s">
        <v>5478</v>
      </c>
      <c r="L1685" s="57">
        <v>1564883676</v>
      </c>
      <c r="M1685" s="57">
        <v>1564883676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3"/>
      <c r="AC1685" s="39" t="str">
        <f t="shared" si="213"/>
        <v>3012.09/01</v>
      </c>
      <c r="AD1685" s="3"/>
    </row>
    <row r="1686" spans="1:30" s="6" customFormat="1" ht="20.100000000000001" customHeight="1" x14ac:dyDescent="0.25">
      <c r="A1686" s="631" t="s">
        <v>5578</v>
      </c>
      <c r="B1686" s="3"/>
      <c r="C1686" s="13" t="s">
        <v>2581</v>
      </c>
      <c r="D1686" s="55" t="s">
        <v>5437</v>
      </c>
      <c r="E1686" s="4">
        <v>20</v>
      </c>
      <c r="F1686" s="101" t="s">
        <v>5481</v>
      </c>
      <c r="G1686" s="57" t="s">
        <v>5666</v>
      </c>
      <c r="H1686" s="4"/>
      <c r="I1686" s="4"/>
      <c r="J1686" s="4"/>
      <c r="K1686" s="54" t="s">
        <v>5481</v>
      </c>
      <c r="L1686" s="57">
        <v>1588794442</v>
      </c>
      <c r="M1686" s="57">
        <v>1588794442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3"/>
      <c r="AC1686" s="39" t="str">
        <f t="shared" si="213"/>
        <v>3175.25.17/01</v>
      </c>
      <c r="AD1686" s="3"/>
    </row>
    <row r="1687" spans="1:30" s="6" customFormat="1" ht="20.100000000000001" customHeight="1" x14ac:dyDescent="0.25">
      <c r="A1687" s="631" t="s">
        <v>5579</v>
      </c>
      <c r="B1687" s="3"/>
      <c r="C1687" s="3"/>
      <c r="D1687" s="55" t="s">
        <v>5439</v>
      </c>
      <c r="E1687" s="4">
        <v>33</v>
      </c>
      <c r="F1687" s="101" t="s">
        <v>5483</v>
      </c>
      <c r="G1687" s="57" t="s">
        <v>5667</v>
      </c>
      <c r="H1687" s="4"/>
      <c r="I1687" s="4"/>
      <c r="J1687" s="4"/>
      <c r="K1687" s="54" t="s">
        <v>5483</v>
      </c>
      <c r="L1687" s="57">
        <v>1588911657</v>
      </c>
      <c r="M1687" s="57">
        <v>1588911657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 t="s">
        <v>8132</v>
      </c>
      <c r="Y1687" s="4"/>
      <c r="Z1687" s="3"/>
      <c r="AC1687" s="39" t="str">
        <f t="shared" si="213"/>
        <v>3708.01/01</v>
      </c>
      <c r="AD1687" s="3"/>
    </row>
    <row r="1688" spans="1:30" s="6" customFormat="1" ht="20.100000000000001" customHeight="1" x14ac:dyDescent="0.25">
      <c r="A1688" s="631" t="s">
        <v>5580</v>
      </c>
      <c r="B1688" s="3"/>
      <c r="C1688" s="3"/>
      <c r="D1688" s="55" t="s">
        <v>5440</v>
      </c>
      <c r="E1688" s="4">
        <v>33</v>
      </c>
      <c r="F1688" s="101" t="s">
        <v>5484</v>
      </c>
      <c r="G1688" s="57" t="s">
        <v>5668</v>
      </c>
      <c r="H1688" s="4"/>
      <c r="I1688" s="4"/>
      <c r="J1688" s="4"/>
      <c r="K1688" s="54" t="s">
        <v>5484</v>
      </c>
      <c r="L1688" s="57">
        <v>1588930448</v>
      </c>
      <c r="M1688" s="57">
        <v>1588930448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 t="s">
        <v>8133</v>
      </c>
      <c r="Y1688" s="4"/>
      <c r="Z1688" s="3"/>
      <c r="AC1688" s="39" t="str">
        <f t="shared" si="213"/>
        <v>3708.06/01</v>
      </c>
      <c r="AD1688" s="3"/>
    </row>
    <row r="1689" spans="1:30" s="6" customFormat="1" ht="20.100000000000001" customHeight="1" x14ac:dyDescent="0.25">
      <c r="A1689" s="631" t="s">
        <v>5649</v>
      </c>
      <c r="B1689" s="3"/>
      <c r="C1689" s="164" t="s">
        <v>2582</v>
      </c>
      <c r="D1689" s="55" t="s">
        <v>5441</v>
      </c>
      <c r="E1689" s="166">
        <v>24</v>
      </c>
      <c r="F1689" s="101" t="s">
        <v>6249</v>
      </c>
      <c r="G1689" s="57" t="s">
        <v>5669</v>
      </c>
      <c r="H1689" s="4"/>
      <c r="I1689" s="4"/>
      <c r="J1689" s="4"/>
      <c r="K1689" s="54" t="s">
        <v>6249</v>
      </c>
      <c r="L1689" s="57">
        <v>1589728375</v>
      </c>
      <c r="M1689" s="57">
        <v>1589728375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3"/>
      <c r="AA1689" s="1" t="str">
        <f>IFERROR(VLOOKUP(D:D,[1]Габариты!$A:$I,9,0),"")</f>
        <v>Основной ассортимент</v>
      </c>
      <c r="AB1689" s="6" t="str">
        <f>IFERROR(VLOOKUP(D:D,[1]Габариты!$A:$D,4,0),"")</f>
        <v>ОБУВНИЦЫ</v>
      </c>
      <c r="AC1689" s="39" t="str">
        <f t="shared" si="213"/>
        <v>3761.01/01</v>
      </c>
      <c r="AD1689" s="13" t="str">
        <f t="shared" ref="AD1689" si="214">C1689</f>
        <v>FBO</v>
      </c>
    </row>
    <row r="1690" spans="1:30" s="6" customFormat="1" ht="20.100000000000001" customHeight="1" x14ac:dyDescent="0.25">
      <c r="A1690" s="631" t="s">
        <v>5585</v>
      </c>
      <c r="B1690" s="3"/>
      <c r="C1690" s="3"/>
      <c r="D1690" s="55" t="s">
        <v>5447</v>
      </c>
      <c r="E1690" s="4"/>
      <c r="F1690" s="101" t="s">
        <v>5489</v>
      </c>
      <c r="G1690" s="57" t="s">
        <v>6113</v>
      </c>
      <c r="H1690" s="4"/>
      <c r="I1690" s="4"/>
      <c r="J1690" s="4"/>
      <c r="K1690" s="54" t="s">
        <v>5489</v>
      </c>
      <c r="L1690" s="57">
        <v>1623485589</v>
      </c>
      <c r="M1690" s="57">
        <v>1623485589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 t="s">
        <v>8319</v>
      </c>
      <c r="Y1690" s="4"/>
      <c r="Z1690" s="3"/>
      <c r="AC1690" s="39" t="str">
        <f t="shared" si="213"/>
        <v>3709.06/01</v>
      </c>
      <c r="AD1690" s="3"/>
    </row>
    <row r="1691" spans="1:30" s="6" customFormat="1" ht="20.100000000000001" customHeight="1" x14ac:dyDescent="0.25">
      <c r="A1691" s="631" t="s">
        <v>5586</v>
      </c>
      <c r="B1691" s="3"/>
      <c r="C1691" s="3"/>
      <c r="D1691" s="55" t="s">
        <v>5448</v>
      </c>
      <c r="E1691" s="4">
        <v>21</v>
      </c>
      <c r="F1691" s="101" t="s">
        <v>5490</v>
      </c>
      <c r="G1691" s="57" t="s">
        <v>5671</v>
      </c>
      <c r="H1691" s="4"/>
      <c r="I1691" s="4"/>
      <c r="J1691" s="4"/>
      <c r="K1691" s="54" t="s">
        <v>5490</v>
      </c>
      <c r="L1691" s="57">
        <v>1623496444</v>
      </c>
      <c r="M1691" s="57">
        <v>1623496444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3"/>
      <c r="AC1691" s="39" t="str">
        <f t="shared" si="213"/>
        <v>3763.05/01</v>
      </c>
      <c r="AD1691" s="3"/>
    </row>
    <row r="1692" spans="1:30" s="6" customFormat="1" ht="20.100000000000001" customHeight="1" x14ac:dyDescent="0.25">
      <c r="A1692" s="631" t="s">
        <v>5587</v>
      </c>
      <c r="B1692" s="3"/>
      <c r="C1692" s="3"/>
      <c r="D1692" s="55" t="s">
        <v>5449</v>
      </c>
      <c r="E1692" s="4">
        <v>21</v>
      </c>
      <c r="F1692" s="101" t="s">
        <v>5491</v>
      </c>
      <c r="G1692" s="57" t="s">
        <v>5672</v>
      </c>
      <c r="H1692" s="4"/>
      <c r="I1692" s="4"/>
      <c r="J1692" s="4"/>
      <c r="K1692" s="54" t="s">
        <v>5491</v>
      </c>
      <c r="L1692" s="57">
        <v>1623504478</v>
      </c>
      <c r="M1692" s="57">
        <v>1623504478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3"/>
      <c r="AC1692" s="39" t="str">
        <f t="shared" si="213"/>
        <v>3763.06/01</v>
      </c>
      <c r="AD1692" s="3"/>
    </row>
    <row r="1693" spans="1:30" s="6" customFormat="1" ht="20.100000000000001" customHeight="1" x14ac:dyDescent="0.25">
      <c r="A1693" s="631" t="s">
        <v>5588</v>
      </c>
      <c r="B1693" s="3"/>
      <c r="C1693" s="3"/>
      <c r="D1693" s="55" t="s">
        <v>5450</v>
      </c>
      <c r="E1693" s="4">
        <v>21</v>
      </c>
      <c r="F1693" s="101" t="s">
        <v>5492</v>
      </c>
      <c r="G1693" s="57" t="s">
        <v>5673</v>
      </c>
      <c r="H1693" s="4"/>
      <c r="I1693" s="4"/>
      <c r="J1693" s="4"/>
      <c r="K1693" s="54" t="s">
        <v>5492</v>
      </c>
      <c r="L1693" s="57">
        <v>1623574033</v>
      </c>
      <c r="M1693" s="57">
        <v>1623574033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3"/>
      <c r="AC1693" s="39" t="str">
        <f t="shared" si="213"/>
        <v>3763.09/01</v>
      </c>
      <c r="AD1693" s="3"/>
    </row>
    <row r="1694" spans="1:30" s="6" customFormat="1" ht="20.100000000000001" customHeight="1" x14ac:dyDescent="0.25">
      <c r="A1694" s="631" t="s">
        <v>5590</v>
      </c>
      <c r="B1694" s="3"/>
      <c r="C1694" s="3"/>
      <c r="D1694" s="55" t="s">
        <v>5452</v>
      </c>
      <c r="E1694" s="4">
        <v>20</v>
      </c>
      <c r="F1694" s="101" t="s">
        <v>5494</v>
      </c>
      <c r="G1694" s="57" t="s">
        <v>5675</v>
      </c>
      <c r="H1694" s="4"/>
      <c r="I1694" s="4"/>
      <c r="J1694" s="4"/>
      <c r="K1694" s="54" t="s">
        <v>5494</v>
      </c>
      <c r="L1694" s="57">
        <v>1623591896</v>
      </c>
      <c r="M1694" s="57">
        <v>1623591896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3"/>
      <c r="AC1694" s="39" t="str">
        <f t="shared" si="213"/>
        <v>3934.05/01</v>
      </c>
      <c r="AD1694" s="3"/>
    </row>
    <row r="1695" spans="1:30" s="6" customFormat="1" ht="20.100000000000001" customHeight="1" x14ac:dyDescent="0.25">
      <c r="A1695" s="631" t="s">
        <v>5591</v>
      </c>
      <c r="B1695" s="3"/>
      <c r="C1695" s="3"/>
      <c r="D1695" s="55" t="s">
        <v>5453</v>
      </c>
      <c r="E1695" s="4">
        <v>20</v>
      </c>
      <c r="F1695" s="101" t="s">
        <v>5495</v>
      </c>
      <c r="G1695" s="57" t="s">
        <v>5676</v>
      </c>
      <c r="H1695" s="4"/>
      <c r="I1695" s="4"/>
      <c r="J1695" s="4"/>
      <c r="K1695" s="54" t="s">
        <v>5495</v>
      </c>
      <c r="L1695" s="57">
        <v>1623594608</v>
      </c>
      <c r="M1695" s="57">
        <v>1623594608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3"/>
      <c r="AC1695" s="39" t="str">
        <f t="shared" si="213"/>
        <v>3934.06/01</v>
      </c>
      <c r="AD1695" s="3"/>
    </row>
    <row r="1696" spans="1:30" s="6" customFormat="1" ht="20.100000000000001" customHeight="1" x14ac:dyDescent="0.25">
      <c r="A1696" s="631" t="s">
        <v>5592</v>
      </c>
      <c r="B1696" s="3"/>
      <c r="C1696" s="3"/>
      <c r="D1696" s="55" t="s">
        <v>5454</v>
      </c>
      <c r="E1696" s="4">
        <v>20</v>
      </c>
      <c r="F1696" s="101" t="s">
        <v>5496</v>
      </c>
      <c r="G1696" s="57" t="s">
        <v>5677</v>
      </c>
      <c r="H1696" s="4"/>
      <c r="I1696" s="4"/>
      <c r="J1696" s="4"/>
      <c r="K1696" s="54" t="s">
        <v>5496</v>
      </c>
      <c r="L1696" s="57">
        <v>1623596686</v>
      </c>
      <c r="M1696" s="57">
        <v>1623596686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3"/>
      <c r="AC1696" s="39" t="str">
        <f t="shared" si="213"/>
        <v>3934.09/01</v>
      </c>
      <c r="AD1696" s="3"/>
    </row>
    <row r="1697" spans="1:30" s="6" customFormat="1" ht="20.100000000000001" customHeight="1" x14ac:dyDescent="0.25">
      <c r="A1697" s="749" t="s">
        <v>5334</v>
      </c>
      <c r="B1697" s="3"/>
      <c r="C1697" s="3"/>
      <c r="D1697" s="63" t="s">
        <v>4605</v>
      </c>
      <c r="E1697" s="4">
        <v>18</v>
      </c>
      <c r="F1697" s="101" t="s">
        <v>4605</v>
      </c>
      <c r="G1697" s="57" t="s">
        <v>5156</v>
      </c>
      <c r="H1697" s="4"/>
      <c r="I1697" s="4"/>
      <c r="J1697" s="4"/>
      <c r="K1697" s="54"/>
      <c r="L1697" s="57"/>
      <c r="M1697" s="57"/>
      <c r="N1697" s="766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62"/>
      <c r="AC1697" s="39" t="str">
        <f t="shared" si="213"/>
        <v>135531.23/01</v>
      </c>
      <c r="AD1697" s="3"/>
    </row>
    <row r="1698" spans="1:30" s="6" customFormat="1" ht="20.100000000000001" customHeight="1" x14ac:dyDescent="0.25">
      <c r="A1698" s="635" t="s">
        <v>5336</v>
      </c>
      <c r="B1698" s="3"/>
      <c r="C1698" s="3"/>
      <c r="D1698" s="63" t="s">
        <v>4604</v>
      </c>
      <c r="E1698" s="4">
        <v>18</v>
      </c>
      <c r="F1698" s="101" t="s">
        <v>4604</v>
      </c>
      <c r="G1698" s="57" t="s">
        <v>5154</v>
      </c>
      <c r="H1698" s="4"/>
      <c r="I1698" s="4"/>
      <c r="J1698" s="4"/>
      <c r="K1698" s="54"/>
      <c r="L1698" s="57"/>
      <c r="M1698" s="57"/>
      <c r="N1698" s="766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62"/>
      <c r="AC1698" s="39" t="str">
        <f t="shared" si="213"/>
        <v>135531.18/01</v>
      </c>
      <c r="AD1698" s="3"/>
    </row>
    <row r="1699" spans="1:30" s="6" customFormat="1" ht="20.100000000000001" customHeight="1" x14ac:dyDescent="0.25">
      <c r="A1699" s="635" t="s">
        <v>5337</v>
      </c>
      <c r="B1699" s="3"/>
      <c r="C1699" s="3"/>
      <c r="D1699" s="63" t="s">
        <v>4603</v>
      </c>
      <c r="E1699" s="4">
        <v>18</v>
      </c>
      <c r="F1699" s="101" t="s">
        <v>4603</v>
      </c>
      <c r="G1699" s="57" t="s">
        <v>5155</v>
      </c>
      <c r="H1699" s="4"/>
      <c r="I1699" s="4"/>
      <c r="J1699" s="4"/>
      <c r="K1699" s="54"/>
      <c r="L1699" s="57"/>
      <c r="M1699" s="57"/>
      <c r="N1699" s="766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62"/>
      <c r="AC1699" s="39" t="str">
        <f t="shared" si="213"/>
        <v>135531.19/01</v>
      </c>
      <c r="AD1699" s="3"/>
    </row>
    <row r="1700" spans="1:30" s="6" customFormat="1" ht="20.100000000000001" customHeight="1" x14ac:dyDescent="0.25">
      <c r="A1700" s="737" t="s">
        <v>5338</v>
      </c>
      <c r="B1700" s="3"/>
      <c r="C1700" s="3"/>
      <c r="D1700" s="63" t="s">
        <v>5329</v>
      </c>
      <c r="E1700" s="4">
        <v>30</v>
      </c>
      <c r="F1700" s="101" t="s">
        <v>5325</v>
      </c>
      <c r="G1700" s="57" t="s">
        <v>5327</v>
      </c>
      <c r="H1700" s="4"/>
      <c r="I1700" s="4"/>
      <c r="J1700" s="4"/>
      <c r="K1700" s="54"/>
      <c r="L1700" s="57"/>
      <c r="M1700" s="57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3"/>
      <c r="AC1700" s="39" t="str">
        <f t="shared" si="213"/>
        <v>3890.06/01</v>
      </c>
      <c r="AD1700" s="3"/>
    </row>
    <row r="1701" spans="1:30" s="6" customFormat="1" ht="20.100000000000001" customHeight="1" x14ac:dyDescent="0.25">
      <c r="A1701" s="737" t="s">
        <v>5339</v>
      </c>
      <c r="B1701" s="3"/>
      <c r="C1701" s="3"/>
      <c r="D1701" s="63" t="s">
        <v>5330</v>
      </c>
      <c r="E1701" s="4">
        <v>30</v>
      </c>
      <c r="F1701" s="101" t="s">
        <v>5326</v>
      </c>
      <c r="G1701" s="57" t="s">
        <v>5328</v>
      </c>
      <c r="H1701" s="4"/>
      <c r="I1701" s="4"/>
      <c r="J1701" s="4"/>
      <c r="K1701" s="54" t="s">
        <v>5326</v>
      </c>
      <c r="L1701" s="57">
        <v>1549008759</v>
      </c>
      <c r="M1701" s="57">
        <v>1549008759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3"/>
      <c r="AC1701" s="39" t="str">
        <f t="shared" si="213"/>
        <v>3890.05/01</v>
      </c>
      <c r="AD1701" s="3"/>
    </row>
    <row r="1702" spans="1:30" s="6" customFormat="1" ht="20.100000000000001" customHeight="1" x14ac:dyDescent="0.25">
      <c r="A1702" s="737" t="s">
        <v>5335</v>
      </c>
      <c r="B1702" s="3"/>
      <c r="C1702" s="3"/>
      <c r="D1702" s="63" t="s">
        <v>5332</v>
      </c>
      <c r="E1702" s="4"/>
      <c r="F1702" s="101" t="s">
        <v>8282</v>
      </c>
      <c r="G1702" s="57" t="s">
        <v>5333</v>
      </c>
      <c r="H1702" s="4"/>
      <c r="I1702" s="4"/>
      <c r="J1702" s="4"/>
      <c r="K1702" s="54"/>
      <c r="L1702" s="57"/>
      <c r="M1702" s="57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3"/>
      <c r="AC1702" s="39" t="str">
        <f t="shared" si="213"/>
        <v>135531.17Д01</v>
      </c>
      <c r="AD1702" s="3"/>
    </row>
    <row r="1703" spans="1:30" s="6" customFormat="1" ht="20.100000000000001" customHeight="1" x14ac:dyDescent="0.25">
      <c r="A1703" s="631" t="s">
        <v>6032</v>
      </c>
      <c r="B1703" s="76"/>
      <c r="C1703" s="76"/>
      <c r="D1703" s="74">
        <v>3453</v>
      </c>
      <c r="E1703" s="4">
        <v>14</v>
      </c>
      <c r="F1703" s="101">
        <v>3453</v>
      </c>
      <c r="G1703" s="75" t="s">
        <v>5956</v>
      </c>
      <c r="H1703" s="4"/>
      <c r="I1703" s="73"/>
      <c r="J1703" s="73"/>
      <c r="K1703" s="54" t="s">
        <v>7814</v>
      </c>
      <c r="L1703" s="57">
        <v>1061009816</v>
      </c>
      <c r="M1703" s="57">
        <v>1061009816</v>
      </c>
      <c r="N1703" s="769"/>
      <c r="O1703" s="73"/>
      <c r="P1703" s="73"/>
      <c r="Q1703" s="73"/>
      <c r="R1703" s="73"/>
      <c r="S1703" s="73"/>
      <c r="T1703" s="73"/>
      <c r="U1703" s="73"/>
      <c r="V1703" s="73"/>
      <c r="W1703" s="73"/>
      <c r="X1703" s="73"/>
      <c r="Y1703" s="73"/>
      <c r="Z1703" s="67"/>
      <c r="AC1703" s="39">
        <f t="shared" si="213"/>
        <v>3453</v>
      </c>
      <c r="AD1703" s="3"/>
    </row>
    <row r="1704" spans="1:30" s="6" customFormat="1" ht="20.100000000000001" customHeight="1" x14ac:dyDescent="0.25">
      <c r="A1704" s="631" t="s">
        <v>6031</v>
      </c>
      <c r="B1704" s="76"/>
      <c r="C1704" s="76"/>
      <c r="D1704" s="74">
        <v>3298</v>
      </c>
      <c r="E1704" s="4">
        <v>12</v>
      </c>
      <c r="F1704" s="101">
        <v>3298</v>
      </c>
      <c r="G1704" s="75" t="s">
        <v>5957</v>
      </c>
      <c r="H1704" s="4"/>
      <c r="I1704" s="73"/>
      <c r="J1704" s="73"/>
      <c r="K1704" s="54" t="s">
        <v>7815</v>
      </c>
      <c r="L1704" s="57">
        <v>1076449552</v>
      </c>
      <c r="M1704" s="57">
        <v>1076449554</v>
      </c>
      <c r="N1704" s="769"/>
      <c r="O1704" s="73"/>
      <c r="P1704" s="73"/>
      <c r="Q1704" s="73"/>
      <c r="R1704" s="73"/>
      <c r="S1704" s="73"/>
      <c r="T1704" s="73"/>
      <c r="U1704" s="73"/>
      <c r="V1704" s="73"/>
      <c r="W1704" s="73"/>
      <c r="X1704" s="73"/>
      <c r="Y1704" s="73"/>
      <c r="Z1704" s="67"/>
      <c r="AC1704" s="39">
        <f t="shared" si="213"/>
        <v>3298</v>
      </c>
      <c r="AD1704" s="3"/>
    </row>
    <row r="1705" spans="1:30" s="6" customFormat="1" ht="20.100000000000001" customHeight="1" x14ac:dyDescent="0.25">
      <c r="A1705" s="631" t="s">
        <v>6000</v>
      </c>
      <c r="B1705" s="76"/>
      <c r="C1705" s="76"/>
      <c r="D1705" s="74" t="s">
        <v>6034</v>
      </c>
      <c r="E1705" s="4">
        <v>18</v>
      </c>
      <c r="F1705" s="101" t="s">
        <v>5931</v>
      </c>
      <c r="G1705" s="75" t="s">
        <v>5958</v>
      </c>
      <c r="H1705" s="4"/>
      <c r="I1705" s="73"/>
      <c r="J1705" s="73"/>
      <c r="K1705" s="54" t="s">
        <v>5931</v>
      </c>
      <c r="L1705" s="57">
        <v>1361824184</v>
      </c>
      <c r="M1705" s="57">
        <v>1361824184</v>
      </c>
      <c r="N1705" s="769"/>
      <c r="O1705" s="73"/>
      <c r="P1705" s="73"/>
      <c r="Q1705" s="73"/>
      <c r="R1705" s="73"/>
      <c r="S1705" s="73"/>
      <c r="T1705" s="73"/>
      <c r="U1705" s="73"/>
      <c r="V1705" s="73"/>
      <c r="W1705" s="73"/>
      <c r="X1705" s="73"/>
      <c r="Y1705" s="73"/>
      <c r="Z1705" s="67"/>
      <c r="AC1705" s="39" t="str">
        <f t="shared" si="213"/>
        <v>3024.20/01</v>
      </c>
      <c r="AD1705" s="3"/>
    </row>
    <row r="1706" spans="1:30" s="6" customFormat="1" ht="20.100000000000001" customHeight="1" x14ac:dyDescent="0.25">
      <c r="A1706" s="631" t="s">
        <v>6001</v>
      </c>
      <c r="B1706" s="76"/>
      <c r="C1706" s="76"/>
      <c r="D1706" s="74" t="s">
        <v>6035</v>
      </c>
      <c r="E1706" s="4">
        <v>20</v>
      </c>
      <c r="F1706" s="101" t="s">
        <v>5932</v>
      </c>
      <c r="G1706" s="75" t="s">
        <v>5959</v>
      </c>
      <c r="H1706" s="4"/>
      <c r="I1706" s="73"/>
      <c r="J1706" s="73"/>
      <c r="K1706" s="54" t="s">
        <v>5932</v>
      </c>
      <c r="L1706" s="57">
        <v>1361725414</v>
      </c>
      <c r="M1706" s="57">
        <v>1361725414</v>
      </c>
      <c r="N1706" s="769"/>
      <c r="O1706" s="73"/>
      <c r="P1706" s="73"/>
      <c r="Q1706" s="73"/>
      <c r="R1706" s="73"/>
      <c r="S1706" s="73"/>
      <c r="T1706" s="73"/>
      <c r="U1706" s="73"/>
      <c r="V1706" s="73"/>
      <c r="W1706" s="73"/>
      <c r="X1706" s="73"/>
      <c r="Y1706" s="73"/>
      <c r="Z1706" s="67"/>
      <c r="AC1706" s="39" t="str">
        <f t="shared" si="213"/>
        <v>3021.20/01</v>
      </c>
      <c r="AD1706" s="3"/>
    </row>
    <row r="1707" spans="1:30" s="6" customFormat="1" ht="20.100000000000001" customHeight="1" x14ac:dyDescent="0.25">
      <c r="A1707" s="631" t="s">
        <v>6002</v>
      </c>
      <c r="B1707" s="76"/>
      <c r="C1707" s="76"/>
      <c r="D1707" s="74">
        <v>3890</v>
      </c>
      <c r="E1707" s="4">
        <v>30</v>
      </c>
      <c r="F1707" s="101">
        <v>3890</v>
      </c>
      <c r="G1707" s="75" t="s">
        <v>5960</v>
      </c>
      <c r="H1707" s="4"/>
      <c r="I1707" s="73"/>
      <c r="J1707" s="73"/>
      <c r="K1707" s="74"/>
      <c r="L1707" s="57"/>
      <c r="M1707" s="57"/>
      <c r="N1707" s="769"/>
      <c r="O1707" s="73"/>
      <c r="P1707" s="73"/>
      <c r="Q1707" s="73"/>
      <c r="R1707" s="73"/>
      <c r="S1707" s="73"/>
      <c r="T1707" s="73"/>
      <c r="U1707" s="73"/>
      <c r="V1707" s="73"/>
      <c r="W1707" s="73"/>
      <c r="X1707" s="73"/>
      <c r="Y1707" s="73"/>
      <c r="Z1707" s="67"/>
      <c r="AC1707" s="39">
        <f t="shared" si="213"/>
        <v>3890</v>
      </c>
      <c r="AD1707" s="3"/>
    </row>
    <row r="1708" spans="1:30" s="6" customFormat="1" ht="20.100000000000001" customHeight="1" x14ac:dyDescent="0.25">
      <c r="A1708" s="631" t="s">
        <v>6003</v>
      </c>
      <c r="B1708" s="76"/>
      <c r="C1708" s="76"/>
      <c r="D1708" s="74" t="s">
        <v>6036</v>
      </c>
      <c r="E1708" s="4">
        <v>25</v>
      </c>
      <c r="F1708" s="101" t="s">
        <v>5933</v>
      </c>
      <c r="G1708" s="75" t="s">
        <v>5961</v>
      </c>
      <c r="H1708" s="4"/>
      <c r="I1708" s="73"/>
      <c r="J1708" s="73"/>
      <c r="K1708" s="54" t="s">
        <v>5933</v>
      </c>
      <c r="L1708" s="57">
        <v>1408115813</v>
      </c>
      <c r="M1708" s="57">
        <v>1408115813</v>
      </c>
      <c r="N1708" s="769"/>
      <c r="O1708" s="73"/>
      <c r="P1708" s="73"/>
      <c r="Q1708" s="73"/>
      <c r="R1708" s="73"/>
      <c r="S1708" s="73"/>
      <c r="T1708" s="73"/>
      <c r="U1708" s="73"/>
      <c r="V1708" s="73"/>
      <c r="W1708" s="73"/>
      <c r="X1708" s="73"/>
      <c r="Y1708" s="73"/>
      <c r="Z1708" s="67"/>
      <c r="AC1708" s="39" t="str">
        <f t="shared" si="213"/>
        <v>3803.20/01</v>
      </c>
      <c r="AD1708" s="3"/>
    </row>
    <row r="1709" spans="1:30" s="6" customFormat="1" ht="20.100000000000001" customHeight="1" x14ac:dyDescent="0.25">
      <c r="A1709" s="631" t="s">
        <v>6004</v>
      </c>
      <c r="B1709" s="76"/>
      <c r="C1709" s="76"/>
      <c r="D1709" s="74" t="s">
        <v>6037</v>
      </c>
      <c r="E1709" s="4">
        <v>8</v>
      </c>
      <c r="F1709" s="101" t="s">
        <v>5934</v>
      </c>
      <c r="G1709" s="75" t="s">
        <v>6339</v>
      </c>
      <c r="H1709" s="4"/>
      <c r="I1709" s="73"/>
      <c r="J1709" s="73"/>
      <c r="K1709" s="54" t="s">
        <v>5934</v>
      </c>
      <c r="L1709" s="57">
        <v>1408136151</v>
      </c>
      <c r="M1709" s="57">
        <v>1408136151</v>
      </c>
      <c r="N1709" s="769"/>
      <c r="O1709" s="73"/>
      <c r="P1709" s="73"/>
      <c r="Q1709" s="73"/>
      <c r="R1709" s="73"/>
      <c r="S1709" s="73"/>
      <c r="T1709" s="73"/>
      <c r="U1709" s="73"/>
      <c r="V1709" s="73"/>
      <c r="W1709" s="73"/>
      <c r="X1709" s="73"/>
      <c r="Y1709" s="73"/>
      <c r="Z1709" s="67"/>
      <c r="AC1709" s="39" t="str">
        <f t="shared" si="213"/>
        <v>3818.20/01</v>
      </c>
      <c r="AD1709" s="3"/>
    </row>
    <row r="1710" spans="1:30" s="6" customFormat="1" ht="20.100000000000001" customHeight="1" x14ac:dyDescent="0.25">
      <c r="A1710" s="631" t="s">
        <v>6005</v>
      </c>
      <c r="B1710" s="76"/>
      <c r="C1710" s="76"/>
      <c r="D1710" s="83" t="s">
        <v>6039</v>
      </c>
      <c r="E1710" s="4">
        <v>8</v>
      </c>
      <c r="F1710" s="101" t="s">
        <v>5935</v>
      </c>
      <c r="G1710" s="75" t="s">
        <v>5962</v>
      </c>
      <c r="H1710" s="4"/>
      <c r="I1710" s="73"/>
      <c r="J1710" s="73"/>
      <c r="K1710" s="54" t="s">
        <v>5935</v>
      </c>
      <c r="L1710" s="57">
        <v>1559837421</v>
      </c>
      <c r="M1710" s="57">
        <v>1559837421</v>
      </c>
      <c r="N1710" s="769"/>
      <c r="O1710" s="73"/>
      <c r="P1710" s="73"/>
      <c r="Q1710" s="73"/>
      <c r="R1710" s="73"/>
      <c r="S1710" s="73"/>
      <c r="T1710" s="73"/>
      <c r="U1710" s="73"/>
      <c r="V1710" s="73"/>
      <c r="W1710" s="73"/>
      <c r="X1710" s="73"/>
      <c r="Y1710" s="73"/>
      <c r="Z1710" s="67"/>
      <c r="AC1710" s="39" t="str">
        <f t="shared" si="213"/>
        <v>3751.08/01</v>
      </c>
      <c r="AD1710" s="3"/>
    </row>
    <row r="1711" spans="1:30" s="6" customFormat="1" ht="20.100000000000001" customHeight="1" x14ac:dyDescent="0.25">
      <c r="A1711" s="631" t="s">
        <v>6006</v>
      </c>
      <c r="B1711" s="76"/>
      <c r="C1711" s="76"/>
      <c r="D1711" s="74" t="s">
        <v>6038</v>
      </c>
      <c r="E1711" s="4">
        <v>18</v>
      </c>
      <c r="F1711" s="101" t="s">
        <v>5936</v>
      </c>
      <c r="G1711" s="75" t="s">
        <v>5963</v>
      </c>
      <c r="H1711" s="4"/>
      <c r="I1711" s="73"/>
      <c r="J1711" s="73"/>
      <c r="K1711" s="74"/>
      <c r="L1711" s="57"/>
      <c r="M1711" s="57"/>
      <c r="N1711" s="769"/>
      <c r="O1711" s="73"/>
      <c r="P1711" s="73"/>
      <c r="Q1711" s="73"/>
      <c r="R1711" s="73"/>
      <c r="S1711" s="73"/>
      <c r="T1711" s="73"/>
      <c r="U1711" s="73"/>
      <c r="V1711" s="73"/>
      <c r="W1711" s="73"/>
      <c r="X1711" s="73"/>
      <c r="Y1711" s="73"/>
      <c r="Z1711" s="67"/>
      <c r="AC1711" s="39" t="str">
        <f t="shared" si="213"/>
        <v>3012.20/01</v>
      </c>
      <c r="AD1711" s="3"/>
    </row>
    <row r="1712" spans="1:30" s="6" customFormat="1" ht="20.100000000000001" customHeight="1" x14ac:dyDescent="0.25">
      <c r="A1712" s="631" t="s">
        <v>6007</v>
      </c>
      <c r="B1712" s="76"/>
      <c r="C1712" s="76"/>
      <c r="D1712" s="74">
        <v>3239</v>
      </c>
      <c r="E1712" s="4">
        <v>18</v>
      </c>
      <c r="F1712" s="101">
        <v>3239</v>
      </c>
      <c r="G1712" s="75" t="s">
        <v>5964</v>
      </c>
      <c r="H1712" s="4"/>
      <c r="I1712" s="73"/>
      <c r="J1712" s="73"/>
      <c r="K1712" s="54" t="s">
        <v>7810</v>
      </c>
      <c r="L1712" s="57">
        <v>1586482761</v>
      </c>
      <c r="M1712" s="57">
        <v>1586482761</v>
      </c>
      <c r="N1712" s="769"/>
      <c r="O1712" s="73"/>
      <c r="P1712" s="73"/>
      <c r="Q1712" s="73"/>
      <c r="R1712" s="73"/>
      <c r="S1712" s="73"/>
      <c r="T1712" s="73"/>
      <c r="U1712" s="73"/>
      <c r="V1712" s="73"/>
      <c r="W1712" s="73"/>
      <c r="X1712" s="73"/>
      <c r="Y1712" s="73"/>
      <c r="Z1712" s="67"/>
      <c r="AC1712" s="39">
        <f t="shared" si="213"/>
        <v>3239</v>
      </c>
      <c r="AD1712" s="3"/>
    </row>
    <row r="1713" spans="1:30" s="6" customFormat="1" ht="20.100000000000001" customHeight="1" x14ac:dyDescent="0.25">
      <c r="A1713" s="631" t="s">
        <v>6030</v>
      </c>
      <c r="B1713" s="76"/>
      <c r="C1713" s="76"/>
      <c r="D1713" s="74">
        <v>3457</v>
      </c>
      <c r="E1713" s="4">
        <v>16</v>
      </c>
      <c r="F1713" s="101">
        <v>3457</v>
      </c>
      <c r="G1713" s="75" t="s">
        <v>5965</v>
      </c>
      <c r="H1713" s="4"/>
      <c r="I1713" s="73"/>
      <c r="J1713" s="73"/>
      <c r="K1713" s="54" t="s">
        <v>7811</v>
      </c>
      <c r="L1713" s="57">
        <v>1145657887</v>
      </c>
      <c r="M1713" s="57">
        <v>1145657889</v>
      </c>
      <c r="N1713" s="769"/>
      <c r="O1713" s="73"/>
      <c r="P1713" s="73"/>
      <c r="Q1713" s="73"/>
      <c r="R1713" s="73"/>
      <c r="S1713" s="73"/>
      <c r="T1713" s="73"/>
      <c r="U1713" s="73"/>
      <c r="V1713" s="73"/>
      <c r="W1713" s="73"/>
      <c r="X1713" s="73"/>
      <c r="Y1713" s="73"/>
      <c r="Z1713" s="67"/>
      <c r="AC1713" s="39">
        <f t="shared" si="213"/>
        <v>3457</v>
      </c>
      <c r="AD1713" s="3"/>
    </row>
    <row r="1714" spans="1:30" s="6" customFormat="1" ht="20.100000000000001" customHeight="1" x14ac:dyDescent="0.25">
      <c r="A1714" s="631" t="s">
        <v>6029</v>
      </c>
      <c r="B1714" s="76"/>
      <c r="C1714" s="76"/>
      <c r="D1714" s="74">
        <v>3603</v>
      </c>
      <c r="E1714" s="4"/>
      <c r="F1714" s="101">
        <v>3603</v>
      </c>
      <c r="G1714" s="75" t="s">
        <v>5966</v>
      </c>
      <c r="H1714" s="4"/>
      <c r="I1714" s="73"/>
      <c r="J1714" s="73"/>
      <c r="K1714" s="54" t="s">
        <v>7812</v>
      </c>
      <c r="L1714" s="57">
        <v>981781365</v>
      </c>
      <c r="M1714" s="57">
        <v>981781365</v>
      </c>
      <c r="N1714" s="769"/>
      <c r="O1714" s="73"/>
      <c r="P1714" s="73"/>
      <c r="Q1714" s="73"/>
      <c r="R1714" s="73"/>
      <c r="S1714" s="73"/>
      <c r="T1714" s="73"/>
      <c r="U1714" s="73"/>
      <c r="V1714" s="73"/>
      <c r="W1714" s="73"/>
      <c r="X1714" s="73"/>
      <c r="Y1714" s="73"/>
      <c r="Z1714" s="67"/>
      <c r="AC1714" s="39">
        <f t="shared" si="213"/>
        <v>3603</v>
      </c>
      <c r="AD1714" s="3"/>
    </row>
    <row r="1715" spans="1:30" s="6" customFormat="1" ht="20.100000000000001" customHeight="1" x14ac:dyDescent="0.25">
      <c r="A1715" s="631" t="s">
        <v>6028</v>
      </c>
      <c r="B1715" s="76"/>
      <c r="C1715" s="76"/>
      <c r="D1715" s="74">
        <v>3456</v>
      </c>
      <c r="E1715" s="4">
        <v>26</v>
      </c>
      <c r="F1715" s="101">
        <v>3456</v>
      </c>
      <c r="G1715" s="75" t="s">
        <v>5967</v>
      </c>
      <c r="H1715" s="4"/>
      <c r="I1715" s="73"/>
      <c r="J1715" s="73"/>
      <c r="K1715" s="74"/>
      <c r="L1715" s="57"/>
      <c r="M1715" s="57"/>
      <c r="N1715" s="769"/>
      <c r="O1715" s="73"/>
      <c r="P1715" s="73"/>
      <c r="Q1715" s="73"/>
      <c r="R1715" s="73"/>
      <c r="S1715" s="73"/>
      <c r="T1715" s="73"/>
      <c r="U1715" s="73"/>
      <c r="V1715" s="73"/>
      <c r="W1715" s="73"/>
      <c r="X1715" s="73"/>
      <c r="Y1715" s="73"/>
      <c r="Z1715" s="67"/>
      <c r="AC1715" s="39">
        <f t="shared" si="213"/>
        <v>3456</v>
      </c>
      <c r="AD1715" s="3"/>
    </row>
    <row r="1716" spans="1:30" s="6" customFormat="1" ht="20.100000000000001" customHeight="1" x14ac:dyDescent="0.25">
      <c r="A1716" s="631" t="s">
        <v>6017</v>
      </c>
      <c r="B1716" s="76"/>
      <c r="C1716" s="76"/>
      <c r="D1716" s="74">
        <v>3733</v>
      </c>
      <c r="E1716" s="4">
        <v>16</v>
      </c>
      <c r="F1716" s="101">
        <v>3733</v>
      </c>
      <c r="G1716" s="75" t="s">
        <v>5978</v>
      </c>
      <c r="H1716" s="4"/>
      <c r="I1716" s="73"/>
      <c r="J1716" s="73"/>
      <c r="K1716" s="54" t="s">
        <v>7813</v>
      </c>
      <c r="L1716" s="57">
        <v>1128823309</v>
      </c>
      <c r="M1716" s="57">
        <v>1128823310</v>
      </c>
      <c r="N1716" s="769"/>
      <c r="O1716" s="73"/>
      <c r="P1716" s="73"/>
      <c r="Q1716" s="73"/>
      <c r="R1716" s="73"/>
      <c r="S1716" s="73"/>
      <c r="T1716" s="73"/>
      <c r="U1716" s="73"/>
      <c r="V1716" s="73"/>
      <c r="W1716" s="73"/>
      <c r="X1716" s="73"/>
      <c r="Y1716" s="73"/>
      <c r="Z1716" s="67"/>
      <c r="AC1716" s="39">
        <f t="shared" si="213"/>
        <v>3733</v>
      </c>
      <c r="AD1716" s="3"/>
    </row>
    <row r="1717" spans="1:30" s="6" customFormat="1" ht="20.100000000000001" customHeight="1" x14ac:dyDescent="0.25">
      <c r="A1717" s="631" t="s">
        <v>6018</v>
      </c>
      <c r="B1717" s="76"/>
      <c r="C1717" s="76"/>
      <c r="D1717" s="74" t="s">
        <v>6046</v>
      </c>
      <c r="E1717" s="4">
        <v>18</v>
      </c>
      <c r="F1717" s="101" t="s">
        <v>5942</v>
      </c>
      <c r="G1717" s="75" t="s">
        <v>5979</v>
      </c>
      <c r="H1717" s="4"/>
      <c r="I1717" s="73"/>
      <c r="J1717" s="73"/>
      <c r="K1717" s="54" t="s">
        <v>5942</v>
      </c>
      <c r="L1717" s="57">
        <v>1349854656</v>
      </c>
      <c r="M1717" s="57">
        <v>1349854656</v>
      </c>
      <c r="N1717" s="769"/>
      <c r="O1717" s="73"/>
      <c r="P1717" s="73"/>
      <c r="Q1717" s="73"/>
      <c r="R1717" s="73"/>
      <c r="S1717" s="73"/>
      <c r="T1717" s="73"/>
      <c r="U1717" s="73"/>
      <c r="V1717" s="73"/>
      <c r="W1717" s="73"/>
      <c r="X1717" s="73"/>
      <c r="Y1717" s="73"/>
      <c r="Z1717" s="67"/>
      <c r="AC1717" s="39" t="str">
        <f t="shared" si="213"/>
        <v>3018.20/01</v>
      </c>
      <c r="AD1717" s="3"/>
    </row>
    <row r="1718" spans="1:30" s="6" customFormat="1" ht="20.100000000000001" customHeight="1" x14ac:dyDescent="0.25">
      <c r="A1718" s="631" t="s">
        <v>6019</v>
      </c>
      <c r="B1718" s="76"/>
      <c r="C1718" s="76"/>
      <c r="D1718" s="74" t="s">
        <v>6047</v>
      </c>
      <c r="E1718" s="4">
        <v>20</v>
      </c>
      <c r="F1718" s="101" t="s">
        <v>5943</v>
      </c>
      <c r="G1718" s="75" t="s">
        <v>5980</v>
      </c>
      <c r="H1718" s="4"/>
      <c r="I1718" s="73"/>
      <c r="J1718" s="73"/>
      <c r="K1718" s="54" t="s">
        <v>5943</v>
      </c>
      <c r="L1718" s="57">
        <v>1408065433</v>
      </c>
      <c r="M1718" s="57">
        <v>1408065433</v>
      </c>
      <c r="N1718" s="769"/>
      <c r="O1718" s="73"/>
      <c r="P1718" s="73"/>
      <c r="Q1718" s="73"/>
      <c r="R1718" s="73"/>
      <c r="S1718" s="73"/>
      <c r="T1718" s="73"/>
      <c r="U1718" s="73"/>
      <c r="V1718" s="73"/>
      <c r="W1718" s="73"/>
      <c r="X1718" s="73"/>
      <c r="Y1718" s="73"/>
      <c r="Z1718" s="67"/>
      <c r="AC1718" s="39" t="str">
        <f t="shared" si="213"/>
        <v>3782.20/01</v>
      </c>
      <c r="AD1718" s="3"/>
    </row>
    <row r="1719" spans="1:30" s="6" customFormat="1" ht="20.100000000000001" customHeight="1" x14ac:dyDescent="0.25">
      <c r="A1719" s="635" t="s">
        <v>5347</v>
      </c>
      <c r="B1719" s="3"/>
      <c r="C1719" s="3"/>
      <c r="D1719" s="63" t="s">
        <v>5350</v>
      </c>
      <c r="E1719" s="4">
        <v>22</v>
      </c>
      <c r="F1719" s="101" t="s">
        <v>5345</v>
      </c>
      <c r="G1719" s="57" t="s">
        <v>5349</v>
      </c>
      <c r="H1719" s="4"/>
      <c r="I1719" s="4"/>
      <c r="J1719" s="4"/>
      <c r="K1719" s="54" t="s">
        <v>5345</v>
      </c>
      <c r="L1719" s="57">
        <v>1636493878</v>
      </c>
      <c r="M1719" s="57">
        <v>1636493878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3"/>
      <c r="AC1719" s="39" t="str">
        <f t="shared" si="213"/>
        <v>4053.04.17/01</v>
      </c>
      <c r="AD1719" s="3"/>
    </row>
    <row r="1720" spans="1:30" s="6" customFormat="1" ht="20.100000000000001" customHeight="1" x14ac:dyDescent="0.25">
      <c r="A1720" s="635" t="s">
        <v>5346</v>
      </c>
      <c r="B1720" s="3"/>
      <c r="C1720" s="3"/>
      <c r="D1720" s="63" t="s">
        <v>5351</v>
      </c>
      <c r="E1720" s="4">
        <v>22</v>
      </c>
      <c r="F1720" s="101" t="s">
        <v>5344</v>
      </c>
      <c r="G1720" s="57" t="s">
        <v>5348</v>
      </c>
      <c r="H1720" s="4"/>
      <c r="I1720" s="4"/>
      <c r="J1720" s="4"/>
      <c r="K1720" s="54" t="s">
        <v>5344</v>
      </c>
      <c r="L1720" s="57">
        <v>1637467447</v>
      </c>
      <c r="M1720" s="57">
        <v>1637467447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3"/>
      <c r="AC1720" s="39" t="str">
        <f t="shared" si="213"/>
        <v>4053.25.06/01</v>
      </c>
      <c r="AD1720" s="3"/>
    </row>
    <row r="1721" spans="1:30" s="6" customFormat="1" ht="20.100000000000001" customHeight="1" x14ac:dyDescent="0.25">
      <c r="A1721" s="631" t="s">
        <v>6026</v>
      </c>
      <c r="B1721" s="76"/>
      <c r="C1721" s="76"/>
      <c r="D1721" s="74">
        <v>3392</v>
      </c>
      <c r="E1721" s="4">
        <v>20</v>
      </c>
      <c r="F1721" s="101">
        <v>3392</v>
      </c>
      <c r="G1721" s="75" t="s">
        <v>5982</v>
      </c>
      <c r="H1721" s="4"/>
      <c r="I1721" s="73"/>
      <c r="J1721" s="73"/>
      <c r="K1721" s="54" t="s">
        <v>7809</v>
      </c>
      <c r="L1721" s="57">
        <v>942901548</v>
      </c>
      <c r="M1721" s="57">
        <v>942901548</v>
      </c>
      <c r="N1721" s="769"/>
      <c r="O1721" s="73"/>
      <c r="P1721" s="73"/>
      <c r="Q1721" s="73"/>
      <c r="R1721" s="73"/>
      <c r="S1721" s="73"/>
      <c r="T1721" s="73"/>
      <c r="U1721" s="73"/>
      <c r="V1721" s="73"/>
      <c r="W1721" s="73"/>
      <c r="X1721" s="73"/>
      <c r="Y1721" s="73"/>
      <c r="Z1721" s="67"/>
      <c r="AC1721" s="39">
        <f t="shared" si="213"/>
        <v>3392</v>
      </c>
      <c r="AD1721" s="3"/>
    </row>
    <row r="1722" spans="1:30" s="6" customFormat="1" ht="20.100000000000001" customHeight="1" x14ac:dyDescent="0.25">
      <c r="A1722" s="631" t="s">
        <v>6020</v>
      </c>
      <c r="B1722" s="76"/>
      <c r="C1722" s="76"/>
      <c r="D1722" s="74" t="s">
        <v>6048</v>
      </c>
      <c r="E1722" s="4">
        <v>32</v>
      </c>
      <c r="F1722" s="101" t="s">
        <v>5944</v>
      </c>
      <c r="G1722" s="75" t="s">
        <v>5983</v>
      </c>
      <c r="H1722" s="4"/>
      <c r="I1722" s="73"/>
      <c r="J1722" s="73"/>
      <c r="K1722" s="54" t="s">
        <v>5944</v>
      </c>
      <c r="L1722" s="57">
        <v>1564178549</v>
      </c>
      <c r="M1722" s="57">
        <v>1564178549</v>
      </c>
      <c r="N1722" s="769"/>
      <c r="O1722" s="73"/>
      <c r="P1722" s="73"/>
      <c r="Q1722" s="73"/>
      <c r="R1722" s="73"/>
      <c r="S1722" s="73"/>
      <c r="T1722" s="73"/>
      <c r="U1722" s="73"/>
      <c r="V1722" s="73"/>
      <c r="W1722" s="73"/>
      <c r="X1722" s="73"/>
      <c r="Y1722" s="73"/>
      <c r="Z1722" s="67"/>
      <c r="AC1722" s="39" t="str">
        <f t="shared" si="213"/>
        <v>3877.25Ч/01</v>
      </c>
      <c r="AD1722" s="3"/>
    </row>
    <row r="1723" spans="1:30" s="6" customFormat="1" ht="20.100000000000001" customHeight="1" x14ac:dyDescent="0.25">
      <c r="A1723" s="631" t="s">
        <v>6021</v>
      </c>
      <c r="B1723" s="76"/>
      <c r="C1723" s="76"/>
      <c r="D1723" s="74">
        <v>3787</v>
      </c>
      <c r="E1723" s="4">
        <v>14</v>
      </c>
      <c r="F1723" s="101">
        <v>3787</v>
      </c>
      <c r="G1723" s="75" t="s">
        <v>5984</v>
      </c>
      <c r="H1723" s="4"/>
      <c r="I1723" s="73"/>
      <c r="J1723" s="73"/>
      <c r="K1723" s="54" t="s">
        <v>7804</v>
      </c>
      <c r="L1723" s="57">
        <v>1617790646</v>
      </c>
      <c r="M1723" s="57">
        <v>1617790646</v>
      </c>
      <c r="N1723" s="769"/>
      <c r="O1723" s="73"/>
      <c r="P1723" s="73"/>
      <c r="Q1723" s="73"/>
      <c r="R1723" s="73"/>
      <c r="S1723" s="73"/>
      <c r="T1723" s="73"/>
      <c r="U1723" s="73"/>
      <c r="V1723" s="73"/>
      <c r="W1723" s="73"/>
      <c r="X1723" s="73"/>
      <c r="Y1723" s="73"/>
      <c r="Z1723" s="67"/>
      <c r="AC1723" s="39">
        <f t="shared" si="213"/>
        <v>3787</v>
      </c>
      <c r="AD1723" s="3"/>
    </row>
    <row r="1724" spans="1:30" s="6" customFormat="1" ht="20.100000000000001" customHeight="1" x14ac:dyDescent="0.25">
      <c r="A1724" s="631" t="s">
        <v>6025</v>
      </c>
      <c r="B1724" s="76"/>
      <c r="C1724" s="76"/>
      <c r="D1724" s="74">
        <v>3455</v>
      </c>
      <c r="E1724" s="4">
        <v>20</v>
      </c>
      <c r="F1724" s="101">
        <v>3455</v>
      </c>
      <c r="G1724" s="75" t="s">
        <v>5986</v>
      </c>
      <c r="H1724" s="4"/>
      <c r="I1724" s="73"/>
      <c r="J1724" s="73"/>
      <c r="K1724" s="54" t="s">
        <v>7806</v>
      </c>
      <c r="L1724" s="57">
        <v>1162868281</v>
      </c>
      <c r="M1724" s="57">
        <v>1162868281</v>
      </c>
      <c r="N1724" s="769"/>
      <c r="O1724" s="73"/>
      <c r="P1724" s="73"/>
      <c r="Q1724" s="73"/>
      <c r="R1724" s="73"/>
      <c r="S1724" s="73"/>
      <c r="T1724" s="73"/>
      <c r="U1724" s="73"/>
      <c r="V1724" s="73"/>
      <c r="W1724" s="73"/>
      <c r="X1724" s="73"/>
      <c r="Y1724" s="73"/>
      <c r="Z1724" s="67"/>
      <c r="AC1724" s="39">
        <f t="shared" si="213"/>
        <v>3455</v>
      </c>
      <c r="AD1724" s="3"/>
    </row>
    <row r="1725" spans="1:30" s="6" customFormat="1" ht="20.100000000000001" customHeight="1" x14ac:dyDescent="0.25">
      <c r="A1725" s="631" t="s">
        <v>6023</v>
      </c>
      <c r="B1725" s="76"/>
      <c r="C1725" s="76"/>
      <c r="D1725" s="74">
        <v>3773</v>
      </c>
      <c r="E1725" s="4">
        <v>32</v>
      </c>
      <c r="F1725" s="101">
        <v>3773</v>
      </c>
      <c r="G1725" s="75" t="s">
        <v>5987</v>
      </c>
      <c r="H1725" s="4"/>
      <c r="I1725" s="73"/>
      <c r="J1725" s="73"/>
      <c r="K1725" s="54" t="s">
        <v>7807</v>
      </c>
      <c r="L1725" s="57">
        <v>1617565221</v>
      </c>
      <c r="M1725" s="57">
        <v>1617565221</v>
      </c>
      <c r="N1725" s="769"/>
      <c r="O1725" s="73"/>
      <c r="P1725" s="73"/>
      <c r="Q1725" s="73"/>
      <c r="R1725" s="73"/>
      <c r="S1725" s="73"/>
      <c r="T1725" s="73"/>
      <c r="U1725" s="73"/>
      <c r="V1725" s="73"/>
      <c r="W1725" s="73"/>
      <c r="X1725" s="73"/>
      <c r="Y1725" s="73"/>
      <c r="Z1725" s="67"/>
      <c r="AC1725" s="39">
        <f t="shared" si="213"/>
        <v>3773</v>
      </c>
      <c r="AD1725" s="3"/>
    </row>
    <row r="1726" spans="1:30" s="6" customFormat="1" ht="20.100000000000001" customHeight="1" x14ac:dyDescent="0.25">
      <c r="A1726" s="631" t="s">
        <v>6013</v>
      </c>
      <c r="B1726" s="76"/>
      <c r="C1726" s="76"/>
      <c r="D1726" s="74" t="s">
        <v>6044</v>
      </c>
      <c r="E1726" s="4">
        <v>48</v>
      </c>
      <c r="F1726" s="101" t="s">
        <v>5940</v>
      </c>
      <c r="G1726" s="75" t="s">
        <v>5973</v>
      </c>
      <c r="H1726" s="4"/>
      <c r="I1726" s="73"/>
      <c r="J1726" s="73"/>
      <c r="K1726" s="54" t="s">
        <v>5940</v>
      </c>
      <c r="L1726" s="57">
        <v>1471487973</v>
      </c>
      <c r="M1726" s="57">
        <v>1471487973</v>
      </c>
      <c r="N1726" s="769"/>
      <c r="O1726" s="73"/>
      <c r="P1726" s="73"/>
      <c r="Q1726" s="73"/>
      <c r="R1726" s="73"/>
      <c r="S1726" s="73"/>
      <c r="T1726" s="73"/>
      <c r="U1726" s="73"/>
      <c r="V1726" s="73"/>
      <c r="W1726" s="73"/>
      <c r="X1726" s="73"/>
      <c r="Y1726" s="73"/>
      <c r="Z1726" s="67"/>
      <c r="AC1726" s="39" t="str">
        <f t="shared" si="213"/>
        <v>2608.17/01</v>
      </c>
      <c r="AD1726" s="3"/>
    </row>
    <row r="1727" spans="1:30" s="6" customFormat="1" ht="20.100000000000001" customHeight="1" x14ac:dyDescent="0.25">
      <c r="A1727" s="631" t="s">
        <v>6014</v>
      </c>
      <c r="B1727" s="76"/>
      <c r="C1727" s="76"/>
      <c r="D1727" s="74" t="s">
        <v>6045</v>
      </c>
      <c r="E1727" s="4">
        <v>48</v>
      </c>
      <c r="F1727" s="101" t="s">
        <v>5941</v>
      </c>
      <c r="G1727" s="75" t="s">
        <v>5974</v>
      </c>
      <c r="H1727" s="4"/>
      <c r="I1727" s="73"/>
      <c r="J1727" s="73"/>
      <c r="K1727" s="74"/>
      <c r="L1727" s="57"/>
      <c r="M1727" s="57"/>
      <c r="N1727" s="769"/>
      <c r="O1727" s="73"/>
      <c r="P1727" s="73"/>
      <c r="Q1727" s="73"/>
      <c r="R1727" s="73"/>
      <c r="S1727" s="73"/>
      <c r="T1727" s="73"/>
      <c r="U1727" s="73"/>
      <c r="V1727" s="73"/>
      <c r="W1727" s="73"/>
      <c r="X1727" s="73"/>
      <c r="Y1727" s="73"/>
      <c r="Z1727" s="67"/>
      <c r="AC1727" s="39" t="str">
        <f t="shared" si="213"/>
        <v>2608.20/01</v>
      </c>
      <c r="AD1727" s="3"/>
    </row>
    <row r="1728" spans="1:30" s="6" customFormat="1" ht="20.100000000000001" customHeight="1" x14ac:dyDescent="0.25">
      <c r="A1728" s="631" t="s">
        <v>6027</v>
      </c>
      <c r="B1728" s="76"/>
      <c r="C1728" s="76"/>
      <c r="D1728" s="74">
        <v>3451</v>
      </c>
      <c r="E1728" s="4">
        <v>20</v>
      </c>
      <c r="F1728" s="101">
        <v>3451</v>
      </c>
      <c r="G1728" s="75" t="s">
        <v>5975</v>
      </c>
      <c r="H1728" s="4"/>
      <c r="I1728" s="73"/>
      <c r="J1728" s="73"/>
      <c r="K1728" s="54" t="s">
        <v>7802</v>
      </c>
      <c r="L1728" s="57">
        <v>942888714</v>
      </c>
      <c r="M1728" s="57">
        <v>942888714</v>
      </c>
      <c r="N1728" s="769"/>
      <c r="O1728" s="73"/>
      <c r="P1728" s="73"/>
      <c r="Q1728" s="73"/>
      <c r="R1728" s="73"/>
      <c r="S1728" s="73"/>
      <c r="T1728" s="73"/>
      <c r="U1728" s="73"/>
      <c r="V1728" s="73"/>
      <c r="W1728" s="73"/>
      <c r="X1728" s="73"/>
      <c r="Y1728" s="73"/>
      <c r="Z1728" s="67"/>
      <c r="AC1728" s="39">
        <f t="shared" si="213"/>
        <v>3451</v>
      </c>
      <c r="AD1728" s="3"/>
    </row>
    <row r="1729" spans="1:30" s="6" customFormat="1" ht="20.100000000000001" customHeight="1" x14ac:dyDescent="0.25">
      <c r="A1729" s="631" t="s">
        <v>6015</v>
      </c>
      <c r="B1729" s="76"/>
      <c r="C1729" s="76"/>
      <c r="D1729" s="74">
        <v>3632</v>
      </c>
      <c r="E1729" s="4">
        <v>14</v>
      </c>
      <c r="F1729" s="101">
        <v>3632</v>
      </c>
      <c r="G1729" s="75" t="s">
        <v>5976</v>
      </c>
      <c r="H1729" s="4"/>
      <c r="I1729" s="73"/>
      <c r="J1729" s="73"/>
      <c r="K1729" s="74"/>
      <c r="L1729" s="57"/>
      <c r="M1729" s="57"/>
      <c r="N1729" s="769"/>
      <c r="O1729" s="73"/>
      <c r="P1729" s="73"/>
      <c r="Q1729" s="73"/>
      <c r="R1729" s="73"/>
      <c r="S1729" s="73"/>
      <c r="T1729" s="73"/>
      <c r="U1729" s="73"/>
      <c r="V1729" s="73"/>
      <c r="W1729" s="73"/>
      <c r="X1729" s="73"/>
      <c r="Y1729" s="73"/>
      <c r="Z1729" s="67"/>
      <c r="AC1729" s="39">
        <f t="shared" si="213"/>
        <v>3632</v>
      </c>
      <c r="AD1729" s="3"/>
    </row>
    <row r="1730" spans="1:30" s="6" customFormat="1" ht="20.100000000000001" customHeight="1" x14ac:dyDescent="0.25">
      <c r="A1730" s="631" t="s">
        <v>6016</v>
      </c>
      <c r="B1730" s="76"/>
      <c r="C1730" s="76"/>
      <c r="D1730" s="74">
        <v>3644</v>
      </c>
      <c r="E1730" s="4"/>
      <c r="F1730" s="101">
        <v>3644</v>
      </c>
      <c r="G1730" s="75" t="s">
        <v>5977</v>
      </c>
      <c r="H1730" s="4"/>
      <c r="I1730" s="73"/>
      <c r="J1730" s="73"/>
      <c r="K1730" s="54" t="s">
        <v>7803</v>
      </c>
      <c r="L1730" s="57">
        <v>1067579842</v>
      </c>
      <c r="M1730" s="57">
        <v>1067579842</v>
      </c>
      <c r="N1730" s="769"/>
      <c r="O1730" s="73"/>
      <c r="P1730" s="73"/>
      <c r="Q1730" s="73"/>
      <c r="R1730" s="73"/>
      <c r="S1730" s="73"/>
      <c r="T1730" s="73"/>
      <c r="U1730" s="73"/>
      <c r="V1730" s="73"/>
      <c r="W1730" s="73"/>
      <c r="X1730" s="73"/>
      <c r="Y1730" s="73"/>
      <c r="Z1730" s="67"/>
      <c r="AC1730" s="39">
        <f t="shared" si="213"/>
        <v>3644</v>
      </c>
      <c r="AD1730" s="3"/>
    </row>
    <row r="1731" spans="1:30" s="6" customFormat="1" ht="20.100000000000001" customHeight="1" x14ac:dyDescent="0.25">
      <c r="A1731" s="631" t="s">
        <v>5571</v>
      </c>
      <c r="B1731" s="3"/>
      <c r="C1731" s="3"/>
      <c r="D1731" s="54" t="s">
        <v>7951</v>
      </c>
      <c r="E1731" s="4">
        <v>14</v>
      </c>
      <c r="F1731" s="101" t="s">
        <v>6303</v>
      </c>
      <c r="G1731" s="57" t="s">
        <v>5231</v>
      </c>
      <c r="H1731" s="4"/>
      <c r="I1731" s="4"/>
      <c r="J1731" s="4"/>
      <c r="K1731" s="54" t="s">
        <v>6303</v>
      </c>
      <c r="L1731" s="57">
        <v>1546039364</v>
      </c>
      <c r="M1731" s="57">
        <v>1546039364</v>
      </c>
      <c r="N1731" s="766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62"/>
      <c r="AC1731" s="39" t="str">
        <f t="shared" si="213"/>
        <v>MK242182101</v>
      </c>
      <c r="AD1731" s="3"/>
    </row>
    <row r="1732" spans="1:30" s="6" customFormat="1" ht="20.100000000000001" customHeight="1" x14ac:dyDescent="0.25">
      <c r="A1732" s="631" t="s">
        <v>5901</v>
      </c>
      <c r="B1732" s="3"/>
      <c r="C1732" s="3"/>
      <c r="D1732" s="54" t="s">
        <v>7425</v>
      </c>
      <c r="E1732" s="4">
        <v>60</v>
      </c>
      <c r="F1732" s="101" t="s">
        <v>5497</v>
      </c>
      <c r="G1732" s="57" t="s">
        <v>5722</v>
      </c>
      <c r="H1732" s="4"/>
      <c r="I1732" s="4"/>
      <c r="J1732" s="4"/>
      <c r="K1732" s="54" t="s">
        <v>5497</v>
      </c>
      <c r="L1732" s="57">
        <v>1623649202</v>
      </c>
      <c r="M1732" s="57">
        <v>1623649202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3"/>
      <c r="AC1732" s="39" t="str">
        <f t="shared" si="213"/>
        <v>MK00041</v>
      </c>
      <c r="AD1732" s="3"/>
    </row>
    <row r="1733" spans="1:30" s="6" customFormat="1" ht="20.100000000000001" customHeight="1" x14ac:dyDescent="0.25">
      <c r="A1733" s="631" t="s">
        <v>5558</v>
      </c>
      <c r="B1733" s="3"/>
      <c r="C1733" s="3"/>
      <c r="D1733" s="54" t="s">
        <v>7426</v>
      </c>
      <c r="E1733" s="4">
        <v>39</v>
      </c>
      <c r="F1733" s="101" t="s">
        <v>6302</v>
      </c>
      <c r="G1733" s="57" t="s">
        <v>5190</v>
      </c>
      <c r="H1733" s="4"/>
      <c r="I1733" s="4"/>
      <c r="J1733" s="4"/>
      <c r="K1733" s="54" t="s">
        <v>6302</v>
      </c>
      <c r="L1733" s="57">
        <v>1471466359</v>
      </c>
      <c r="M1733" s="57">
        <v>1471466359</v>
      </c>
      <c r="N1733" s="766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62"/>
      <c r="AC1733" s="39" t="str">
        <f t="shared" si="213"/>
        <v>MK1050201</v>
      </c>
      <c r="AD1733" s="3"/>
    </row>
    <row r="1734" spans="1:30" s="6" customFormat="1" ht="20.100000000000001" customHeight="1" x14ac:dyDescent="0.25">
      <c r="A1734" s="635" t="s">
        <v>5371</v>
      </c>
      <c r="B1734" s="3"/>
      <c r="C1734" s="3"/>
      <c r="D1734" s="63" t="s">
        <v>5361</v>
      </c>
      <c r="E1734" s="4">
        <v>16</v>
      </c>
      <c r="F1734" s="101" t="s">
        <v>6297</v>
      </c>
      <c r="G1734" s="57" t="s">
        <v>5365</v>
      </c>
      <c r="H1734" s="4"/>
      <c r="I1734" s="4"/>
      <c r="J1734" s="4"/>
      <c r="K1734" s="54" t="s">
        <v>6297</v>
      </c>
      <c r="L1734" s="57">
        <v>1636496562</v>
      </c>
      <c r="M1734" s="57">
        <v>1636496562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3"/>
      <c r="AC1734" s="39" t="str">
        <f t="shared" si="213"/>
        <v>MK2150101</v>
      </c>
      <c r="AD1734" s="3"/>
    </row>
    <row r="1735" spans="1:30" s="6" customFormat="1" ht="20.100000000000001" customHeight="1" x14ac:dyDescent="0.25">
      <c r="A1735" s="665" t="s">
        <v>5370</v>
      </c>
      <c r="B1735" s="3"/>
      <c r="C1735" s="3"/>
      <c r="D1735" s="63" t="s">
        <v>5362</v>
      </c>
      <c r="E1735" s="4">
        <v>39</v>
      </c>
      <c r="F1735" s="101" t="s">
        <v>6287</v>
      </c>
      <c r="G1735" s="57" t="s">
        <v>5366</v>
      </c>
      <c r="H1735" s="4"/>
      <c r="I1735" s="4"/>
      <c r="J1735" s="4"/>
      <c r="K1735" s="54" t="s">
        <v>6287</v>
      </c>
      <c r="L1735" s="57">
        <v>887621835</v>
      </c>
      <c r="M1735" s="57">
        <v>887621835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3"/>
      <c r="AC1735" s="39" t="str">
        <f t="shared" si="213"/>
        <v>MK1050101</v>
      </c>
      <c r="AD1735" s="3"/>
    </row>
    <row r="1736" spans="1:30" s="6" customFormat="1" ht="20.100000000000001" customHeight="1" x14ac:dyDescent="0.25">
      <c r="A1736" s="635" t="s">
        <v>5394</v>
      </c>
      <c r="B1736" s="3"/>
      <c r="C1736" s="3"/>
      <c r="D1736" s="63" t="s">
        <v>5385</v>
      </c>
      <c r="E1736" s="4">
        <v>15</v>
      </c>
      <c r="F1736" s="101" t="s">
        <v>5395</v>
      </c>
      <c r="G1736" s="57" t="s">
        <v>5375</v>
      </c>
      <c r="H1736" s="4"/>
      <c r="I1736" s="4"/>
      <c r="J1736" s="4"/>
      <c r="K1736" s="54" t="s">
        <v>5395</v>
      </c>
      <c r="L1736" s="57">
        <v>1351814629</v>
      </c>
      <c r="M1736" s="57">
        <v>1351814629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3"/>
      <c r="AC1736" s="39" t="str">
        <f t="shared" si="213"/>
        <v>MK000102001</v>
      </c>
      <c r="AD1736" s="3"/>
    </row>
    <row r="1737" spans="1:30" s="6" customFormat="1" ht="20.100000000000001" customHeight="1" x14ac:dyDescent="0.25">
      <c r="A1737" s="631" t="s">
        <v>5397</v>
      </c>
      <c r="B1737" s="3"/>
      <c r="C1737" s="3"/>
      <c r="D1737" s="63" t="s">
        <v>5386</v>
      </c>
      <c r="E1737" s="4">
        <v>14</v>
      </c>
      <c r="F1737" s="101" t="s">
        <v>5396</v>
      </c>
      <c r="G1737" s="57" t="s">
        <v>5376</v>
      </c>
      <c r="H1737" s="4"/>
      <c r="I1737" s="4"/>
      <c r="J1737" s="4"/>
      <c r="K1737" s="54" t="s">
        <v>5396</v>
      </c>
      <c r="L1737" s="57">
        <v>1341069038</v>
      </c>
      <c r="M1737" s="57">
        <v>1341069038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3"/>
      <c r="AC1737" s="39" t="str">
        <f t="shared" si="213"/>
        <v>MK142010104</v>
      </c>
      <c r="AD1737" s="3"/>
    </row>
    <row r="1738" spans="1:30" s="6" customFormat="1" ht="20.100000000000001" customHeight="1" x14ac:dyDescent="0.25">
      <c r="A1738" s="631" t="s">
        <v>8156</v>
      </c>
      <c r="B1738" s="338"/>
      <c r="C1738" s="338"/>
      <c r="D1738" s="63" t="s">
        <v>8152</v>
      </c>
      <c r="E1738" s="4">
        <v>14</v>
      </c>
      <c r="F1738" s="101" t="s">
        <v>8153</v>
      </c>
      <c r="G1738" s="337" t="s">
        <v>8151</v>
      </c>
      <c r="H1738" s="335"/>
      <c r="I1738" s="335"/>
      <c r="J1738" s="335"/>
      <c r="K1738" s="336"/>
      <c r="L1738" s="337"/>
      <c r="M1738" s="337"/>
      <c r="N1738" s="335"/>
      <c r="O1738" s="335"/>
      <c r="P1738" s="335"/>
      <c r="Q1738" s="335"/>
      <c r="R1738" s="335"/>
      <c r="S1738" s="335"/>
      <c r="T1738" s="335"/>
      <c r="U1738" s="335"/>
      <c r="V1738" s="335"/>
      <c r="W1738" s="335"/>
      <c r="X1738" s="335"/>
      <c r="Y1738" s="335"/>
      <c r="Z1738" s="338"/>
      <c r="AC1738" s="39" t="str">
        <f t="shared" si="213"/>
        <v>MK142010105</v>
      </c>
      <c r="AD1738" s="338"/>
    </row>
    <row r="1739" spans="1:30" s="6" customFormat="1" ht="20.100000000000001" customHeight="1" x14ac:dyDescent="0.25">
      <c r="A1739" s="635" t="s">
        <v>5398</v>
      </c>
      <c r="B1739" s="3"/>
      <c r="C1739" s="3"/>
      <c r="D1739" s="63" t="s">
        <v>5388</v>
      </c>
      <c r="E1739" s="4">
        <v>15</v>
      </c>
      <c r="F1739" s="101" t="s">
        <v>6294</v>
      </c>
      <c r="G1739" s="57" t="s">
        <v>5378</v>
      </c>
      <c r="H1739" s="4"/>
      <c r="I1739" s="4"/>
      <c r="J1739" s="4"/>
      <c r="K1739" s="54" t="s">
        <v>6294</v>
      </c>
      <c r="L1739" s="57">
        <v>1574955031</v>
      </c>
      <c r="M1739" s="57">
        <v>1574955031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3"/>
      <c r="AC1739" s="39" t="str">
        <f t="shared" si="213"/>
        <v>MK1912501</v>
      </c>
      <c r="AD1739" s="3"/>
    </row>
    <row r="1740" spans="1:30" s="6" customFormat="1" ht="20.100000000000001" customHeight="1" x14ac:dyDescent="0.25">
      <c r="A1740" s="665" t="s">
        <v>5402</v>
      </c>
      <c r="B1740" s="3"/>
      <c r="C1740" s="13" t="s">
        <v>2581</v>
      </c>
      <c r="D1740" s="63" t="s">
        <v>5392</v>
      </c>
      <c r="E1740" s="4">
        <v>27</v>
      </c>
      <c r="F1740" s="101" t="s">
        <v>5401</v>
      </c>
      <c r="G1740" s="57" t="s">
        <v>5383</v>
      </c>
      <c r="H1740" s="4"/>
      <c r="I1740" s="4"/>
      <c r="J1740" s="4"/>
      <c r="K1740" s="54" t="s">
        <v>5401</v>
      </c>
      <c r="L1740" s="57">
        <v>1623621351</v>
      </c>
      <c r="M1740" s="57">
        <v>1623621351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3"/>
      <c r="AC1740" s="39" t="str">
        <f t="shared" si="213"/>
        <v>MK1272501</v>
      </c>
      <c r="AD1740" s="3"/>
    </row>
    <row r="1741" spans="1:30" s="6" customFormat="1" ht="20.100000000000001" customHeight="1" x14ac:dyDescent="0.25">
      <c r="A1741" s="631" t="s">
        <v>5550</v>
      </c>
      <c r="B1741" s="3"/>
      <c r="C1741" s="3"/>
      <c r="D1741" s="63" t="s">
        <v>7427</v>
      </c>
      <c r="E1741" s="4">
        <v>24</v>
      </c>
      <c r="F1741" s="101" t="s">
        <v>4643</v>
      </c>
      <c r="G1741" s="57" t="s">
        <v>5229</v>
      </c>
      <c r="H1741" s="4"/>
      <c r="I1741" s="4"/>
      <c r="J1741" s="4"/>
      <c r="K1741" s="54" t="s">
        <v>4643</v>
      </c>
      <c r="L1741" s="57">
        <v>1378216967</v>
      </c>
      <c r="M1741" s="57">
        <v>1378216967</v>
      </c>
      <c r="N1741" s="766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62"/>
      <c r="AC1741" s="39" t="str">
        <f t="shared" si="213"/>
        <v>MK228010151</v>
      </c>
      <c r="AD1741" s="3"/>
    </row>
    <row r="1742" spans="1:30" s="6" customFormat="1" ht="20.100000000000001" customHeight="1" x14ac:dyDescent="0.25">
      <c r="A1742" s="631" t="s">
        <v>5859</v>
      </c>
      <c r="B1742" s="76"/>
      <c r="C1742" s="76"/>
      <c r="D1742" s="74" t="s">
        <v>5741</v>
      </c>
      <c r="E1742" s="4">
        <v>16</v>
      </c>
      <c r="F1742" s="101" t="s">
        <v>7963</v>
      </c>
      <c r="G1742" s="75" t="s">
        <v>5812</v>
      </c>
      <c r="H1742" s="4"/>
      <c r="I1742" s="73"/>
      <c r="J1742" s="73"/>
      <c r="K1742" s="74"/>
      <c r="L1742" s="57"/>
      <c r="M1742" s="57"/>
      <c r="N1742" s="769"/>
      <c r="O1742" s="73"/>
      <c r="P1742" s="73"/>
      <c r="Q1742" s="73"/>
      <c r="R1742" s="73"/>
      <c r="S1742" s="73"/>
      <c r="T1742" s="73"/>
      <c r="U1742" s="73"/>
      <c r="V1742" s="73"/>
      <c r="W1742" s="73"/>
      <c r="X1742" s="73"/>
      <c r="Y1742" s="73"/>
      <c r="Z1742" s="67"/>
      <c r="AC1742" s="39" t="str">
        <f t="shared" si="213"/>
        <v>MK139000111</v>
      </c>
      <c r="AD1742" s="3"/>
    </row>
    <row r="1743" spans="1:30" s="6" customFormat="1" ht="20.100000000000001" customHeight="1" x14ac:dyDescent="0.25">
      <c r="A1743" s="631" t="s">
        <v>5900</v>
      </c>
      <c r="B1743" s="76"/>
      <c r="C1743" s="76"/>
      <c r="D1743" s="74" t="s">
        <v>5742</v>
      </c>
      <c r="E1743" s="4">
        <v>10</v>
      </c>
      <c r="F1743" s="101" t="s">
        <v>6290</v>
      </c>
      <c r="G1743" s="75" t="s">
        <v>5813</v>
      </c>
      <c r="H1743" s="4"/>
      <c r="I1743" s="73"/>
      <c r="J1743" s="73"/>
      <c r="K1743" s="54" t="s">
        <v>6290</v>
      </c>
      <c r="L1743" s="57">
        <v>1324861139</v>
      </c>
      <c r="M1743" s="57">
        <v>1324861139</v>
      </c>
      <c r="N1743" s="769"/>
      <c r="O1743" s="73"/>
      <c r="P1743" s="73"/>
      <c r="Q1743" s="73"/>
      <c r="R1743" s="73"/>
      <c r="S1743" s="73"/>
      <c r="T1743" s="73"/>
      <c r="U1743" s="73"/>
      <c r="V1743" s="73"/>
      <c r="W1743" s="73"/>
      <c r="X1743" s="73"/>
      <c r="Y1743" s="73"/>
      <c r="Z1743" s="67"/>
      <c r="AC1743" s="39" t="str">
        <f t="shared" si="213"/>
        <v>MK1580201</v>
      </c>
      <c r="AD1743" s="3"/>
    </row>
    <row r="1744" spans="1:30" s="6" customFormat="1" ht="20.100000000000001" customHeight="1" x14ac:dyDescent="0.25">
      <c r="A1744" s="631" t="s">
        <v>5860</v>
      </c>
      <c r="B1744" s="76"/>
      <c r="C1744" s="13" t="s">
        <v>2582</v>
      </c>
      <c r="D1744" s="74" t="s">
        <v>5744</v>
      </c>
      <c r="E1744" s="4">
        <v>18</v>
      </c>
      <c r="F1744" s="101" t="s">
        <v>7748</v>
      </c>
      <c r="G1744" s="75" t="s">
        <v>5815</v>
      </c>
      <c r="H1744" s="4"/>
      <c r="I1744" s="73"/>
      <c r="J1744" s="73"/>
      <c r="K1744" s="54" t="s">
        <v>7748</v>
      </c>
      <c r="L1744" s="57">
        <v>1320900223</v>
      </c>
      <c r="M1744" s="57">
        <v>1320900223</v>
      </c>
      <c r="N1744" s="769"/>
      <c r="O1744" s="73"/>
      <c r="P1744" s="73"/>
      <c r="Q1744" s="73"/>
      <c r="R1744" s="73"/>
      <c r="S1744" s="73"/>
      <c r="T1744" s="73"/>
      <c r="U1744" s="73"/>
      <c r="V1744" s="73"/>
      <c r="W1744" s="73"/>
      <c r="X1744" s="73"/>
      <c r="Y1744" s="73"/>
      <c r="Z1744" s="67"/>
      <c r="AA1744" s="1" t="str">
        <f>IFERROR(VLOOKUP(D:D,[1]Габариты!$A:$I,9,0),"")</f>
        <v>Основной ассортимент</v>
      </c>
      <c r="AB1744" s="6" t="str">
        <f>IFERROR(VLOOKUP(D:D,[1]Габариты!$A:$D,4,0),"")</f>
        <v>КОМОДЫ</v>
      </c>
      <c r="AC1744" s="39" t="str">
        <f t="shared" ref="AC1744:AC1805" si="215">D1744</f>
        <v>MK1830201</v>
      </c>
      <c r="AD1744" s="13" t="str">
        <f t="shared" ref="AD1744" si="216">C1744</f>
        <v>FBO</v>
      </c>
    </row>
    <row r="1745" spans="1:30" s="6" customFormat="1" ht="20.100000000000001" customHeight="1" x14ac:dyDescent="0.25">
      <c r="A1745" s="631" t="s">
        <v>5863</v>
      </c>
      <c r="B1745" s="76"/>
      <c r="C1745" s="76"/>
      <c r="D1745" s="74" t="s">
        <v>5748</v>
      </c>
      <c r="E1745" s="4">
        <v>7</v>
      </c>
      <c r="F1745" s="101" t="s">
        <v>5735</v>
      </c>
      <c r="G1745" s="75" t="s">
        <v>5819</v>
      </c>
      <c r="H1745" s="4"/>
      <c r="I1745" s="73"/>
      <c r="J1745" s="73"/>
      <c r="K1745" s="54" t="s">
        <v>5735</v>
      </c>
      <c r="L1745" s="57">
        <v>975489540</v>
      </c>
      <c r="M1745" s="57">
        <v>975489540</v>
      </c>
      <c r="N1745" s="769"/>
      <c r="O1745" s="73"/>
      <c r="P1745" s="73"/>
      <c r="Q1745" s="73"/>
      <c r="R1745" s="73"/>
      <c r="S1745" s="73"/>
      <c r="T1745" s="73"/>
      <c r="U1745" s="73"/>
      <c r="V1745" s="73"/>
      <c r="W1745" s="73"/>
      <c r="X1745" s="73"/>
      <c r="Y1745" s="73"/>
      <c r="Z1745" s="67"/>
      <c r="AC1745" s="39" t="str">
        <f t="shared" si="215"/>
        <v>MK167010104</v>
      </c>
      <c r="AD1745" s="3"/>
    </row>
    <row r="1746" spans="1:30" s="6" customFormat="1" ht="20.100000000000001" customHeight="1" x14ac:dyDescent="0.25">
      <c r="A1746" s="631" t="s">
        <v>5866</v>
      </c>
      <c r="B1746" s="76"/>
      <c r="C1746" s="76"/>
      <c r="D1746" s="74" t="s">
        <v>5752</v>
      </c>
      <c r="E1746" s="4">
        <v>12</v>
      </c>
      <c r="F1746" s="101" t="s">
        <v>5739</v>
      </c>
      <c r="G1746" s="75" t="s">
        <v>5823</v>
      </c>
      <c r="H1746" s="4"/>
      <c r="I1746" s="73"/>
      <c r="J1746" s="73"/>
      <c r="K1746" s="54" t="s">
        <v>5739</v>
      </c>
      <c r="L1746" s="57">
        <v>1192442847</v>
      </c>
      <c r="M1746" s="57">
        <v>1192442844</v>
      </c>
      <c r="N1746" s="769"/>
      <c r="O1746" s="73"/>
      <c r="P1746" s="73"/>
      <c r="Q1746" s="73"/>
      <c r="R1746" s="73"/>
      <c r="S1746" s="73"/>
      <c r="T1746" s="73"/>
      <c r="U1746" s="73"/>
      <c r="V1746" s="73"/>
      <c r="W1746" s="73"/>
      <c r="X1746" s="73"/>
      <c r="Y1746" s="73"/>
      <c r="Z1746" s="67"/>
      <c r="AC1746" s="39" t="str">
        <f t="shared" si="215"/>
        <v>MK224010105</v>
      </c>
      <c r="AD1746" s="3"/>
    </row>
    <row r="1747" spans="1:30" s="6" customFormat="1" ht="20.100000000000001" customHeight="1" x14ac:dyDescent="0.25">
      <c r="A1747" s="631" t="s">
        <v>5867</v>
      </c>
      <c r="B1747" s="76"/>
      <c r="C1747" s="76"/>
      <c r="D1747" s="74" t="s">
        <v>5753</v>
      </c>
      <c r="E1747" s="4">
        <v>26</v>
      </c>
      <c r="F1747" s="101" t="s">
        <v>5740</v>
      </c>
      <c r="G1747" s="75" t="s">
        <v>5824</v>
      </c>
      <c r="H1747" s="4"/>
      <c r="I1747" s="73"/>
      <c r="J1747" s="73"/>
      <c r="K1747" s="54" t="s">
        <v>5740</v>
      </c>
      <c r="L1747" s="57">
        <v>1340967652</v>
      </c>
      <c r="M1747" s="57">
        <v>1340967652</v>
      </c>
      <c r="N1747" s="769"/>
      <c r="O1747" s="73"/>
      <c r="P1747" s="73"/>
      <c r="Q1747" s="73"/>
      <c r="R1747" s="73"/>
      <c r="S1747" s="73"/>
      <c r="T1747" s="73"/>
      <c r="U1747" s="73"/>
      <c r="V1747" s="73"/>
      <c r="W1747" s="73"/>
      <c r="X1747" s="73"/>
      <c r="Y1747" s="73"/>
      <c r="Z1747" s="67"/>
      <c r="AC1747" s="39" t="str">
        <f t="shared" si="215"/>
        <v>MK1372001</v>
      </c>
      <c r="AD1747" s="3"/>
    </row>
    <row r="1748" spans="1:30" s="6" customFormat="1" ht="20.100000000000001" customHeight="1" x14ac:dyDescent="0.25">
      <c r="A1748" s="631" t="s">
        <v>5896</v>
      </c>
      <c r="B1748" s="76"/>
      <c r="C1748" s="76"/>
      <c r="D1748" s="74" t="s">
        <v>5778</v>
      </c>
      <c r="E1748" s="4">
        <v>20</v>
      </c>
      <c r="F1748" s="101" t="s">
        <v>5754</v>
      </c>
      <c r="G1748" s="75" t="s">
        <v>5825</v>
      </c>
      <c r="H1748" s="4"/>
      <c r="I1748" s="73"/>
      <c r="J1748" s="73"/>
      <c r="K1748" s="54" t="s">
        <v>5754</v>
      </c>
      <c r="L1748" s="57">
        <v>981493971</v>
      </c>
      <c r="M1748" s="57">
        <v>981493971</v>
      </c>
      <c r="N1748" s="769"/>
      <c r="O1748" s="73"/>
      <c r="P1748" s="73"/>
      <c r="Q1748" s="73"/>
      <c r="R1748" s="73"/>
      <c r="S1748" s="73"/>
      <c r="T1748" s="73"/>
      <c r="U1748" s="73"/>
      <c r="V1748" s="73"/>
      <c r="W1748" s="73"/>
      <c r="X1748" s="73"/>
      <c r="Y1748" s="73"/>
      <c r="Z1748" s="67"/>
      <c r="AC1748" s="39" t="str">
        <f t="shared" si="215"/>
        <v>MK1060201</v>
      </c>
      <c r="AD1748" s="3"/>
    </row>
    <row r="1749" spans="1:30" s="6" customFormat="1" ht="20.100000000000001" customHeight="1" x14ac:dyDescent="0.25">
      <c r="A1749" s="631" t="s">
        <v>5895</v>
      </c>
      <c r="B1749" s="76"/>
      <c r="C1749" s="76"/>
      <c r="D1749" s="74" t="s">
        <v>5779</v>
      </c>
      <c r="E1749" s="4">
        <v>21</v>
      </c>
      <c r="F1749" s="101" t="s">
        <v>5755</v>
      </c>
      <c r="G1749" s="75" t="s">
        <v>5826</v>
      </c>
      <c r="H1749" s="4"/>
      <c r="I1749" s="73"/>
      <c r="J1749" s="73"/>
      <c r="K1749" s="54" t="s">
        <v>5755</v>
      </c>
      <c r="L1749" s="57">
        <v>1209318886</v>
      </c>
      <c r="M1749" s="57">
        <v>1209318887</v>
      </c>
      <c r="N1749" s="769"/>
      <c r="O1749" s="73"/>
      <c r="P1749" s="73"/>
      <c r="Q1749" s="73"/>
      <c r="R1749" s="73"/>
      <c r="S1749" s="73"/>
      <c r="T1749" s="73"/>
      <c r="U1749" s="73"/>
      <c r="V1749" s="73"/>
      <c r="W1749" s="73"/>
      <c r="X1749" s="73"/>
      <c r="Y1749" s="73"/>
      <c r="Z1749" s="67"/>
      <c r="AC1749" s="39" t="str">
        <f t="shared" si="215"/>
        <v>MK226010151</v>
      </c>
      <c r="AD1749" s="3"/>
    </row>
    <row r="1750" spans="1:30" s="6" customFormat="1" ht="20.100000000000001" customHeight="1" x14ac:dyDescent="0.25">
      <c r="A1750" s="631" t="s">
        <v>5893</v>
      </c>
      <c r="B1750" s="76"/>
      <c r="C1750" s="76"/>
      <c r="D1750" s="74" t="s">
        <v>5781</v>
      </c>
      <c r="E1750" s="4">
        <v>36</v>
      </c>
      <c r="F1750" s="101" t="s">
        <v>5756</v>
      </c>
      <c r="G1750" s="75" t="s">
        <v>5828</v>
      </c>
      <c r="H1750" s="4"/>
      <c r="I1750" s="73"/>
      <c r="J1750" s="73"/>
      <c r="K1750" s="54" t="s">
        <v>5756</v>
      </c>
      <c r="L1750" s="57">
        <v>1337295141</v>
      </c>
      <c r="M1750" s="57">
        <v>1337295141</v>
      </c>
      <c r="N1750" s="769"/>
      <c r="O1750" s="73"/>
      <c r="P1750" s="73"/>
      <c r="Q1750" s="73"/>
      <c r="R1750" s="73"/>
      <c r="S1750" s="73"/>
      <c r="T1750" s="73"/>
      <c r="U1750" s="73"/>
      <c r="V1750" s="73"/>
      <c r="W1750" s="73"/>
      <c r="X1750" s="73"/>
      <c r="Y1750" s="73"/>
      <c r="Z1750" s="67"/>
      <c r="AC1750" s="39" t="str">
        <f t="shared" si="215"/>
        <v>MK1980101</v>
      </c>
      <c r="AD1750" s="3"/>
    </row>
    <row r="1751" spans="1:30" s="6" customFormat="1" ht="20.100000000000001" customHeight="1" x14ac:dyDescent="0.25">
      <c r="A1751" s="631" t="s">
        <v>5892</v>
      </c>
      <c r="B1751" s="76"/>
      <c r="C1751" s="76"/>
      <c r="D1751" s="74" t="s">
        <v>5782</v>
      </c>
      <c r="E1751" s="4">
        <v>20</v>
      </c>
      <c r="F1751" s="101" t="s">
        <v>5758</v>
      </c>
      <c r="G1751" s="75" t="s">
        <v>5830</v>
      </c>
      <c r="H1751" s="4"/>
      <c r="I1751" s="73"/>
      <c r="J1751" s="73"/>
      <c r="K1751" s="54" t="s">
        <v>5758</v>
      </c>
      <c r="L1751" s="57">
        <v>1190670925</v>
      </c>
      <c r="M1751" s="57">
        <v>1190670924</v>
      </c>
      <c r="N1751" s="769"/>
      <c r="O1751" s="73"/>
      <c r="P1751" s="73"/>
      <c r="Q1751" s="73"/>
      <c r="R1751" s="73"/>
      <c r="S1751" s="73"/>
      <c r="T1751" s="73"/>
      <c r="U1751" s="73"/>
      <c r="V1751" s="73"/>
      <c r="W1751" s="73"/>
      <c r="X1751" s="73"/>
      <c r="Y1751" s="73"/>
      <c r="Z1751" s="67"/>
      <c r="AC1751" s="39" t="str">
        <f t="shared" si="215"/>
        <v>MK1110201</v>
      </c>
      <c r="AD1751" s="3"/>
    </row>
    <row r="1752" spans="1:30" s="6" customFormat="1" ht="20.100000000000001" customHeight="1" x14ac:dyDescent="0.25">
      <c r="A1752" s="631" t="s">
        <v>5868</v>
      </c>
      <c r="B1752" s="76"/>
      <c r="C1752" s="76"/>
      <c r="D1752" s="74" t="s">
        <v>5783</v>
      </c>
      <c r="E1752" s="4">
        <v>18</v>
      </c>
      <c r="F1752" s="101" t="s">
        <v>5759</v>
      </c>
      <c r="G1752" s="75" t="s">
        <v>5831</v>
      </c>
      <c r="H1752" s="4"/>
      <c r="I1752" s="73"/>
      <c r="J1752" s="73"/>
      <c r="K1752" s="74"/>
      <c r="L1752" s="57"/>
      <c r="M1752" s="57"/>
      <c r="N1752" s="769"/>
      <c r="O1752" s="73"/>
      <c r="P1752" s="73"/>
      <c r="Q1752" s="73"/>
      <c r="R1752" s="73"/>
      <c r="S1752" s="73"/>
      <c r="T1752" s="73"/>
      <c r="U1752" s="73"/>
      <c r="V1752" s="73"/>
      <c r="W1752" s="73"/>
      <c r="X1752" s="73"/>
      <c r="Y1752" s="73"/>
      <c r="Z1752" s="67"/>
      <c r="AC1752" s="39" t="str">
        <f t="shared" si="215"/>
        <v>MK1250201</v>
      </c>
      <c r="AD1752" s="3"/>
    </row>
    <row r="1753" spans="1:30" s="6" customFormat="1" ht="20.100000000000001" customHeight="1" x14ac:dyDescent="0.25">
      <c r="A1753" s="631" t="s">
        <v>5869</v>
      </c>
      <c r="B1753" s="76"/>
      <c r="C1753" s="76"/>
      <c r="D1753" s="74" t="s">
        <v>5787</v>
      </c>
      <c r="E1753" s="4">
        <v>15</v>
      </c>
      <c r="F1753" s="101" t="s">
        <v>5763</v>
      </c>
      <c r="G1753" s="75" t="s">
        <v>5835</v>
      </c>
      <c r="H1753" s="4"/>
      <c r="I1753" s="73"/>
      <c r="J1753" s="73"/>
      <c r="K1753" s="54" t="s">
        <v>5763</v>
      </c>
      <c r="L1753" s="57">
        <v>1209268692</v>
      </c>
      <c r="M1753" s="57">
        <v>1209268692</v>
      </c>
      <c r="N1753" s="769"/>
      <c r="O1753" s="73"/>
      <c r="P1753" s="73"/>
      <c r="Q1753" s="73"/>
      <c r="R1753" s="73"/>
      <c r="S1753" s="73"/>
      <c r="T1753" s="73"/>
      <c r="U1753" s="73"/>
      <c r="V1753" s="73"/>
      <c r="W1753" s="73"/>
      <c r="X1753" s="73"/>
      <c r="Y1753" s="73"/>
      <c r="Z1753" s="67"/>
      <c r="AC1753" s="39" t="str">
        <f t="shared" si="215"/>
        <v>MK2450101</v>
      </c>
      <c r="AD1753" s="3"/>
    </row>
    <row r="1754" spans="1:30" s="6" customFormat="1" ht="20.100000000000001" customHeight="1" x14ac:dyDescent="0.25">
      <c r="A1754" s="631" t="s">
        <v>5871</v>
      </c>
      <c r="B1754" s="76"/>
      <c r="C1754" s="76"/>
      <c r="D1754" s="74" t="s">
        <v>5789</v>
      </c>
      <c r="E1754" s="4">
        <v>39</v>
      </c>
      <c r="F1754" s="101" t="s">
        <v>5764</v>
      </c>
      <c r="G1754" s="75" t="s">
        <v>5837</v>
      </c>
      <c r="H1754" s="4"/>
      <c r="I1754" s="73"/>
      <c r="J1754" s="73"/>
      <c r="K1754" s="74"/>
      <c r="L1754" s="57"/>
      <c r="M1754" s="57"/>
      <c r="N1754" s="769"/>
      <c r="O1754" s="73"/>
      <c r="P1754" s="73"/>
      <c r="Q1754" s="73"/>
      <c r="R1754" s="73"/>
      <c r="S1754" s="73"/>
      <c r="T1754" s="73"/>
      <c r="U1754" s="73"/>
      <c r="V1754" s="73"/>
      <c r="W1754" s="73"/>
      <c r="X1754" s="73"/>
      <c r="Y1754" s="73"/>
      <c r="Z1754" s="67"/>
      <c r="AC1754" s="39" t="str">
        <f t="shared" si="215"/>
        <v>MK2400101</v>
      </c>
      <c r="AD1754" s="3"/>
    </row>
    <row r="1755" spans="1:30" s="6" customFormat="1" ht="20.100000000000001" customHeight="1" x14ac:dyDescent="0.25">
      <c r="A1755" s="631" t="s">
        <v>5888</v>
      </c>
      <c r="B1755" s="76"/>
      <c r="C1755" s="76"/>
      <c r="D1755" s="74" t="s">
        <v>5794</v>
      </c>
      <c r="E1755" s="4">
        <v>22</v>
      </c>
      <c r="F1755" s="101" t="s">
        <v>5767</v>
      </c>
      <c r="G1755" s="75" t="s">
        <v>5842</v>
      </c>
      <c r="H1755" s="4"/>
      <c r="I1755" s="73"/>
      <c r="J1755" s="73"/>
      <c r="K1755" s="54" t="s">
        <v>5767</v>
      </c>
      <c r="L1755" s="57">
        <v>1325016895</v>
      </c>
      <c r="M1755" s="57">
        <v>1325016895</v>
      </c>
      <c r="N1755" s="769"/>
      <c r="O1755" s="73"/>
      <c r="P1755" s="73"/>
      <c r="Q1755" s="73"/>
      <c r="R1755" s="73"/>
      <c r="S1755" s="73"/>
      <c r="T1755" s="73"/>
      <c r="U1755" s="73"/>
      <c r="V1755" s="73"/>
      <c r="W1755" s="73"/>
      <c r="X1755" s="73"/>
      <c r="Y1755" s="73"/>
      <c r="Z1755" s="67"/>
      <c r="AC1755" s="39" t="str">
        <f t="shared" si="215"/>
        <v>MK1350101</v>
      </c>
      <c r="AD1755" s="3"/>
    </row>
    <row r="1756" spans="1:30" s="6" customFormat="1" ht="20.100000000000001" customHeight="1" x14ac:dyDescent="0.25">
      <c r="A1756" s="631" t="s">
        <v>5873</v>
      </c>
      <c r="B1756" s="76"/>
      <c r="C1756" s="76"/>
      <c r="D1756" s="74" t="s">
        <v>5795</v>
      </c>
      <c r="E1756" s="4">
        <v>18</v>
      </c>
      <c r="F1756" s="101" t="s">
        <v>5768</v>
      </c>
      <c r="G1756" s="75" t="s">
        <v>5843</v>
      </c>
      <c r="H1756" s="4"/>
      <c r="I1756" s="73"/>
      <c r="J1756" s="73"/>
      <c r="K1756" s="54" t="s">
        <v>5768</v>
      </c>
      <c r="L1756" s="57">
        <v>1413345228</v>
      </c>
      <c r="M1756" s="57">
        <v>1413345228</v>
      </c>
      <c r="N1756" s="769"/>
      <c r="O1756" s="73"/>
      <c r="P1756" s="73"/>
      <c r="Q1756" s="73"/>
      <c r="R1756" s="73"/>
      <c r="S1756" s="73"/>
      <c r="T1756" s="73"/>
      <c r="U1756" s="73"/>
      <c r="V1756" s="73"/>
      <c r="W1756" s="73"/>
      <c r="X1756" s="73"/>
      <c r="Y1756" s="73"/>
      <c r="Z1756" s="67"/>
      <c r="AC1756" s="39" t="str">
        <f t="shared" si="215"/>
        <v>MK1462001</v>
      </c>
      <c r="AD1756" s="3"/>
    </row>
    <row r="1757" spans="1:30" s="6" customFormat="1" ht="20.100000000000001" customHeight="1" x14ac:dyDescent="0.25">
      <c r="A1757" s="631" t="s">
        <v>5874</v>
      </c>
      <c r="B1757" s="76"/>
      <c r="C1757" s="13" t="s">
        <v>2581</v>
      </c>
      <c r="D1757" s="74" t="s">
        <v>5796</v>
      </c>
      <c r="E1757" s="4">
        <v>14</v>
      </c>
      <c r="F1757" s="101" t="s">
        <v>7751</v>
      </c>
      <c r="G1757" s="75" t="s">
        <v>5844</v>
      </c>
      <c r="H1757" s="4"/>
      <c r="I1757" s="73"/>
      <c r="J1757" s="73"/>
      <c r="K1757" s="74"/>
      <c r="L1757" s="57"/>
      <c r="M1757" s="57"/>
      <c r="N1757" s="769"/>
      <c r="O1757" s="73"/>
      <c r="P1757" s="73"/>
      <c r="Q1757" s="73"/>
      <c r="R1757" s="73"/>
      <c r="S1757" s="73"/>
      <c r="T1757" s="73"/>
      <c r="U1757" s="73"/>
      <c r="V1757" s="73"/>
      <c r="W1757" s="73"/>
      <c r="X1757" s="73"/>
      <c r="Y1757" s="73"/>
      <c r="Z1757" s="67"/>
      <c r="AA1757" s="1" t="str">
        <f>IFERROR(VLOOKUP(D:D,[1]Габариты!$A:$I,9,0),"")</f>
        <v>Основной ассортимент</v>
      </c>
      <c r="AB1757" s="6" t="str">
        <f>IFERROR(VLOOKUP(D:D,[1]Габариты!$A:$D,4,0),"")</f>
        <v>СТЕЛЛАЖИ</v>
      </c>
      <c r="AC1757" s="39" t="str">
        <f t="shared" si="215"/>
        <v>MK1472001</v>
      </c>
      <c r="AD1757" s="13" t="str">
        <f t="shared" ref="AD1757" si="217">C1757</f>
        <v>FBS</v>
      </c>
    </row>
    <row r="1758" spans="1:30" s="6" customFormat="1" ht="20.100000000000001" customHeight="1" x14ac:dyDescent="0.25">
      <c r="A1758" s="631" t="s">
        <v>5876</v>
      </c>
      <c r="B1758" s="76"/>
      <c r="C1758" s="76"/>
      <c r="D1758" s="74" t="s">
        <v>5798</v>
      </c>
      <c r="E1758" s="4">
        <v>18</v>
      </c>
      <c r="F1758" s="101" t="s">
        <v>5769</v>
      </c>
      <c r="G1758" s="75" t="s">
        <v>5846</v>
      </c>
      <c r="H1758" s="4"/>
      <c r="I1758" s="73"/>
      <c r="J1758" s="73"/>
      <c r="K1758" s="74" t="s">
        <v>5769</v>
      </c>
      <c r="L1758" s="57">
        <v>1842453357</v>
      </c>
      <c r="M1758" s="57">
        <v>1842453357</v>
      </c>
      <c r="N1758" s="769"/>
      <c r="O1758" s="73"/>
      <c r="P1758" s="73"/>
      <c r="Q1758" s="73"/>
      <c r="R1758" s="73"/>
      <c r="S1758" s="73"/>
      <c r="T1758" s="73"/>
      <c r="U1758" s="73"/>
      <c r="V1758" s="73"/>
      <c r="W1758" s="73"/>
      <c r="X1758" s="73"/>
      <c r="Y1758" s="73"/>
      <c r="Z1758" s="67"/>
      <c r="AC1758" s="39" t="str">
        <f t="shared" si="215"/>
        <v>MK1250401</v>
      </c>
      <c r="AD1758" s="3"/>
    </row>
    <row r="1759" spans="1:30" s="6" customFormat="1" ht="20.100000000000001" customHeight="1" x14ac:dyDescent="0.25">
      <c r="A1759" s="631" t="s">
        <v>5877</v>
      </c>
      <c r="B1759" s="76"/>
      <c r="C1759" s="76"/>
      <c r="D1759" s="74" t="s">
        <v>5799</v>
      </c>
      <c r="E1759" s="4">
        <v>36</v>
      </c>
      <c r="F1759" s="101" t="s">
        <v>5770</v>
      </c>
      <c r="G1759" s="75" t="s">
        <v>5847</v>
      </c>
      <c r="H1759" s="4"/>
      <c r="I1759" s="73"/>
      <c r="J1759" s="73"/>
      <c r="K1759" s="74"/>
      <c r="L1759" s="57"/>
      <c r="M1759" s="57"/>
      <c r="N1759" s="769"/>
      <c r="O1759" s="73"/>
      <c r="P1759" s="73"/>
      <c r="Q1759" s="73"/>
      <c r="R1759" s="73"/>
      <c r="S1759" s="73"/>
      <c r="T1759" s="73"/>
      <c r="U1759" s="73"/>
      <c r="V1759" s="73"/>
      <c r="W1759" s="73"/>
      <c r="X1759" s="73"/>
      <c r="Y1759" s="73"/>
      <c r="Z1759" s="67"/>
      <c r="AC1759" s="39" t="str">
        <f t="shared" si="215"/>
        <v>MK1330201</v>
      </c>
      <c r="AD1759" s="3"/>
    </row>
    <row r="1760" spans="1:30" s="6" customFormat="1" ht="20.100000000000001" customHeight="1" x14ac:dyDescent="0.25">
      <c r="A1760" s="631" t="s">
        <v>5887</v>
      </c>
      <c r="B1760" s="76"/>
      <c r="C1760" s="76"/>
      <c r="D1760" s="74" t="s">
        <v>5800</v>
      </c>
      <c r="E1760" s="4">
        <v>20</v>
      </c>
      <c r="F1760" s="101" t="s">
        <v>5771</v>
      </c>
      <c r="G1760" s="75" t="s">
        <v>5848</v>
      </c>
      <c r="H1760" s="4"/>
      <c r="I1760" s="73"/>
      <c r="J1760" s="73"/>
      <c r="K1760" s="54" t="s">
        <v>5771</v>
      </c>
      <c r="L1760" s="57">
        <v>951034907</v>
      </c>
      <c r="M1760" s="57">
        <v>951034907</v>
      </c>
      <c r="N1760" s="769"/>
      <c r="O1760" s="73"/>
      <c r="P1760" s="73"/>
      <c r="Q1760" s="73"/>
      <c r="R1760" s="73"/>
      <c r="S1760" s="73"/>
      <c r="T1760" s="73"/>
      <c r="U1760" s="73"/>
      <c r="V1760" s="73"/>
      <c r="W1760" s="73"/>
      <c r="X1760" s="73"/>
      <c r="Y1760" s="73"/>
      <c r="Z1760" s="67"/>
      <c r="AC1760" s="39" t="str">
        <f t="shared" si="215"/>
        <v>MK00040</v>
      </c>
      <c r="AD1760" s="3"/>
    </row>
    <row r="1761" spans="1:30" s="6" customFormat="1" ht="20.100000000000001" customHeight="1" x14ac:dyDescent="0.25">
      <c r="A1761" s="631" t="s">
        <v>5885</v>
      </c>
      <c r="B1761" s="76"/>
      <c r="C1761" s="76"/>
      <c r="D1761" s="74" t="s">
        <v>5802</v>
      </c>
      <c r="E1761" s="4">
        <v>30</v>
      </c>
      <c r="F1761" s="101" t="s">
        <v>5773</v>
      </c>
      <c r="G1761" s="75" t="s">
        <v>5849</v>
      </c>
      <c r="H1761" s="4"/>
      <c r="I1761" s="73"/>
      <c r="J1761" s="73"/>
      <c r="K1761" s="54" t="s">
        <v>5773</v>
      </c>
      <c r="L1761" s="57">
        <v>1337146793</v>
      </c>
      <c r="M1761" s="57">
        <v>1337146793</v>
      </c>
      <c r="N1761" s="769"/>
      <c r="O1761" s="73"/>
      <c r="P1761" s="73"/>
      <c r="Q1761" s="73"/>
      <c r="R1761" s="73"/>
      <c r="S1761" s="73"/>
      <c r="T1761" s="73"/>
      <c r="U1761" s="73"/>
      <c r="V1761" s="73"/>
      <c r="W1761" s="73"/>
      <c r="X1761" s="73"/>
      <c r="Y1761" s="73"/>
      <c r="Z1761" s="67"/>
      <c r="AC1761" s="39" t="str">
        <f t="shared" si="215"/>
        <v>MK2480101</v>
      </c>
      <c r="AD1761" s="3"/>
    </row>
    <row r="1762" spans="1:30" s="6" customFormat="1" ht="20.100000000000001" customHeight="1" x14ac:dyDescent="0.25">
      <c r="A1762" s="631" t="s">
        <v>5884</v>
      </c>
      <c r="B1762" s="76"/>
      <c r="C1762" s="76"/>
      <c r="D1762" s="74" t="s">
        <v>5804</v>
      </c>
      <c r="E1762" s="4">
        <v>20</v>
      </c>
      <c r="F1762" s="101" t="s">
        <v>5774</v>
      </c>
      <c r="G1762" s="75" t="s">
        <v>5851</v>
      </c>
      <c r="H1762" s="4"/>
      <c r="I1762" s="73"/>
      <c r="J1762" s="73"/>
      <c r="K1762" s="74"/>
      <c r="L1762" s="57"/>
      <c r="M1762" s="57"/>
      <c r="N1762" s="769"/>
      <c r="O1762" s="73"/>
      <c r="P1762" s="73"/>
      <c r="Q1762" s="73"/>
      <c r="R1762" s="73"/>
      <c r="S1762" s="73"/>
      <c r="T1762" s="73"/>
      <c r="U1762" s="73"/>
      <c r="V1762" s="73"/>
      <c r="W1762" s="73"/>
      <c r="X1762" s="73"/>
      <c r="Y1762" s="73"/>
      <c r="Z1762" s="67"/>
      <c r="AC1762" s="39" t="str">
        <f t="shared" si="215"/>
        <v>MK00038</v>
      </c>
      <c r="AD1762" s="3"/>
    </row>
    <row r="1763" spans="1:30" s="6" customFormat="1" ht="20.100000000000001" customHeight="1" x14ac:dyDescent="0.25">
      <c r="A1763" s="631" t="s">
        <v>5878</v>
      </c>
      <c r="B1763" s="76"/>
      <c r="C1763" s="76"/>
      <c r="D1763" s="74" t="s">
        <v>5805</v>
      </c>
      <c r="E1763" s="4">
        <v>36</v>
      </c>
      <c r="F1763" s="101" t="s">
        <v>7752</v>
      </c>
      <c r="G1763" s="75" t="s">
        <v>5852</v>
      </c>
      <c r="H1763" s="4"/>
      <c r="I1763" s="73"/>
      <c r="J1763" s="73"/>
      <c r="K1763" s="74"/>
      <c r="L1763" s="57"/>
      <c r="M1763" s="57"/>
      <c r="N1763" s="769"/>
      <c r="O1763" s="73"/>
      <c r="P1763" s="73"/>
      <c r="Q1763" s="73"/>
      <c r="R1763" s="73"/>
      <c r="S1763" s="73"/>
      <c r="T1763" s="73"/>
      <c r="U1763" s="73"/>
      <c r="V1763" s="73"/>
      <c r="W1763" s="73"/>
      <c r="X1763" s="73"/>
      <c r="Y1763" s="73"/>
      <c r="Z1763" s="67"/>
      <c r="AC1763" s="39" t="str">
        <f t="shared" si="215"/>
        <v>MK1330801</v>
      </c>
      <c r="AD1763" s="3"/>
    </row>
    <row r="1764" spans="1:30" s="6" customFormat="1" ht="20.100000000000001" customHeight="1" x14ac:dyDescent="0.25">
      <c r="A1764" s="631" t="s">
        <v>5879</v>
      </c>
      <c r="B1764" s="76"/>
      <c r="C1764" s="76"/>
      <c r="D1764" s="74" t="s">
        <v>5807</v>
      </c>
      <c r="E1764" s="4">
        <v>10</v>
      </c>
      <c r="F1764" s="101" t="s">
        <v>5775</v>
      </c>
      <c r="G1764" s="75" t="s">
        <v>5854</v>
      </c>
      <c r="H1764" s="4"/>
      <c r="I1764" s="73"/>
      <c r="J1764" s="73"/>
      <c r="K1764" s="54" t="s">
        <v>5775</v>
      </c>
      <c r="L1764" s="57">
        <v>1416485602</v>
      </c>
      <c r="M1764" s="57">
        <v>1416485602</v>
      </c>
      <c r="N1764" s="769"/>
      <c r="O1764" s="73"/>
      <c r="P1764" s="73"/>
      <c r="Q1764" s="73"/>
      <c r="R1764" s="73"/>
      <c r="S1764" s="73"/>
      <c r="T1764" s="73"/>
      <c r="U1764" s="73"/>
      <c r="V1764" s="73"/>
      <c r="W1764" s="73"/>
      <c r="X1764" s="73"/>
      <c r="Y1764" s="73"/>
      <c r="Z1764" s="67"/>
      <c r="AC1764" s="39" t="str">
        <f t="shared" si="215"/>
        <v>MK1122001</v>
      </c>
      <c r="AD1764" s="3"/>
    </row>
    <row r="1765" spans="1:30" s="6" customFormat="1" ht="20.100000000000001" customHeight="1" x14ac:dyDescent="0.25">
      <c r="A1765" s="631" t="s">
        <v>5880</v>
      </c>
      <c r="B1765" s="76"/>
      <c r="C1765" s="76"/>
      <c r="D1765" s="74" t="s">
        <v>5808</v>
      </c>
      <c r="E1765" s="4">
        <v>18</v>
      </c>
      <c r="F1765" s="101" t="s">
        <v>6334</v>
      </c>
      <c r="G1765" s="75" t="s">
        <v>5855</v>
      </c>
      <c r="H1765" s="4"/>
      <c r="I1765" s="73"/>
      <c r="J1765" s="73"/>
      <c r="K1765" s="54" t="s">
        <v>6334</v>
      </c>
      <c r="L1765" s="57">
        <v>1617718059</v>
      </c>
      <c r="M1765" s="57">
        <v>1617718059</v>
      </c>
      <c r="N1765" s="769"/>
      <c r="O1765" s="73"/>
      <c r="P1765" s="73"/>
      <c r="Q1765" s="73"/>
      <c r="R1765" s="73"/>
      <c r="S1765" s="73"/>
      <c r="T1765" s="73"/>
      <c r="U1765" s="73"/>
      <c r="V1765" s="73"/>
      <c r="W1765" s="73"/>
      <c r="X1765" s="73"/>
      <c r="Y1765" s="73"/>
      <c r="Z1765" s="67"/>
      <c r="AC1765" s="39" t="str">
        <f t="shared" si="215"/>
        <v>MK1120401</v>
      </c>
      <c r="AD1765" s="3"/>
    </row>
    <row r="1766" spans="1:30" s="6" customFormat="1" ht="20.100000000000001" customHeight="1" x14ac:dyDescent="0.25">
      <c r="A1766" s="631" t="s">
        <v>6033</v>
      </c>
      <c r="B1766" s="76"/>
      <c r="C1766" s="76"/>
      <c r="D1766" s="74" t="s">
        <v>5905</v>
      </c>
      <c r="E1766" s="4">
        <v>12</v>
      </c>
      <c r="F1766" s="101" t="s">
        <v>5903</v>
      </c>
      <c r="G1766" s="75" t="s">
        <v>5908</v>
      </c>
      <c r="H1766" s="4"/>
      <c r="I1766" s="73"/>
      <c r="J1766" s="73"/>
      <c r="K1766" s="54" t="s">
        <v>5903</v>
      </c>
      <c r="L1766" s="57">
        <v>1173818230</v>
      </c>
      <c r="M1766" s="57">
        <v>1173818229</v>
      </c>
      <c r="N1766" s="769"/>
      <c r="O1766" s="73"/>
      <c r="P1766" s="73"/>
      <c r="Q1766" s="73"/>
      <c r="R1766" s="73"/>
      <c r="S1766" s="73"/>
      <c r="T1766" s="73"/>
      <c r="U1766" s="73"/>
      <c r="V1766" s="73"/>
      <c r="W1766" s="73"/>
      <c r="X1766" s="73"/>
      <c r="Y1766" s="73"/>
      <c r="Z1766" s="67"/>
      <c r="AC1766" s="39" t="str">
        <f t="shared" si="215"/>
        <v>MK2160101</v>
      </c>
      <c r="AD1766" s="3"/>
    </row>
    <row r="1767" spans="1:30" s="6" customFormat="1" ht="20.100000000000001" customHeight="1" x14ac:dyDescent="0.25">
      <c r="A1767" s="631" t="s">
        <v>5911</v>
      </c>
      <c r="B1767" s="76"/>
      <c r="C1767" s="76"/>
      <c r="D1767" s="74" t="s">
        <v>5906</v>
      </c>
      <c r="E1767" s="4">
        <v>12</v>
      </c>
      <c r="F1767" s="101" t="s">
        <v>7755</v>
      </c>
      <c r="G1767" s="75" t="s">
        <v>5909</v>
      </c>
      <c r="H1767" s="4"/>
      <c r="I1767" s="73"/>
      <c r="J1767" s="73"/>
      <c r="K1767" s="54" t="s">
        <v>7755</v>
      </c>
      <c r="L1767" s="57">
        <v>1315613696</v>
      </c>
      <c r="M1767" s="57">
        <v>1315613696</v>
      </c>
      <c r="N1767" s="769"/>
      <c r="O1767" s="73"/>
      <c r="P1767" s="73"/>
      <c r="Q1767" s="73"/>
      <c r="R1767" s="73"/>
      <c r="S1767" s="73"/>
      <c r="T1767" s="73"/>
      <c r="U1767" s="73"/>
      <c r="V1767" s="73"/>
      <c r="W1767" s="73"/>
      <c r="X1767" s="73"/>
      <c r="Y1767" s="73"/>
      <c r="Z1767" s="67"/>
      <c r="AC1767" s="39" t="str">
        <f t="shared" si="215"/>
        <v>MK2162001</v>
      </c>
      <c r="AD1767" s="3"/>
    </row>
    <row r="1768" spans="1:30" s="6" customFormat="1" ht="20.100000000000001" customHeight="1" x14ac:dyDescent="0.25">
      <c r="A1768" s="631" t="s">
        <v>5733</v>
      </c>
      <c r="B1768" s="76"/>
      <c r="C1768" s="76"/>
      <c r="D1768" s="74" t="s">
        <v>5732</v>
      </c>
      <c r="E1768" s="4">
        <v>12</v>
      </c>
      <c r="F1768" s="101" t="s">
        <v>7756</v>
      </c>
      <c r="G1768" s="75" t="s">
        <v>5731</v>
      </c>
      <c r="H1768" s="4"/>
      <c r="I1768" s="73"/>
      <c r="J1768" s="73"/>
      <c r="K1768" s="74"/>
      <c r="L1768" s="57"/>
      <c r="M1768" s="57"/>
      <c r="N1768" s="769"/>
      <c r="O1768" s="73"/>
      <c r="P1768" s="73"/>
      <c r="Q1768" s="73"/>
      <c r="R1768" s="73"/>
      <c r="S1768" s="73"/>
      <c r="T1768" s="73"/>
      <c r="U1768" s="73"/>
      <c r="V1768" s="73"/>
      <c r="W1768" s="73"/>
      <c r="X1768" s="73"/>
      <c r="Y1768" s="73"/>
      <c r="Z1768" s="67"/>
      <c r="AC1768" s="39" t="str">
        <f t="shared" si="215"/>
        <v>MK1410201</v>
      </c>
      <c r="AD1768" s="3"/>
    </row>
    <row r="1769" spans="1:30" s="6" customFormat="1" ht="20.100000000000001" customHeight="1" x14ac:dyDescent="0.25">
      <c r="A1769" s="631" t="s">
        <v>6074</v>
      </c>
      <c r="B1769" s="76"/>
      <c r="C1769" s="76"/>
      <c r="D1769" s="84" t="s">
        <v>6060</v>
      </c>
      <c r="E1769" s="4"/>
      <c r="F1769" s="101" t="s">
        <v>6289</v>
      </c>
      <c r="G1769" s="75" t="s">
        <v>6071</v>
      </c>
      <c r="H1769" s="4"/>
      <c r="I1769" s="73"/>
      <c r="J1769" s="73"/>
      <c r="K1769" s="54" t="s">
        <v>6289</v>
      </c>
      <c r="L1769" s="75">
        <v>1761355019</v>
      </c>
      <c r="M1769" s="75">
        <v>1761355019</v>
      </c>
      <c r="N1769" s="769"/>
      <c r="O1769" s="73"/>
      <c r="P1769" s="73"/>
      <c r="Q1769" s="73"/>
      <c r="R1769" s="73"/>
      <c r="S1769" s="73"/>
      <c r="T1769" s="73"/>
      <c r="U1769" s="73"/>
      <c r="V1769" s="73"/>
      <c r="W1769" s="73"/>
      <c r="X1769" s="73"/>
      <c r="Y1769" s="73"/>
      <c r="AC1769" s="39" t="str">
        <f t="shared" si="215"/>
        <v>MK1340201</v>
      </c>
      <c r="AD1769" s="3"/>
    </row>
    <row r="1770" spans="1:30" s="6" customFormat="1" ht="20.100000000000001" customHeight="1" x14ac:dyDescent="0.25">
      <c r="A1770" s="631" t="s">
        <v>6185</v>
      </c>
      <c r="B1770" s="103"/>
      <c r="C1770" s="103"/>
      <c r="D1770" s="107" t="s">
        <v>6184</v>
      </c>
      <c r="E1770" s="4"/>
      <c r="F1770" s="101" t="s">
        <v>7757</v>
      </c>
      <c r="G1770" s="102" t="s">
        <v>6186</v>
      </c>
      <c r="H1770" s="4"/>
      <c r="I1770" s="100"/>
      <c r="J1770" s="100"/>
      <c r="K1770" s="54" t="s">
        <v>7757</v>
      </c>
      <c r="L1770" s="102">
        <v>1617679311</v>
      </c>
      <c r="M1770" s="102">
        <v>1617679311</v>
      </c>
      <c r="N1770" s="780"/>
      <c r="O1770" s="100"/>
      <c r="P1770" s="100"/>
      <c r="Q1770" s="100"/>
      <c r="R1770" s="100"/>
      <c r="S1770" s="100"/>
      <c r="T1770" s="100"/>
      <c r="U1770" s="100"/>
      <c r="V1770" s="100"/>
      <c r="W1770" s="100"/>
      <c r="X1770" s="100"/>
      <c r="Y1770" s="100"/>
      <c r="AC1770" s="39" t="str">
        <f t="shared" si="215"/>
        <v>MK1130101</v>
      </c>
      <c r="AD1770" s="3"/>
    </row>
    <row r="1771" spans="1:30" s="6" customFormat="1" ht="20.100000000000001" customHeight="1" x14ac:dyDescent="0.25">
      <c r="A1771" s="631" t="s">
        <v>7469</v>
      </c>
      <c r="B1771" s="113"/>
      <c r="C1771" s="113"/>
      <c r="D1771" s="120" t="s">
        <v>7461</v>
      </c>
      <c r="E1771" s="116"/>
      <c r="F1771" s="117" t="s">
        <v>7964</v>
      </c>
      <c r="G1771" s="118" t="s">
        <v>7462</v>
      </c>
      <c r="H1771" s="116"/>
      <c r="I1771" s="116"/>
      <c r="J1771" s="116"/>
      <c r="K1771" s="117" t="s">
        <v>7964</v>
      </c>
      <c r="L1771" s="118">
        <v>1781379226</v>
      </c>
      <c r="M1771" s="118">
        <v>1781379226</v>
      </c>
      <c r="N1771" s="861"/>
      <c r="O1771" s="116"/>
      <c r="P1771" s="116"/>
      <c r="Q1771" s="116"/>
      <c r="R1771" s="116"/>
      <c r="S1771" s="116"/>
      <c r="T1771" s="116"/>
      <c r="U1771" s="116"/>
      <c r="V1771" s="116"/>
      <c r="W1771" s="116"/>
      <c r="X1771" s="116"/>
      <c r="Y1771" s="116"/>
      <c r="AC1771" s="39" t="str">
        <f t="shared" si="215"/>
        <v>MK1442501</v>
      </c>
      <c r="AD1771" s="3"/>
    </row>
    <row r="1772" spans="1:30" s="6" customFormat="1" ht="20.100000000000001" customHeight="1" x14ac:dyDescent="0.25">
      <c r="A1772" s="631" t="s">
        <v>7768</v>
      </c>
      <c r="B1772" s="210"/>
      <c r="C1772" s="210"/>
      <c r="D1772" s="211" t="s">
        <v>7765</v>
      </c>
      <c r="E1772" s="212">
        <v>12</v>
      </c>
      <c r="F1772" s="213" t="s">
        <v>7766</v>
      </c>
      <c r="G1772" s="214" t="s">
        <v>7764</v>
      </c>
      <c r="H1772" s="212"/>
      <c r="I1772" s="212"/>
      <c r="J1772" s="212"/>
      <c r="K1772" s="213" t="s">
        <v>7766</v>
      </c>
      <c r="L1772" s="214">
        <v>1842409719</v>
      </c>
      <c r="M1772" s="214">
        <v>1842409719</v>
      </c>
      <c r="N1772" s="886"/>
      <c r="O1772" s="212"/>
      <c r="P1772" s="212"/>
      <c r="Q1772" s="212"/>
      <c r="R1772" s="212"/>
      <c r="S1772" s="212"/>
      <c r="T1772" s="212"/>
      <c r="U1772" s="212"/>
      <c r="V1772" s="212"/>
      <c r="W1772" s="212"/>
      <c r="X1772" s="212"/>
      <c r="Y1772" s="212"/>
      <c r="AC1772" s="39" t="str">
        <f t="shared" si="215"/>
        <v>MK1440601</v>
      </c>
      <c r="AD1772" s="3"/>
    </row>
    <row r="1773" spans="1:30" s="6" customFormat="1" ht="20.100000000000001" customHeight="1" x14ac:dyDescent="0.25">
      <c r="A1773" s="631" t="s">
        <v>8127</v>
      </c>
      <c r="B1773" s="327"/>
      <c r="C1773" s="327"/>
      <c r="D1773" s="328" t="s">
        <v>8122</v>
      </c>
      <c r="E1773" s="329"/>
      <c r="F1773" s="330" t="s">
        <v>8119</v>
      </c>
      <c r="G1773" s="331" t="s">
        <v>8125</v>
      </c>
      <c r="H1773" s="329"/>
      <c r="I1773" s="329"/>
      <c r="J1773" s="329"/>
      <c r="K1773" s="54" t="s">
        <v>8119</v>
      </c>
      <c r="L1773" s="331">
        <v>1836389220</v>
      </c>
      <c r="M1773" s="331">
        <v>1836389220</v>
      </c>
      <c r="N1773" s="777"/>
      <c r="O1773" s="329"/>
      <c r="P1773" s="329"/>
      <c r="Q1773" s="329"/>
      <c r="R1773" s="329"/>
      <c r="S1773" s="329"/>
      <c r="T1773" s="329"/>
      <c r="U1773" s="329"/>
      <c r="V1773" s="329"/>
      <c r="W1773" s="329"/>
      <c r="X1773" s="329"/>
      <c r="Y1773" s="329"/>
      <c r="AA1773" s="1" t="str">
        <f>IFERROR(VLOOKUP(D:D,[1]Габариты!$A:$I,9,0),"")</f>
        <v>Основной ассортимент</v>
      </c>
      <c r="AB1773" s="6" t="str">
        <f>IFERROR(VLOOKUP(D:D,[1]Габариты!$A:$D,4,0),"")</f>
        <v>КОМОДЫ</v>
      </c>
      <c r="AC1773" s="39" t="str">
        <f t="shared" si="215"/>
        <v>MK1832501</v>
      </c>
      <c r="AD1773" s="13"/>
    </row>
    <row r="1774" spans="1:30" s="6" customFormat="1" ht="20.100000000000001" customHeight="1" x14ac:dyDescent="0.25">
      <c r="A1774" s="631" t="s">
        <v>8129</v>
      </c>
      <c r="B1774" s="327"/>
      <c r="C1774" s="327"/>
      <c r="D1774" s="328" t="s">
        <v>8123</v>
      </c>
      <c r="E1774" s="329"/>
      <c r="F1774" s="330" t="s">
        <v>8121</v>
      </c>
      <c r="G1774" s="331" t="s">
        <v>8118</v>
      </c>
      <c r="H1774" s="329"/>
      <c r="I1774" s="329"/>
      <c r="J1774" s="329"/>
      <c r="K1774" s="330" t="s">
        <v>8121</v>
      </c>
      <c r="L1774" s="331">
        <v>1836371793</v>
      </c>
      <c r="M1774" s="331">
        <v>1836371793</v>
      </c>
      <c r="N1774" s="777"/>
      <c r="O1774" s="329"/>
      <c r="P1774" s="329"/>
      <c r="Q1774" s="329"/>
      <c r="R1774" s="329"/>
      <c r="S1774" s="329"/>
      <c r="T1774" s="329"/>
      <c r="U1774" s="329"/>
      <c r="V1774" s="329"/>
      <c r="W1774" s="329"/>
      <c r="X1774" s="329"/>
      <c r="Y1774" s="329"/>
      <c r="AA1774" s="1" t="str">
        <f>IFERROR(VLOOKUP(D:D,[1]Габариты!$A:$I,9,0),"")</f>
        <v>Основной ассортимент</v>
      </c>
      <c r="AB1774" s="6" t="str">
        <f>IFERROR(VLOOKUP(D:D,[1]Габариты!$A:$D,4,0),"")</f>
        <v>КОМОДЫ</v>
      </c>
      <c r="AC1774" s="39" t="str">
        <f t="shared" si="215"/>
        <v>MK1830601</v>
      </c>
      <c r="AD1774" s="13"/>
    </row>
    <row r="1775" spans="1:30" s="6" customFormat="1" ht="20.100000000000001" customHeight="1" x14ac:dyDescent="0.25">
      <c r="A1775" s="631" t="s">
        <v>5999</v>
      </c>
      <c r="B1775" s="76"/>
      <c r="C1775" s="76"/>
      <c r="D1775" s="74" t="s">
        <v>5930</v>
      </c>
      <c r="E1775" s="4">
        <v>2</v>
      </c>
      <c r="F1775" s="101" t="s">
        <v>5930</v>
      </c>
      <c r="G1775" s="75" t="s">
        <v>5955</v>
      </c>
      <c r="H1775" s="4"/>
      <c r="I1775" s="73"/>
      <c r="J1775" s="73"/>
      <c r="K1775" s="74"/>
      <c r="L1775" s="57"/>
      <c r="M1775" s="57"/>
      <c r="N1775" s="769"/>
      <c r="O1775" s="73"/>
      <c r="P1775" s="73"/>
      <c r="Q1775" s="73"/>
      <c r="R1775" s="73"/>
      <c r="S1775" s="73"/>
      <c r="T1775" s="73"/>
      <c r="U1775" s="73"/>
      <c r="V1775" s="73"/>
      <c r="W1775" s="73"/>
      <c r="X1775" s="73"/>
      <c r="Y1775" s="73"/>
      <c r="Z1775" s="67"/>
      <c r="AC1775" s="39" t="str">
        <f t="shared" si="215"/>
        <v>М000134</v>
      </c>
      <c r="AD1775" s="3"/>
    </row>
    <row r="1776" spans="1:30" s="6" customFormat="1" ht="20.100000000000001" customHeight="1" x14ac:dyDescent="0.25">
      <c r="A1776" s="631" t="s">
        <v>5991</v>
      </c>
      <c r="B1776" s="76"/>
      <c r="C1776" s="76"/>
      <c r="D1776" s="74" t="s">
        <v>5922</v>
      </c>
      <c r="E1776" s="4"/>
      <c r="F1776" s="101" t="s">
        <v>5914</v>
      </c>
      <c r="G1776" s="75" t="s">
        <v>5947</v>
      </c>
      <c r="H1776" s="4"/>
      <c r="I1776" s="73"/>
      <c r="J1776" s="73"/>
      <c r="K1776" s="74"/>
      <c r="L1776" s="57"/>
      <c r="M1776" s="57"/>
      <c r="N1776" s="769"/>
      <c r="O1776" s="73"/>
      <c r="P1776" s="73"/>
      <c r="Q1776" s="73"/>
      <c r="R1776" s="73"/>
      <c r="S1776" s="73"/>
      <c r="T1776" s="73"/>
      <c r="U1776" s="73"/>
      <c r="V1776" s="73"/>
      <c r="W1776" s="73"/>
      <c r="X1776" s="73"/>
      <c r="Y1776" s="73"/>
      <c r="Z1776" s="67"/>
      <c r="AC1776" s="39" t="str">
        <f t="shared" si="215"/>
        <v>ПШ27114</v>
      </c>
      <c r="AD1776" s="3"/>
    </row>
    <row r="1777" spans="1:30" s="6" customFormat="1" ht="20.100000000000001" customHeight="1" x14ac:dyDescent="0.25">
      <c r="A1777" s="631" t="s">
        <v>5992</v>
      </c>
      <c r="B1777" s="76"/>
      <c r="C1777" s="76"/>
      <c r="D1777" s="74" t="s">
        <v>5923</v>
      </c>
      <c r="E1777" s="4"/>
      <c r="F1777" s="101" t="s">
        <v>5915</v>
      </c>
      <c r="G1777" s="75" t="s">
        <v>5948</v>
      </c>
      <c r="H1777" s="4"/>
      <c r="I1777" s="73"/>
      <c r="J1777" s="73"/>
      <c r="K1777" s="74"/>
      <c r="L1777" s="57"/>
      <c r="M1777" s="57"/>
      <c r="N1777" s="769"/>
      <c r="O1777" s="73"/>
      <c r="P1777" s="73"/>
      <c r="Q1777" s="73"/>
      <c r="R1777" s="73"/>
      <c r="S1777" s="73"/>
      <c r="T1777" s="73"/>
      <c r="U1777" s="73"/>
      <c r="V1777" s="73"/>
      <c r="W1777" s="73"/>
      <c r="X1777" s="73"/>
      <c r="Y1777" s="73"/>
      <c r="Z1777" s="67"/>
      <c r="AC1777" s="39" t="str">
        <f t="shared" si="215"/>
        <v>ПШ27116</v>
      </c>
      <c r="AD1777" s="3"/>
    </row>
    <row r="1778" spans="1:30" s="6" customFormat="1" ht="20.100000000000001" customHeight="1" x14ac:dyDescent="0.25">
      <c r="A1778" s="631" t="s">
        <v>5993</v>
      </c>
      <c r="B1778" s="76"/>
      <c r="C1778" s="76"/>
      <c r="D1778" s="74" t="s">
        <v>5924</v>
      </c>
      <c r="E1778" s="4"/>
      <c r="F1778" s="101" t="s">
        <v>5916</v>
      </c>
      <c r="G1778" s="75" t="s">
        <v>5949</v>
      </c>
      <c r="H1778" s="4"/>
      <c r="I1778" s="73"/>
      <c r="J1778" s="73"/>
      <c r="K1778" s="74"/>
      <c r="L1778" s="57"/>
      <c r="M1778" s="57"/>
      <c r="N1778" s="769"/>
      <c r="O1778" s="73"/>
      <c r="P1778" s="73"/>
      <c r="Q1778" s="73"/>
      <c r="R1778" s="73"/>
      <c r="S1778" s="73"/>
      <c r="T1778" s="73"/>
      <c r="U1778" s="73"/>
      <c r="V1778" s="73"/>
      <c r="W1778" s="73"/>
      <c r="X1778" s="73"/>
      <c r="Y1778" s="73"/>
      <c r="Z1778" s="67"/>
      <c r="AC1778" s="39" t="str">
        <f t="shared" si="215"/>
        <v>ПШ27117</v>
      </c>
      <c r="AD1778" s="3"/>
    </row>
    <row r="1779" spans="1:30" s="6" customFormat="1" ht="20.100000000000001" customHeight="1" x14ac:dyDescent="0.25">
      <c r="A1779" s="631" t="s">
        <v>5994</v>
      </c>
      <c r="B1779" s="76"/>
      <c r="C1779" s="76"/>
      <c r="D1779" s="74" t="s">
        <v>5925</v>
      </c>
      <c r="E1779" s="4"/>
      <c r="F1779" s="101" t="s">
        <v>5917</v>
      </c>
      <c r="G1779" s="75" t="s">
        <v>5950</v>
      </c>
      <c r="H1779" s="4"/>
      <c r="I1779" s="73"/>
      <c r="J1779" s="73"/>
      <c r="K1779" s="74"/>
      <c r="L1779" s="57"/>
      <c r="M1779" s="57"/>
      <c r="N1779" s="769"/>
      <c r="O1779" s="73"/>
      <c r="P1779" s="73"/>
      <c r="Q1779" s="73"/>
      <c r="R1779" s="73"/>
      <c r="S1779" s="73"/>
      <c r="T1779" s="73"/>
      <c r="U1779" s="73"/>
      <c r="V1779" s="73"/>
      <c r="W1779" s="73"/>
      <c r="X1779" s="73"/>
      <c r="Y1779" s="73"/>
      <c r="Z1779" s="67"/>
      <c r="AC1779" s="39" t="str">
        <f t="shared" si="215"/>
        <v>ПШ27118</v>
      </c>
      <c r="AD1779" s="3"/>
    </row>
    <row r="1780" spans="1:30" s="6" customFormat="1" ht="20.100000000000001" customHeight="1" x14ac:dyDescent="0.25">
      <c r="A1780" s="631" t="s">
        <v>5995</v>
      </c>
      <c r="B1780" s="76"/>
      <c r="C1780" s="76"/>
      <c r="D1780" s="74" t="s">
        <v>5926</v>
      </c>
      <c r="E1780" s="4"/>
      <c r="F1780" s="101" t="s">
        <v>5918</v>
      </c>
      <c r="G1780" s="75" t="s">
        <v>5951</v>
      </c>
      <c r="H1780" s="4"/>
      <c r="I1780" s="73"/>
      <c r="J1780" s="73"/>
      <c r="K1780" s="74"/>
      <c r="L1780" s="57"/>
      <c r="M1780" s="57"/>
      <c r="N1780" s="769"/>
      <c r="O1780" s="73"/>
      <c r="P1780" s="73"/>
      <c r="Q1780" s="73"/>
      <c r="R1780" s="73"/>
      <c r="S1780" s="73"/>
      <c r="T1780" s="73"/>
      <c r="U1780" s="73"/>
      <c r="V1780" s="73"/>
      <c r="W1780" s="73"/>
      <c r="X1780" s="73"/>
      <c r="Y1780" s="73"/>
      <c r="Z1780" s="67"/>
      <c r="AC1780" s="39" t="str">
        <f t="shared" si="215"/>
        <v>ПШ27119</v>
      </c>
      <c r="AD1780" s="3"/>
    </row>
    <row r="1781" spans="1:30" s="6" customFormat="1" ht="20.100000000000001" customHeight="1" x14ac:dyDescent="0.25">
      <c r="A1781" s="631" t="s">
        <v>5996</v>
      </c>
      <c r="B1781" s="76"/>
      <c r="C1781" s="76"/>
      <c r="D1781" s="74" t="s">
        <v>5927</v>
      </c>
      <c r="E1781" s="4">
        <v>320</v>
      </c>
      <c r="F1781" s="101" t="s">
        <v>5919</v>
      </c>
      <c r="G1781" s="75" t="s">
        <v>5952</v>
      </c>
      <c r="H1781" s="4"/>
      <c r="I1781" s="73"/>
      <c r="J1781" s="73"/>
      <c r="K1781" s="74" t="s">
        <v>5919</v>
      </c>
      <c r="L1781" s="57">
        <v>1765044637</v>
      </c>
      <c r="M1781" s="57">
        <v>1765044637</v>
      </c>
      <c r="N1781" s="769"/>
      <c r="O1781" s="73"/>
      <c r="P1781" s="73"/>
      <c r="Q1781" s="73"/>
      <c r="R1781" s="73"/>
      <c r="S1781" s="73"/>
      <c r="T1781" s="73"/>
      <c r="U1781" s="73"/>
      <c r="V1781" s="73"/>
      <c r="W1781" s="73"/>
      <c r="X1781" s="73"/>
      <c r="Y1781" s="73"/>
      <c r="Z1781" s="67"/>
      <c r="AC1781" s="39" t="str">
        <f t="shared" si="215"/>
        <v>ПШ28153</v>
      </c>
      <c r="AD1781" s="3"/>
    </row>
    <row r="1782" spans="1:30" s="6" customFormat="1" ht="20.100000000000001" customHeight="1" x14ac:dyDescent="0.25">
      <c r="A1782" s="631" t="s">
        <v>5997</v>
      </c>
      <c r="B1782" s="76"/>
      <c r="C1782" s="76"/>
      <c r="D1782" s="74" t="s">
        <v>5928</v>
      </c>
      <c r="E1782" s="4"/>
      <c r="F1782" s="101" t="s">
        <v>5920</v>
      </c>
      <c r="G1782" s="75" t="s">
        <v>5953</v>
      </c>
      <c r="H1782" s="4"/>
      <c r="I1782" s="73"/>
      <c r="J1782" s="73"/>
      <c r="K1782" s="54" t="s">
        <v>5920</v>
      </c>
      <c r="L1782" s="57">
        <v>1342988889</v>
      </c>
      <c r="M1782" s="57">
        <v>1342988889</v>
      </c>
      <c r="N1782" s="769"/>
      <c r="O1782" s="73"/>
      <c r="P1782" s="73"/>
      <c r="Q1782" s="73"/>
      <c r="R1782" s="73"/>
      <c r="S1782" s="73"/>
      <c r="T1782" s="73"/>
      <c r="U1782" s="73"/>
      <c r="V1782" s="73"/>
      <c r="W1782" s="73"/>
      <c r="X1782" s="73"/>
      <c r="Y1782" s="73"/>
      <c r="Z1782" s="67"/>
      <c r="AC1782" s="39" t="str">
        <f t="shared" si="215"/>
        <v>ПШ14205</v>
      </c>
      <c r="AD1782" s="3"/>
    </row>
    <row r="1783" spans="1:30" s="6" customFormat="1" ht="20.100000000000001" customHeight="1" x14ac:dyDescent="0.25">
      <c r="A1783" s="631" t="s">
        <v>5998</v>
      </c>
      <c r="B1783" s="76"/>
      <c r="C1783" s="76"/>
      <c r="D1783" s="74" t="s">
        <v>5929</v>
      </c>
      <c r="E1783" s="4">
        <v>192</v>
      </c>
      <c r="F1783" s="101" t="s">
        <v>5921</v>
      </c>
      <c r="G1783" s="75" t="s">
        <v>5954</v>
      </c>
      <c r="H1783" s="4"/>
      <c r="I1783" s="73"/>
      <c r="J1783" s="73"/>
      <c r="K1783" s="54" t="s">
        <v>5921</v>
      </c>
      <c r="L1783" s="57">
        <v>1503306063</v>
      </c>
      <c r="M1783" s="57">
        <v>1503306063</v>
      </c>
      <c r="N1783" s="769"/>
      <c r="O1783" s="73"/>
      <c r="P1783" s="73"/>
      <c r="Q1783" s="73"/>
      <c r="R1783" s="73"/>
      <c r="S1783" s="73"/>
      <c r="T1783" s="73"/>
      <c r="U1783" s="73"/>
      <c r="V1783" s="73"/>
      <c r="W1783" s="73"/>
      <c r="X1783" s="73"/>
      <c r="Y1783" s="73"/>
      <c r="Z1783" s="67"/>
      <c r="AC1783" s="39" t="str">
        <f t="shared" si="215"/>
        <v>ПШ28056</v>
      </c>
      <c r="AD1783" s="3"/>
    </row>
    <row r="1784" spans="1:30" s="6" customFormat="1" ht="20.100000000000001" customHeight="1" x14ac:dyDescent="0.25">
      <c r="A1784" s="631" t="s">
        <v>5535</v>
      </c>
      <c r="B1784" s="3"/>
      <c r="C1784" s="3"/>
      <c r="D1784" s="63" t="s">
        <v>4668</v>
      </c>
      <c r="E1784" s="4">
        <v>168</v>
      </c>
      <c r="F1784" s="101" t="s">
        <v>4667</v>
      </c>
      <c r="G1784" s="57" t="s">
        <v>5250</v>
      </c>
      <c r="H1784" s="4"/>
      <c r="I1784" s="4"/>
      <c r="J1784" s="4"/>
      <c r="K1784" s="54" t="s">
        <v>4667</v>
      </c>
      <c r="L1784" s="57">
        <v>1342998911</v>
      </c>
      <c r="M1784" s="57">
        <v>1342998911</v>
      </c>
      <c r="N1784" s="766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62"/>
      <c r="AC1784" s="39" t="str">
        <f t="shared" si="215"/>
        <v>ПШ27911</v>
      </c>
      <c r="AD1784" s="3"/>
    </row>
    <row r="1785" spans="1:30" s="6" customFormat="1" ht="20.100000000000001" customHeight="1" x14ac:dyDescent="0.25">
      <c r="A1785" s="631" t="s">
        <v>5536</v>
      </c>
      <c r="B1785" s="3"/>
      <c r="C1785" s="3"/>
      <c r="D1785" s="63" t="s">
        <v>4666</v>
      </c>
      <c r="E1785" s="4"/>
      <c r="F1785" s="101" t="s">
        <v>4665</v>
      </c>
      <c r="G1785" s="57" t="s">
        <v>5234</v>
      </c>
      <c r="H1785" s="4"/>
      <c r="I1785" s="4"/>
      <c r="J1785" s="4"/>
      <c r="K1785" s="54" t="s">
        <v>4665</v>
      </c>
      <c r="L1785" s="57">
        <v>1343001432</v>
      </c>
      <c r="M1785" s="57">
        <v>1343001432</v>
      </c>
      <c r="N1785" s="766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62"/>
      <c r="AC1785" s="39" t="str">
        <f t="shared" si="215"/>
        <v>ПШ27103</v>
      </c>
      <c r="AD1785" s="3"/>
    </row>
    <row r="1786" spans="1:30" s="6" customFormat="1" ht="20.100000000000001" customHeight="1" x14ac:dyDescent="0.25">
      <c r="A1786" s="631" t="s">
        <v>5537</v>
      </c>
      <c r="B1786" s="3"/>
      <c r="C1786" s="3"/>
      <c r="D1786" s="63" t="s">
        <v>4664</v>
      </c>
      <c r="E1786" s="4"/>
      <c r="F1786" s="101" t="s">
        <v>4663</v>
      </c>
      <c r="G1786" s="57" t="s">
        <v>5235</v>
      </c>
      <c r="H1786" s="4"/>
      <c r="I1786" s="4"/>
      <c r="J1786" s="4"/>
      <c r="K1786" s="54" t="s">
        <v>4663</v>
      </c>
      <c r="L1786" s="57">
        <v>1342999385</v>
      </c>
      <c r="M1786" s="57">
        <v>1342999385</v>
      </c>
      <c r="N1786" s="766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62"/>
      <c r="AC1786" s="39" t="str">
        <f t="shared" si="215"/>
        <v>ПШ27108</v>
      </c>
      <c r="AD1786" s="3"/>
    </row>
    <row r="1787" spans="1:30" s="6" customFormat="1" ht="20.100000000000001" customHeight="1" x14ac:dyDescent="0.25">
      <c r="A1787" s="631" t="s">
        <v>5538</v>
      </c>
      <c r="B1787" s="3"/>
      <c r="C1787" s="3"/>
      <c r="D1787" s="63" t="s">
        <v>4662</v>
      </c>
      <c r="E1787" s="4"/>
      <c r="F1787" s="101" t="s">
        <v>4661</v>
      </c>
      <c r="G1787" s="57" t="s">
        <v>5236</v>
      </c>
      <c r="H1787" s="4"/>
      <c r="I1787" s="4"/>
      <c r="J1787" s="4"/>
      <c r="K1787" s="54" t="s">
        <v>4661</v>
      </c>
      <c r="L1787" s="57">
        <v>1343000102</v>
      </c>
      <c r="M1787" s="57">
        <v>1343000102</v>
      </c>
      <c r="N1787" s="766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62"/>
      <c r="AC1787" s="39" t="str">
        <f t="shared" si="215"/>
        <v>ПШ27113</v>
      </c>
      <c r="AD1787" s="3"/>
    </row>
    <row r="1788" spans="1:30" s="6" customFormat="1" ht="20.100000000000001" customHeight="1" x14ac:dyDescent="0.25">
      <c r="A1788" s="631" t="s">
        <v>5539</v>
      </c>
      <c r="B1788" s="3"/>
      <c r="C1788" s="3"/>
      <c r="D1788" s="63" t="s">
        <v>4660</v>
      </c>
      <c r="E1788" s="4"/>
      <c r="F1788" s="101" t="s">
        <v>4659</v>
      </c>
      <c r="G1788" s="57" t="s">
        <v>5244</v>
      </c>
      <c r="H1788" s="4"/>
      <c r="I1788" s="4"/>
      <c r="J1788" s="4"/>
      <c r="K1788" s="54" t="s">
        <v>4659</v>
      </c>
      <c r="L1788" s="57">
        <v>1348650942</v>
      </c>
      <c r="M1788" s="57">
        <v>1348650942</v>
      </c>
      <c r="N1788" s="766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62"/>
      <c r="AC1788" s="39" t="str">
        <f t="shared" si="215"/>
        <v>ПШ27131</v>
      </c>
      <c r="AD1788" s="3"/>
    </row>
    <row r="1789" spans="1:30" s="6" customFormat="1" ht="20.100000000000001" customHeight="1" x14ac:dyDescent="0.25">
      <c r="A1789" s="631" t="s">
        <v>5540</v>
      </c>
      <c r="B1789" s="3"/>
      <c r="C1789" s="3"/>
      <c r="D1789" s="63" t="s">
        <v>4658</v>
      </c>
      <c r="E1789" s="4"/>
      <c r="F1789" s="101" t="s">
        <v>4657</v>
      </c>
      <c r="G1789" s="57" t="s">
        <v>5242</v>
      </c>
      <c r="H1789" s="4"/>
      <c r="I1789" s="4"/>
      <c r="J1789" s="4"/>
      <c r="K1789" s="54" t="s">
        <v>4657</v>
      </c>
      <c r="L1789" s="57">
        <v>1348806277</v>
      </c>
      <c r="M1789" s="57">
        <v>1348806277</v>
      </c>
      <c r="N1789" s="766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62"/>
      <c r="AC1789" s="39" t="str">
        <f t="shared" si="215"/>
        <v>ПШ27128</v>
      </c>
      <c r="AD1789" s="3"/>
    </row>
    <row r="1790" spans="1:30" s="6" customFormat="1" ht="20.100000000000001" customHeight="1" x14ac:dyDescent="0.25">
      <c r="A1790" s="631" t="s">
        <v>5541</v>
      </c>
      <c r="B1790" s="3"/>
      <c r="C1790" s="3"/>
      <c r="D1790" s="63" t="s">
        <v>5277</v>
      </c>
      <c r="E1790" s="4"/>
      <c r="F1790" s="101" t="s">
        <v>4656</v>
      </c>
      <c r="G1790" s="57" t="s">
        <v>5237</v>
      </c>
      <c r="H1790" s="4"/>
      <c r="I1790" s="4"/>
      <c r="J1790" s="4"/>
      <c r="K1790" s="54" t="s">
        <v>4656</v>
      </c>
      <c r="L1790" s="57">
        <v>1353100351</v>
      </c>
      <c r="M1790" s="57">
        <v>1353100351</v>
      </c>
      <c r="N1790" s="766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62"/>
      <c r="AC1790" s="39" t="str">
        <f t="shared" si="215"/>
        <v>ПШ27123</v>
      </c>
      <c r="AD1790" s="3"/>
    </row>
    <row r="1791" spans="1:30" s="6" customFormat="1" ht="20.100000000000001" customHeight="1" x14ac:dyDescent="0.25">
      <c r="A1791" s="631" t="s">
        <v>5542</v>
      </c>
      <c r="B1791" s="3"/>
      <c r="C1791" s="3"/>
      <c r="D1791" s="63" t="s">
        <v>4655</v>
      </c>
      <c r="E1791" s="4"/>
      <c r="F1791" s="101" t="s">
        <v>4654</v>
      </c>
      <c r="G1791" s="57" t="s">
        <v>5243</v>
      </c>
      <c r="H1791" s="4"/>
      <c r="I1791" s="4"/>
      <c r="J1791" s="4"/>
      <c r="K1791" s="54" t="s">
        <v>4654</v>
      </c>
      <c r="L1791" s="57">
        <v>1353093032</v>
      </c>
      <c r="M1791" s="57">
        <v>1353093032</v>
      </c>
      <c r="N1791" s="766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62"/>
      <c r="AC1791" s="39" t="str">
        <f t="shared" si="215"/>
        <v>ПШ27129</v>
      </c>
      <c r="AD1791" s="3"/>
    </row>
    <row r="1792" spans="1:30" s="6" customFormat="1" ht="20.100000000000001" customHeight="1" x14ac:dyDescent="0.25">
      <c r="A1792" s="631" t="s">
        <v>5543</v>
      </c>
      <c r="B1792" s="3"/>
      <c r="C1792" s="3"/>
      <c r="D1792" s="63" t="s">
        <v>4653</v>
      </c>
      <c r="E1792" s="4"/>
      <c r="F1792" s="101" t="s">
        <v>4652</v>
      </c>
      <c r="G1792" s="57" t="s">
        <v>5241</v>
      </c>
      <c r="H1792" s="4"/>
      <c r="I1792" s="4"/>
      <c r="J1792" s="4"/>
      <c r="K1792" s="54" t="s">
        <v>4652</v>
      </c>
      <c r="L1792" s="57">
        <v>1353102459</v>
      </c>
      <c r="M1792" s="57">
        <v>1353102459</v>
      </c>
      <c r="N1792" s="766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62"/>
      <c r="AC1792" s="39" t="str">
        <f t="shared" si="215"/>
        <v>ПШ27127</v>
      </c>
      <c r="AD1792" s="3"/>
    </row>
    <row r="1793" spans="1:30" s="6" customFormat="1" ht="20.100000000000001" customHeight="1" x14ac:dyDescent="0.25">
      <c r="A1793" s="631" t="s">
        <v>5544</v>
      </c>
      <c r="B1793" s="3"/>
      <c r="C1793" s="3"/>
      <c r="D1793" s="63" t="s">
        <v>4651</v>
      </c>
      <c r="E1793" s="4"/>
      <c r="F1793" s="101" t="s">
        <v>4650</v>
      </c>
      <c r="G1793" s="57" t="s">
        <v>5240</v>
      </c>
      <c r="H1793" s="4"/>
      <c r="I1793" s="4"/>
      <c r="J1793" s="4"/>
      <c r="K1793" s="54" t="s">
        <v>4650</v>
      </c>
      <c r="L1793" s="57">
        <v>1353097828</v>
      </c>
      <c r="M1793" s="57">
        <v>1353097828</v>
      </c>
      <c r="N1793" s="766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62"/>
      <c r="AC1793" s="39" t="str">
        <f t="shared" si="215"/>
        <v>ПШ27126</v>
      </c>
      <c r="AD1793" s="3"/>
    </row>
    <row r="1794" spans="1:30" s="6" customFormat="1" ht="20.100000000000001" customHeight="1" x14ac:dyDescent="0.25">
      <c r="A1794" s="631" t="s">
        <v>5545</v>
      </c>
      <c r="B1794" s="3"/>
      <c r="C1794" s="3"/>
      <c r="D1794" s="63" t="s">
        <v>4649</v>
      </c>
      <c r="E1794" s="4"/>
      <c r="F1794" s="101" t="s">
        <v>4648</v>
      </c>
      <c r="G1794" s="57" t="s">
        <v>5238</v>
      </c>
      <c r="H1794" s="4"/>
      <c r="I1794" s="4"/>
      <c r="J1794" s="4"/>
      <c r="K1794" s="54" t="s">
        <v>4648</v>
      </c>
      <c r="L1794" s="57">
        <v>1353095053</v>
      </c>
      <c r="M1794" s="57">
        <v>1353095053</v>
      </c>
      <c r="N1794" s="766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62"/>
      <c r="AC1794" s="39" t="str">
        <f t="shared" si="215"/>
        <v>ПШ27124</v>
      </c>
      <c r="AD1794" s="3"/>
    </row>
    <row r="1795" spans="1:30" s="6" customFormat="1" ht="20.100000000000001" customHeight="1" x14ac:dyDescent="0.25">
      <c r="A1795" s="631" t="s">
        <v>5547</v>
      </c>
      <c r="B1795" s="3"/>
      <c r="C1795" s="3"/>
      <c r="D1795" s="63" t="s">
        <v>5278</v>
      </c>
      <c r="E1795" s="4">
        <v>168</v>
      </c>
      <c r="F1795" s="101" t="s">
        <v>4647</v>
      </c>
      <c r="G1795" s="57" t="s">
        <v>5251</v>
      </c>
      <c r="H1795" s="4"/>
      <c r="I1795" s="4"/>
      <c r="J1795" s="4"/>
      <c r="K1795" s="54" t="s">
        <v>4647</v>
      </c>
      <c r="L1795" s="57">
        <v>1773082794</v>
      </c>
      <c r="M1795" s="57">
        <v>1773082794</v>
      </c>
      <c r="N1795" s="766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62"/>
      <c r="AC1795" s="39" t="str">
        <f t="shared" si="215"/>
        <v>ПШ27923</v>
      </c>
      <c r="AD1795" s="3"/>
    </row>
    <row r="1796" spans="1:30" s="6" customFormat="1" ht="20.100000000000001" customHeight="1" x14ac:dyDescent="0.25">
      <c r="A1796" s="631" t="s">
        <v>5548</v>
      </c>
      <c r="B1796" s="3"/>
      <c r="C1796" s="3"/>
      <c r="D1796" s="63" t="s">
        <v>5279</v>
      </c>
      <c r="E1796" s="4">
        <v>168</v>
      </c>
      <c r="F1796" s="101" t="s">
        <v>4646</v>
      </c>
      <c r="G1796" s="57" t="s">
        <v>5252</v>
      </c>
      <c r="H1796" s="4"/>
      <c r="I1796" s="4"/>
      <c r="J1796" s="4"/>
      <c r="K1796" s="54" t="s">
        <v>4646</v>
      </c>
      <c r="L1796" s="57">
        <v>1364894398</v>
      </c>
      <c r="M1796" s="57">
        <v>1364894398</v>
      </c>
      <c r="N1796" s="766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62"/>
      <c r="AC1796" s="39" t="str">
        <f t="shared" si="215"/>
        <v>ПШ27924</v>
      </c>
      <c r="AD1796" s="3"/>
    </row>
    <row r="1797" spans="1:30" s="6" customFormat="1" ht="20.100000000000001" customHeight="1" x14ac:dyDescent="0.25">
      <c r="A1797" s="631" t="s">
        <v>5549</v>
      </c>
      <c r="B1797" s="3"/>
      <c r="C1797" s="3"/>
      <c r="D1797" s="63" t="s">
        <v>4645</v>
      </c>
      <c r="E1797" s="4"/>
      <c r="F1797" s="101" t="s">
        <v>4644</v>
      </c>
      <c r="G1797" s="57" t="s">
        <v>5239</v>
      </c>
      <c r="H1797" s="4"/>
      <c r="I1797" s="4"/>
      <c r="J1797" s="4"/>
      <c r="K1797" s="54" t="s">
        <v>4644</v>
      </c>
      <c r="L1797" s="57">
        <v>1364897325</v>
      </c>
      <c r="M1797" s="57">
        <v>1364897325</v>
      </c>
      <c r="N1797" s="766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62"/>
      <c r="AC1797" s="39" t="str">
        <f t="shared" si="215"/>
        <v>ПШ27125</v>
      </c>
      <c r="AD1797" s="3"/>
    </row>
    <row r="1798" spans="1:30" s="6" customFormat="1" ht="20.100000000000001" customHeight="1" x14ac:dyDescent="0.25">
      <c r="A1798" s="631" t="s">
        <v>5551</v>
      </c>
      <c r="B1798" s="3"/>
      <c r="C1798" s="3"/>
      <c r="D1798" s="54" t="s">
        <v>4640</v>
      </c>
      <c r="E1798" s="4">
        <v>192</v>
      </c>
      <c r="F1798" s="101" t="s">
        <v>4639</v>
      </c>
      <c r="G1798" s="57" t="s">
        <v>5263</v>
      </c>
      <c r="H1798" s="4"/>
      <c r="I1798" s="4"/>
      <c r="J1798" s="4"/>
      <c r="K1798" s="54" t="s">
        <v>4639</v>
      </c>
      <c r="L1798" s="57">
        <v>1427247991</v>
      </c>
      <c r="M1798" s="57">
        <v>1427247991</v>
      </c>
      <c r="N1798" s="766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62"/>
      <c r="AC1798" s="39" t="str">
        <f t="shared" si="215"/>
        <v>ПШ28023</v>
      </c>
      <c r="AD1798" s="3"/>
    </row>
    <row r="1799" spans="1:30" s="6" customFormat="1" ht="20.100000000000001" customHeight="1" x14ac:dyDescent="0.25">
      <c r="A1799" s="631" t="s">
        <v>5552</v>
      </c>
      <c r="B1799" s="3"/>
      <c r="C1799" s="3"/>
      <c r="D1799" s="54" t="s">
        <v>4638</v>
      </c>
      <c r="E1799" s="4">
        <v>192</v>
      </c>
      <c r="F1799" s="101" t="s">
        <v>4637</v>
      </c>
      <c r="G1799" s="57" t="s">
        <v>5264</v>
      </c>
      <c r="H1799" s="4"/>
      <c r="I1799" s="4"/>
      <c r="J1799" s="4"/>
      <c r="K1799" s="54" t="s">
        <v>4637</v>
      </c>
      <c r="L1799" s="57">
        <v>1427252083</v>
      </c>
      <c r="M1799" s="57">
        <v>1427252083</v>
      </c>
      <c r="N1799" s="766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62"/>
      <c r="AC1799" s="39" t="str">
        <f t="shared" si="215"/>
        <v>ПШ28024</v>
      </c>
      <c r="AD1799" s="3"/>
    </row>
    <row r="1800" spans="1:30" s="6" customFormat="1" ht="20.100000000000001" customHeight="1" x14ac:dyDescent="0.25">
      <c r="A1800" s="631" t="s">
        <v>5553</v>
      </c>
      <c r="B1800" s="3"/>
      <c r="C1800" s="3"/>
      <c r="D1800" s="54" t="s">
        <v>5280</v>
      </c>
      <c r="E1800" s="4"/>
      <c r="F1800" s="101" t="s">
        <v>4636</v>
      </c>
      <c r="G1800" s="57" t="s">
        <v>5245</v>
      </c>
      <c r="H1800" s="4"/>
      <c r="I1800" s="4"/>
      <c r="J1800" s="4"/>
      <c r="K1800" s="54" t="s">
        <v>4636</v>
      </c>
      <c r="L1800" s="57">
        <v>1427264344</v>
      </c>
      <c r="M1800" s="57">
        <v>1427264344</v>
      </c>
      <c r="N1800" s="766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62"/>
      <c r="AC1800" s="39" t="str">
        <f t="shared" si="215"/>
        <v>ПШ27155</v>
      </c>
      <c r="AD1800" s="3"/>
    </row>
    <row r="1801" spans="1:30" s="6" customFormat="1" ht="20.100000000000001" customHeight="1" x14ac:dyDescent="0.25">
      <c r="A1801" s="631" t="s">
        <v>5554</v>
      </c>
      <c r="B1801" s="3"/>
      <c r="C1801" s="3"/>
      <c r="D1801" s="54" t="s">
        <v>4635</v>
      </c>
      <c r="E1801" s="4"/>
      <c r="F1801" s="101" t="s">
        <v>4634</v>
      </c>
      <c r="G1801" s="57" t="s">
        <v>5247</v>
      </c>
      <c r="H1801" s="4"/>
      <c r="I1801" s="4"/>
      <c r="J1801" s="4"/>
      <c r="K1801" s="54" t="s">
        <v>4634</v>
      </c>
      <c r="L1801" s="57">
        <v>1471957078</v>
      </c>
      <c r="M1801" s="57">
        <v>1471957078</v>
      </c>
      <c r="N1801" s="766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62"/>
      <c r="AC1801" s="39" t="str">
        <f t="shared" si="215"/>
        <v>ПШ27157</v>
      </c>
      <c r="AD1801" s="3"/>
    </row>
    <row r="1802" spans="1:30" s="6" customFormat="1" ht="20.100000000000001" customHeight="1" x14ac:dyDescent="0.25">
      <c r="A1802" s="631" t="s">
        <v>5555</v>
      </c>
      <c r="B1802" s="3"/>
      <c r="C1802" s="3"/>
      <c r="D1802" s="54" t="s">
        <v>5281</v>
      </c>
      <c r="E1802" s="4"/>
      <c r="F1802" s="101" t="s">
        <v>4633</v>
      </c>
      <c r="G1802" s="57" t="s">
        <v>5246</v>
      </c>
      <c r="H1802" s="4"/>
      <c r="I1802" s="4"/>
      <c r="J1802" s="4"/>
      <c r="K1802" s="54" t="s">
        <v>4633</v>
      </c>
      <c r="L1802" s="57">
        <v>1431015167</v>
      </c>
      <c r="M1802" s="57">
        <v>1431015167</v>
      </c>
      <c r="N1802" s="766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62"/>
      <c r="AC1802" s="39" t="str">
        <f t="shared" si="215"/>
        <v>ПШ27156</v>
      </c>
      <c r="AD1802" s="3"/>
    </row>
    <row r="1803" spans="1:30" s="6" customFormat="1" ht="20.100000000000001" customHeight="1" x14ac:dyDescent="0.25">
      <c r="A1803" s="631" t="s">
        <v>5556</v>
      </c>
      <c r="B1803" s="3"/>
      <c r="C1803" s="3"/>
      <c r="D1803" s="54" t="s">
        <v>4632</v>
      </c>
      <c r="E1803" s="4"/>
      <c r="F1803" s="101" t="s">
        <v>4631</v>
      </c>
      <c r="G1803" s="57" t="s">
        <v>5249</v>
      </c>
      <c r="H1803" s="4"/>
      <c r="I1803" s="4"/>
      <c r="J1803" s="4"/>
      <c r="K1803" s="54" t="s">
        <v>4631</v>
      </c>
      <c r="L1803" s="57">
        <v>1471952534</v>
      </c>
      <c r="M1803" s="57">
        <v>1471952534</v>
      </c>
      <c r="N1803" s="766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62"/>
      <c r="AC1803" s="39" t="str">
        <f t="shared" si="215"/>
        <v>ПШ27160</v>
      </c>
      <c r="AD1803" s="3"/>
    </row>
    <row r="1804" spans="1:30" s="6" customFormat="1" ht="20.100000000000001" customHeight="1" x14ac:dyDescent="0.25">
      <c r="A1804" s="631" t="s">
        <v>5557</v>
      </c>
      <c r="B1804" s="3"/>
      <c r="C1804" s="3"/>
      <c r="D1804" s="54" t="s">
        <v>4630</v>
      </c>
      <c r="E1804" s="4"/>
      <c r="F1804" s="101" t="s">
        <v>4629</v>
      </c>
      <c r="G1804" s="57" t="s">
        <v>5248</v>
      </c>
      <c r="H1804" s="4"/>
      <c r="I1804" s="4"/>
      <c r="J1804" s="4"/>
      <c r="K1804" s="54" t="s">
        <v>4629</v>
      </c>
      <c r="L1804" s="57">
        <v>1471967604</v>
      </c>
      <c r="M1804" s="57">
        <v>1471967604</v>
      </c>
      <c r="N1804" s="766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62"/>
      <c r="AC1804" s="39" t="str">
        <f t="shared" si="215"/>
        <v>ПШ27159</v>
      </c>
      <c r="AD1804" s="3"/>
    </row>
    <row r="1805" spans="1:30" s="6" customFormat="1" ht="20.100000000000001" customHeight="1" x14ac:dyDescent="0.25">
      <c r="A1805" s="631" t="s">
        <v>8013</v>
      </c>
      <c r="B1805" s="257"/>
      <c r="C1805" s="257"/>
      <c r="D1805" s="262" t="s">
        <v>8008</v>
      </c>
      <c r="E1805" s="261"/>
      <c r="F1805" s="262" t="s">
        <v>8005</v>
      </c>
      <c r="G1805" s="263" t="s">
        <v>8004</v>
      </c>
      <c r="H1805" s="261"/>
      <c r="I1805" s="261"/>
      <c r="J1805" s="261"/>
      <c r="K1805" s="262" t="s">
        <v>8005</v>
      </c>
      <c r="L1805" s="263">
        <v>1773169807</v>
      </c>
      <c r="M1805" s="263">
        <v>1773169807</v>
      </c>
      <c r="N1805" s="887"/>
      <c r="O1805" s="261"/>
      <c r="P1805" s="261"/>
      <c r="Q1805" s="261"/>
      <c r="R1805" s="261"/>
      <c r="S1805" s="261"/>
      <c r="T1805" s="261"/>
      <c r="U1805" s="261"/>
      <c r="V1805" s="261"/>
      <c r="W1805" s="261"/>
      <c r="X1805" s="261"/>
      <c r="Y1805" s="261"/>
      <c r="Z1805" s="105"/>
      <c r="AC1805" s="39" t="str">
        <f t="shared" si="215"/>
        <v>ПШ27171</v>
      </c>
      <c r="AD1805" s="3"/>
    </row>
    <row r="1806" spans="1:30" s="6" customFormat="1" ht="20.100000000000001" customHeight="1" x14ac:dyDescent="0.25">
      <c r="A1806" s="631" t="s">
        <v>8014</v>
      </c>
      <c r="B1806" s="257"/>
      <c r="C1806" s="257"/>
      <c r="D1806" s="262" t="s">
        <v>8009</v>
      </c>
      <c r="E1806" s="261"/>
      <c r="F1806" s="262" t="s">
        <v>8006</v>
      </c>
      <c r="G1806" s="263" t="s">
        <v>8011</v>
      </c>
      <c r="H1806" s="261"/>
      <c r="I1806" s="261"/>
      <c r="J1806" s="261"/>
      <c r="K1806" s="262" t="s">
        <v>8006</v>
      </c>
      <c r="L1806" s="263">
        <v>1774740796</v>
      </c>
      <c r="M1806" s="263">
        <v>1774740796</v>
      </c>
      <c r="N1806" s="887"/>
      <c r="O1806" s="261"/>
      <c r="P1806" s="261"/>
      <c r="Q1806" s="261"/>
      <c r="R1806" s="261"/>
      <c r="S1806" s="261"/>
      <c r="T1806" s="261"/>
      <c r="U1806" s="261"/>
      <c r="V1806" s="261"/>
      <c r="W1806" s="261"/>
      <c r="X1806" s="261"/>
      <c r="Y1806" s="261"/>
      <c r="Z1806" s="105"/>
      <c r="AC1806" s="39" t="str">
        <f t="shared" ref="AC1806:AC1867" si="218">D1806</f>
        <v>ПШ27972</v>
      </c>
      <c r="AD1806" s="3"/>
    </row>
    <row r="1807" spans="1:30" s="6" customFormat="1" ht="20.100000000000001" customHeight="1" x14ac:dyDescent="0.25">
      <c r="A1807" s="631" t="s">
        <v>8015</v>
      </c>
      <c r="B1807" s="257"/>
      <c r="C1807" s="257"/>
      <c r="D1807" s="262" t="s">
        <v>8010</v>
      </c>
      <c r="E1807" s="261"/>
      <c r="F1807" s="262" t="s">
        <v>8007</v>
      </c>
      <c r="G1807" s="263" t="s">
        <v>8012</v>
      </c>
      <c r="H1807" s="261"/>
      <c r="I1807" s="261"/>
      <c r="J1807" s="261"/>
      <c r="K1807" s="262" t="s">
        <v>8007</v>
      </c>
      <c r="L1807" s="263">
        <v>1774761209</v>
      </c>
      <c r="M1807" s="263">
        <v>1774761209</v>
      </c>
      <c r="N1807" s="887"/>
      <c r="O1807" s="261"/>
      <c r="P1807" s="261"/>
      <c r="Q1807" s="261"/>
      <c r="R1807" s="261"/>
      <c r="S1807" s="261"/>
      <c r="T1807" s="261"/>
      <c r="U1807" s="261"/>
      <c r="V1807" s="261"/>
      <c r="W1807" s="261"/>
      <c r="X1807" s="261"/>
      <c r="Y1807" s="261"/>
      <c r="Z1807" s="105"/>
      <c r="AC1807" s="39" t="str">
        <f t="shared" si="218"/>
        <v>ПШ28072</v>
      </c>
      <c r="AD1807" s="3"/>
    </row>
    <row r="1808" spans="1:30" s="6" customFormat="1" ht="20.100000000000001" customHeight="1" x14ac:dyDescent="0.25">
      <c r="A1808" s="631" t="s">
        <v>5569</v>
      </c>
      <c r="B1808" s="3"/>
      <c r="C1808" s="3"/>
      <c r="D1808" s="54" t="s">
        <v>4610</v>
      </c>
      <c r="E1808" s="4">
        <v>192</v>
      </c>
      <c r="F1808" s="101" t="s">
        <v>4609</v>
      </c>
      <c r="G1808" s="57" t="s">
        <v>5270</v>
      </c>
      <c r="H1808" s="4"/>
      <c r="I1808" s="4"/>
      <c r="J1808" s="4"/>
      <c r="K1808" s="54" t="s">
        <v>4609</v>
      </c>
      <c r="L1808" s="57">
        <v>1503309168</v>
      </c>
      <c r="M1808" s="57">
        <v>1503309168</v>
      </c>
      <c r="N1808" s="766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62"/>
      <c r="AC1808" s="39" t="str">
        <f t="shared" si="218"/>
        <v>ПШ28062</v>
      </c>
      <c r="AD1808" s="3"/>
    </row>
    <row r="1809" spans="1:30" s="6" customFormat="1" ht="20.100000000000001" customHeight="1" x14ac:dyDescent="0.25">
      <c r="A1809" s="631" t="s">
        <v>5570</v>
      </c>
      <c r="B1809" s="3"/>
      <c r="C1809" s="3"/>
      <c r="D1809" s="54" t="s">
        <v>4608</v>
      </c>
      <c r="E1809" s="4">
        <v>192</v>
      </c>
      <c r="F1809" s="101" t="s">
        <v>4607</v>
      </c>
      <c r="G1809" s="57" t="s">
        <v>5271</v>
      </c>
      <c r="H1809" s="4"/>
      <c r="I1809" s="4"/>
      <c r="J1809" s="4"/>
      <c r="K1809" s="54" t="s">
        <v>4607</v>
      </c>
      <c r="L1809" s="57">
        <v>1503309580</v>
      </c>
      <c r="M1809" s="57">
        <v>1503309580</v>
      </c>
      <c r="N1809" s="766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62"/>
      <c r="AC1809" s="39" t="str">
        <f t="shared" si="218"/>
        <v>ПШ28063</v>
      </c>
      <c r="AD1809" s="3"/>
    </row>
    <row r="1810" spans="1:30" s="6" customFormat="1" ht="20.100000000000001" customHeight="1" x14ac:dyDescent="0.25">
      <c r="A1810" s="631" t="s">
        <v>7470</v>
      </c>
      <c r="B1810" s="3"/>
      <c r="C1810" s="3"/>
      <c r="D1810" s="55" t="s">
        <v>5282</v>
      </c>
      <c r="E1810" s="4"/>
      <c r="F1810" s="101" t="s">
        <v>6170</v>
      </c>
      <c r="G1810" s="57" t="s">
        <v>5460</v>
      </c>
      <c r="H1810" s="4"/>
      <c r="I1810" s="4"/>
      <c r="J1810" s="4"/>
      <c r="K1810" s="54" t="s">
        <v>6170</v>
      </c>
      <c r="L1810" s="57">
        <v>1588954016</v>
      </c>
      <c r="M1810" s="57">
        <v>1588954016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3"/>
      <c r="AC1810" s="39" t="str">
        <f t="shared" si="218"/>
        <v>ПШ27151</v>
      </c>
      <c r="AD1810" s="3"/>
    </row>
    <row r="1811" spans="1:30" s="6" customFormat="1" ht="20.100000000000001" customHeight="1" x14ac:dyDescent="0.25">
      <c r="A1811" s="631" t="s">
        <v>5560</v>
      </c>
      <c r="B1811" s="3"/>
      <c r="C1811" s="3"/>
      <c r="D1811" s="54" t="s">
        <v>4627</v>
      </c>
      <c r="E1811" s="4">
        <v>168</v>
      </c>
      <c r="F1811" s="101" t="s">
        <v>4626</v>
      </c>
      <c r="G1811" s="57" t="s">
        <v>5256</v>
      </c>
      <c r="H1811" s="4"/>
      <c r="I1811" s="4"/>
      <c r="J1811" s="4"/>
      <c r="K1811" s="54" t="s">
        <v>4626</v>
      </c>
      <c r="L1811" s="57">
        <v>1482126235</v>
      </c>
      <c r="M1811" s="57">
        <v>1482126235</v>
      </c>
      <c r="N1811" s="766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62"/>
      <c r="AC1811" s="39" t="str">
        <f t="shared" si="218"/>
        <v>ПШ27955</v>
      </c>
      <c r="AD1811" s="3"/>
    </row>
    <row r="1812" spans="1:30" s="6" customFormat="1" ht="20.100000000000001" customHeight="1" x14ac:dyDescent="0.25">
      <c r="A1812" s="631" t="s">
        <v>5561</v>
      </c>
      <c r="B1812" s="3"/>
      <c r="C1812" s="3"/>
      <c r="D1812" s="54" t="s">
        <v>4625</v>
      </c>
      <c r="E1812" s="4">
        <v>168</v>
      </c>
      <c r="F1812" s="101" t="s">
        <v>4624</v>
      </c>
      <c r="G1812" s="57" t="s">
        <v>5257</v>
      </c>
      <c r="H1812" s="4"/>
      <c r="I1812" s="4"/>
      <c r="J1812" s="4"/>
      <c r="K1812" s="54" t="s">
        <v>4624</v>
      </c>
      <c r="L1812" s="57">
        <v>1482002129</v>
      </c>
      <c r="M1812" s="57">
        <v>1482002129</v>
      </c>
      <c r="N1812" s="766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62"/>
      <c r="AC1812" s="39" t="str">
        <f t="shared" si="218"/>
        <v>ПШ27956</v>
      </c>
      <c r="AD1812" s="3"/>
    </row>
    <row r="1813" spans="1:30" s="6" customFormat="1" ht="20.100000000000001" customHeight="1" x14ac:dyDescent="0.25">
      <c r="A1813" s="631" t="s">
        <v>5562</v>
      </c>
      <c r="B1813" s="3"/>
      <c r="C1813" s="3"/>
      <c r="D1813" s="54" t="s">
        <v>4623</v>
      </c>
      <c r="E1813" s="4">
        <v>168</v>
      </c>
      <c r="F1813" s="101" t="s">
        <v>4622</v>
      </c>
      <c r="G1813" s="57" t="s">
        <v>5258</v>
      </c>
      <c r="H1813" s="4"/>
      <c r="I1813" s="4"/>
      <c r="J1813" s="4"/>
      <c r="K1813" s="54" t="s">
        <v>4622</v>
      </c>
      <c r="L1813" s="57">
        <v>1482043323</v>
      </c>
      <c r="M1813" s="57">
        <v>1482043323</v>
      </c>
      <c r="N1813" s="766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62"/>
      <c r="AC1813" s="39" t="str">
        <f t="shared" si="218"/>
        <v>ПШ27957</v>
      </c>
      <c r="AD1813" s="3"/>
    </row>
    <row r="1814" spans="1:30" s="6" customFormat="1" ht="20.100000000000001" customHeight="1" x14ac:dyDescent="0.25">
      <c r="A1814" s="631" t="s">
        <v>5563</v>
      </c>
      <c r="B1814" s="3"/>
      <c r="C1814" s="3"/>
      <c r="D1814" s="54" t="s">
        <v>4621</v>
      </c>
      <c r="E1814" s="4">
        <v>168</v>
      </c>
      <c r="F1814" s="101" t="s">
        <v>4620</v>
      </c>
      <c r="G1814" s="57" t="s">
        <v>5259</v>
      </c>
      <c r="H1814" s="4"/>
      <c r="I1814" s="4"/>
      <c r="J1814" s="4"/>
      <c r="K1814" s="54" t="s">
        <v>4620</v>
      </c>
      <c r="L1814" s="57">
        <v>1482101602</v>
      </c>
      <c r="M1814" s="57">
        <v>1482101602</v>
      </c>
      <c r="N1814" s="766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62"/>
      <c r="AC1814" s="39" t="str">
        <f t="shared" si="218"/>
        <v>ПШ27958</v>
      </c>
      <c r="AD1814" s="3"/>
    </row>
    <row r="1815" spans="1:30" s="6" customFormat="1" ht="20.100000000000001" customHeight="1" x14ac:dyDescent="0.25">
      <c r="A1815" s="631" t="s">
        <v>5564</v>
      </c>
      <c r="B1815" s="3"/>
      <c r="C1815" s="3"/>
      <c r="D1815" s="54" t="s">
        <v>4619</v>
      </c>
      <c r="E1815" s="4">
        <v>168</v>
      </c>
      <c r="F1815" s="101" t="s">
        <v>4618</v>
      </c>
      <c r="G1815" s="57" t="s">
        <v>5260</v>
      </c>
      <c r="H1815" s="4"/>
      <c r="I1815" s="4"/>
      <c r="J1815" s="4"/>
      <c r="K1815" s="54" t="s">
        <v>4618</v>
      </c>
      <c r="L1815" s="57">
        <v>1482070837</v>
      </c>
      <c r="M1815" s="57">
        <v>1482070837</v>
      </c>
      <c r="N1815" s="766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62"/>
      <c r="AC1815" s="39" t="str">
        <f t="shared" si="218"/>
        <v>ПШ27959</v>
      </c>
      <c r="AD1815" s="3"/>
    </row>
    <row r="1816" spans="1:30" s="6" customFormat="1" ht="20.100000000000001" customHeight="1" x14ac:dyDescent="0.25">
      <c r="A1816" s="631" t="s">
        <v>5565</v>
      </c>
      <c r="B1816" s="3"/>
      <c r="C1816" s="3"/>
      <c r="D1816" s="54" t="s">
        <v>4617</v>
      </c>
      <c r="E1816" s="4">
        <v>168</v>
      </c>
      <c r="F1816" s="101" t="s">
        <v>4616</v>
      </c>
      <c r="G1816" s="57" t="s">
        <v>5261</v>
      </c>
      <c r="H1816" s="4"/>
      <c r="I1816" s="4"/>
      <c r="J1816" s="4"/>
      <c r="K1816" s="54" t="s">
        <v>4616</v>
      </c>
      <c r="L1816" s="57">
        <v>1482076681</v>
      </c>
      <c r="M1816" s="57">
        <v>1482076681</v>
      </c>
      <c r="N1816" s="766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62"/>
      <c r="AC1816" s="39" t="str">
        <f t="shared" si="218"/>
        <v>ПШ27960</v>
      </c>
      <c r="AD1816" s="3"/>
    </row>
    <row r="1817" spans="1:30" s="6" customFormat="1" ht="20.100000000000001" customHeight="1" x14ac:dyDescent="0.25">
      <c r="A1817" s="631" t="s">
        <v>5566</v>
      </c>
      <c r="B1817" s="3"/>
      <c r="C1817" s="3"/>
      <c r="D1817" s="54" t="s">
        <v>4615</v>
      </c>
      <c r="E1817" s="4">
        <v>192</v>
      </c>
      <c r="F1817" s="101" t="s">
        <v>4614</v>
      </c>
      <c r="G1817" s="57" t="s">
        <v>5267</v>
      </c>
      <c r="H1817" s="4"/>
      <c r="I1817" s="4"/>
      <c r="J1817" s="4"/>
      <c r="K1817" s="54" t="s">
        <v>4614</v>
      </c>
      <c r="L1817" s="57">
        <v>1503307274</v>
      </c>
      <c r="M1817" s="57">
        <v>1503307274</v>
      </c>
      <c r="N1817" s="766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62"/>
      <c r="AC1817" s="39" t="str">
        <f t="shared" si="218"/>
        <v>ПШ28057</v>
      </c>
      <c r="AD1817" s="3"/>
    </row>
    <row r="1818" spans="1:30" s="6" customFormat="1" ht="20.100000000000001" customHeight="1" x14ac:dyDescent="0.25">
      <c r="A1818" s="631" t="s">
        <v>5567</v>
      </c>
      <c r="B1818" s="3"/>
      <c r="C1818" s="3"/>
      <c r="D1818" s="54" t="s">
        <v>4613</v>
      </c>
      <c r="E1818" s="4">
        <v>192</v>
      </c>
      <c r="F1818" s="101" t="s">
        <v>4612</v>
      </c>
      <c r="G1818" s="57" t="s">
        <v>5268</v>
      </c>
      <c r="H1818" s="4"/>
      <c r="I1818" s="4"/>
      <c r="J1818" s="4"/>
      <c r="K1818" s="54" t="s">
        <v>4612</v>
      </c>
      <c r="L1818" s="57">
        <v>1503307834</v>
      </c>
      <c r="M1818" s="57">
        <v>1503307834</v>
      </c>
      <c r="N1818" s="766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62"/>
      <c r="AC1818" s="39" t="str">
        <f t="shared" si="218"/>
        <v>ПШ28058</v>
      </c>
      <c r="AD1818" s="3"/>
    </row>
    <row r="1819" spans="1:30" s="6" customFormat="1" ht="20.100000000000001" customHeight="1" x14ac:dyDescent="0.25">
      <c r="A1819" s="631" t="s">
        <v>5568</v>
      </c>
      <c r="B1819" s="3"/>
      <c r="C1819" s="3"/>
      <c r="D1819" s="54" t="s">
        <v>6253</v>
      </c>
      <c r="E1819" s="4">
        <v>192</v>
      </c>
      <c r="F1819" s="101" t="s">
        <v>6337</v>
      </c>
      <c r="G1819" s="57" t="s">
        <v>5269</v>
      </c>
      <c r="H1819" s="4"/>
      <c r="I1819" s="4"/>
      <c r="J1819" s="4"/>
      <c r="K1819" s="54" t="s">
        <v>6337</v>
      </c>
      <c r="L1819" s="57">
        <v>1503308710</v>
      </c>
      <c r="M1819" s="57">
        <v>1503308710</v>
      </c>
      <c r="N1819" s="766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62"/>
      <c r="AC1819" s="39" t="str">
        <f t="shared" si="218"/>
        <v>ПШ28061</v>
      </c>
      <c r="AD1819" s="3"/>
    </row>
    <row r="1820" spans="1:30" s="6" customFormat="1" ht="20.100000000000001" customHeight="1" x14ac:dyDescent="0.25">
      <c r="A1820" s="631" t="s">
        <v>6024</v>
      </c>
      <c r="B1820" s="3"/>
      <c r="C1820" s="3"/>
      <c r="D1820" s="54" t="s">
        <v>5274</v>
      </c>
      <c r="E1820" s="4"/>
      <c r="F1820" s="101" t="s">
        <v>6252</v>
      </c>
      <c r="G1820" s="57" t="s">
        <v>5459</v>
      </c>
      <c r="H1820" s="4"/>
      <c r="I1820" s="4"/>
      <c r="J1820" s="4"/>
      <c r="K1820" s="54" t="s">
        <v>6252</v>
      </c>
      <c r="L1820" s="57">
        <v>1342997709</v>
      </c>
      <c r="M1820" s="57">
        <v>1342997709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3"/>
      <c r="AC1820" s="39" t="str">
        <f t="shared" si="218"/>
        <v>ПШ28051</v>
      </c>
      <c r="AD1820" s="3"/>
    </row>
    <row r="1821" spans="1:30" s="6" customFormat="1" ht="20.100000000000001" customHeight="1" x14ac:dyDescent="0.25">
      <c r="A1821" s="631" t="s">
        <v>5525</v>
      </c>
      <c r="B1821" s="3"/>
      <c r="C1821" s="3"/>
      <c r="D1821" s="63" t="s">
        <v>4672</v>
      </c>
      <c r="E1821" s="4">
        <v>192</v>
      </c>
      <c r="F1821" s="101" t="s">
        <v>4671</v>
      </c>
      <c r="G1821" s="57" t="s">
        <v>5262</v>
      </c>
      <c r="H1821" s="4"/>
      <c r="I1821" s="4"/>
      <c r="J1821" s="4"/>
      <c r="K1821" s="54" t="s">
        <v>4671</v>
      </c>
      <c r="L1821" s="57">
        <v>1342993785</v>
      </c>
      <c r="M1821" s="57">
        <v>1342993785</v>
      </c>
      <c r="N1821" s="766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62"/>
      <c r="AC1821" s="39" t="str">
        <f t="shared" si="218"/>
        <v>ПШ28011</v>
      </c>
      <c r="AD1821" s="3"/>
    </row>
    <row r="1822" spans="1:30" s="6" customFormat="1" ht="20.100000000000001" customHeight="1" x14ac:dyDescent="0.25">
      <c r="A1822" s="631" t="s">
        <v>5526</v>
      </c>
      <c r="B1822" s="3"/>
      <c r="C1822" s="3"/>
      <c r="D1822" s="63" t="s">
        <v>4670</v>
      </c>
      <c r="E1822" s="4">
        <v>320</v>
      </c>
      <c r="F1822" s="101" t="s">
        <v>4669</v>
      </c>
      <c r="G1822" s="57" t="s">
        <v>6342</v>
      </c>
      <c r="H1822" s="4"/>
      <c r="I1822" s="4"/>
      <c r="J1822" s="4"/>
      <c r="K1822" s="54" t="s">
        <v>4669</v>
      </c>
      <c r="L1822" s="57">
        <v>1342996164</v>
      </c>
      <c r="M1822" s="57">
        <v>1342996164</v>
      </c>
      <c r="N1822" s="766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62"/>
      <c r="AC1822" s="39" t="str">
        <f t="shared" si="218"/>
        <v>ПШ28111</v>
      </c>
      <c r="AD1822" s="3"/>
    </row>
    <row r="1823" spans="1:30" s="6" customFormat="1" ht="20.100000000000001" customHeight="1" x14ac:dyDescent="0.25">
      <c r="A1823" s="631" t="s">
        <v>5593</v>
      </c>
      <c r="B1823" s="3"/>
      <c r="C1823" s="3"/>
      <c r="D1823" s="54" t="s">
        <v>5283</v>
      </c>
      <c r="E1823" s="4"/>
      <c r="F1823" s="101" t="s">
        <v>5498</v>
      </c>
      <c r="G1823" s="57" t="s">
        <v>5461</v>
      </c>
      <c r="H1823" s="4"/>
      <c r="I1823" s="4"/>
      <c r="J1823" s="4"/>
      <c r="K1823" s="54" t="s">
        <v>5498</v>
      </c>
      <c r="L1823" s="57">
        <v>1629691716</v>
      </c>
      <c r="M1823" s="57">
        <v>1629691716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3"/>
      <c r="AC1823" s="39" t="str">
        <f t="shared" si="218"/>
        <v>ПШ28168</v>
      </c>
      <c r="AD1823" s="3"/>
    </row>
    <row r="1824" spans="1:30" s="6" customFormat="1" ht="20.100000000000001" customHeight="1" x14ac:dyDescent="0.25">
      <c r="A1824" s="631" t="s">
        <v>6276</v>
      </c>
      <c r="B1824" s="3"/>
      <c r="C1824" s="3"/>
      <c r="D1824" s="54" t="s">
        <v>5284</v>
      </c>
      <c r="E1824" s="4"/>
      <c r="F1824" s="101" t="s">
        <v>6254</v>
      </c>
      <c r="G1824" s="57" t="s">
        <v>5455</v>
      </c>
      <c r="H1824" s="4"/>
      <c r="I1824" s="4"/>
      <c r="J1824" s="4"/>
      <c r="K1824" s="54" t="s">
        <v>6254</v>
      </c>
      <c r="L1824" s="57">
        <v>1624628696</v>
      </c>
      <c r="M1824" s="57">
        <v>1624628696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3"/>
      <c r="AC1824" s="39" t="str">
        <f t="shared" si="218"/>
        <v>ПШ28102</v>
      </c>
      <c r="AD1824" s="3"/>
    </row>
    <row r="1825" spans="1:30" s="6" customFormat="1" ht="20.100000000000001" customHeight="1" x14ac:dyDescent="0.25">
      <c r="A1825" s="631" t="s">
        <v>5594</v>
      </c>
      <c r="B1825" s="3"/>
      <c r="C1825" s="3"/>
      <c r="D1825" s="54" t="s">
        <v>5285</v>
      </c>
      <c r="E1825" s="4"/>
      <c r="F1825" s="101" t="s">
        <v>5499</v>
      </c>
      <c r="G1825" s="57" t="s">
        <v>5462</v>
      </c>
      <c r="H1825" s="4"/>
      <c r="I1825" s="4"/>
      <c r="J1825" s="4"/>
      <c r="K1825" s="54" t="s">
        <v>5499</v>
      </c>
      <c r="L1825" s="57">
        <v>1629691706</v>
      </c>
      <c r="M1825" s="57">
        <v>1629691706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3"/>
      <c r="AC1825" s="39" t="str">
        <f t="shared" si="218"/>
        <v>ПШ28169</v>
      </c>
      <c r="AD1825" s="3"/>
    </row>
    <row r="1826" spans="1:30" s="6" customFormat="1" ht="20.100000000000001" customHeight="1" x14ac:dyDescent="0.25">
      <c r="A1826" s="631" t="s">
        <v>5595</v>
      </c>
      <c r="B1826" s="3"/>
      <c r="C1826" s="3"/>
      <c r="D1826" s="54" t="s">
        <v>5286</v>
      </c>
      <c r="E1826" s="4"/>
      <c r="F1826" s="101" t="s">
        <v>5500</v>
      </c>
      <c r="G1826" s="57" t="s">
        <v>5463</v>
      </c>
      <c r="H1826" s="4"/>
      <c r="I1826" s="4"/>
      <c r="J1826" s="4"/>
      <c r="K1826" s="54" t="s">
        <v>5500</v>
      </c>
      <c r="L1826" s="57">
        <v>1629691570</v>
      </c>
      <c r="M1826" s="57">
        <v>1629691570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3"/>
      <c r="AC1826" s="39" t="str">
        <f t="shared" si="218"/>
        <v>ПШ28154</v>
      </c>
      <c r="AD1826" s="3"/>
    </row>
    <row r="1827" spans="1:30" s="6" customFormat="1" ht="20.100000000000001" customHeight="1" x14ac:dyDescent="0.25">
      <c r="A1827" s="631" t="s">
        <v>5596</v>
      </c>
      <c r="B1827" s="3"/>
      <c r="C1827" s="3"/>
      <c r="D1827" s="54" t="s">
        <v>5287</v>
      </c>
      <c r="E1827" s="4"/>
      <c r="F1827" s="101" t="s">
        <v>5501</v>
      </c>
      <c r="G1827" s="57" t="s">
        <v>5464</v>
      </c>
      <c r="H1827" s="4"/>
      <c r="I1827" s="4"/>
      <c r="J1827" s="4"/>
      <c r="K1827" s="54" t="s">
        <v>5501</v>
      </c>
      <c r="L1827" s="57">
        <v>1629691045</v>
      </c>
      <c r="M1827" s="57">
        <v>1629691045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3"/>
      <c r="AC1827" s="39" t="str">
        <f t="shared" si="218"/>
        <v>ПШ28172</v>
      </c>
      <c r="AD1827" s="3"/>
    </row>
    <row r="1828" spans="1:30" s="6" customFormat="1" ht="20.100000000000001" customHeight="1" x14ac:dyDescent="0.25">
      <c r="A1828" s="631" t="s">
        <v>5597</v>
      </c>
      <c r="B1828" s="3"/>
      <c r="C1828" s="3"/>
      <c r="D1828" s="54" t="s">
        <v>5288</v>
      </c>
      <c r="E1828" s="4"/>
      <c r="F1828" s="101" t="s">
        <v>5502</v>
      </c>
      <c r="G1828" s="57" t="s">
        <v>5465</v>
      </c>
      <c r="H1828" s="4"/>
      <c r="I1828" s="4"/>
      <c r="J1828" s="4"/>
      <c r="K1828" s="54" t="s">
        <v>5502</v>
      </c>
      <c r="L1828" s="57">
        <v>1629690942</v>
      </c>
      <c r="M1828" s="57">
        <v>1629690942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3"/>
      <c r="AC1828" s="39" t="str">
        <f t="shared" si="218"/>
        <v>ПШ28170</v>
      </c>
      <c r="AD1828" s="3"/>
    </row>
    <row r="1829" spans="1:30" s="6" customFormat="1" ht="20.100000000000001" customHeight="1" x14ac:dyDescent="0.25">
      <c r="A1829" s="631" t="s">
        <v>5598</v>
      </c>
      <c r="B1829" s="3"/>
      <c r="C1829" s="3"/>
      <c r="D1829" s="54" t="s">
        <v>5289</v>
      </c>
      <c r="E1829" s="4"/>
      <c r="F1829" s="101" t="s">
        <v>5503</v>
      </c>
      <c r="G1829" s="57" t="s">
        <v>5456</v>
      </c>
      <c r="H1829" s="4"/>
      <c r="I1829" s="4"/>
      <c r="J1829" s="4"/>
      <c r="K1829" s="54" t="s">
        <v>5503</v>
      </c>
      <c r="L1829" s="57">
        <v>1624628657</v>
      </c>
      <c r="M1829" s="57">
        <v>1624628657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3"/>
      <c r="AC1829" s="39" t="str">
        <f t="shared" si="218"/>
        <v>ПШ28163</v>
      </c>
      <c r="AD1829" s="3"/>
    </row>
    <row r="1830" spans="1:30" s="6" customFormat="1" ht="20.100000000000001" customHeight="1" x14ac:dyDescent="0.25">
      <c r="A1830" s="631" t="s">
        <v>5599</v>
      </c>
      <c r="B1830" s="3"/>
      <c r="C1830" s="3"/>
      <c r="D1830" s="54" t="s">
        <v>5290</v>
      </c>
      <c r="E1830" s="4"/>
      <c r="F1830" s="101" t="s">
        <v>5504</v>
      </c>
      <c r="G1830" s="57" t="s">
        <v>5466</v>
      </c>
      <c r="H1830" s="4"/>
      <c r="I1830" s="4"/>
      <c r="J1830" s="4"/>
      <c r="K1830" s="54" t="s">
        <v>5504</v>
      </c>
      <c r="L1830" s="57">
        <v>1624628789</v>
      </c>
      <c r="M1830" s="57">
        <v>1624628789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3"/>
      <c r="AC1830" s="39" t="str">
        <f t="shared" si="218"/>
        <v>ПШ28157</v>
      </c>
      <c r="AD1830" s="3"/>
    </row>
    <row r="1831" spans="1:30" s="6" customFormat="1" ht="20.100000000000001" customHeight="1" x14ac:dyDescent="0.25">
      <c r="A1831" s="631" t="s">
        <v>5600</v>
      </c>
      <c r="B1831" s="3"/>
      <c r="C1831" s="3"/>
      <c r="D1831" s="54" t="s">
        <v>5292</v>
      </c>
      <c r="E1831" s="4"/>
      <c r="F1831" s="101" t="s">
        <v>5505</v>
      </c>
      <c r="G1831" s="57" t="s">
        <v>5457</v>
      </c>
      <c r="H1831" s="4"/>
      <c r="I1831" s="4"/>
      <c r="J1831" s="4"/>
      <c r="K1831" s="54" t="s">
        <v>5505</v>
      </c>
      <c r="L1831" s="57">
        <v>1624628818</v>
      </c>
      <c r="M1831" s="57">
        <v>1624628818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3"/>
      <c r="AC1831" s="39" t="str">
        <f t="shared" si="218"/>
        <v>ПШ28161</v>
      </c>
      <c r="AD1831" s="3"/>
    </row>
    <row r="1832" spans="1:30" s="6" customFormat="1" ht="20.100000000000001" customHeight="1" x14ac:dyDescent="0.25">
      <c r="A1832" s="631" t="s">
        <v>5601</v>
      </c>
      <c r="B1832" s="3"/>
      <c r="C1832" s="3"/>
      <c r="D1832" s="54" t="s">
        <v>5293</v>
      </c>
      <c r="E1832" s="4"/>
      <c r="F1832" s="101" t="s">
        <v>5506</v>
      </c>
      <c r="G1832" s="57" t="s">
        <v>5467</v>
      </c>
      <c r="H1832" s="4"/>
      <c r="I1832" s="4"/>
      <c r="J1832" s="4"/>
      <c r="K1832" s="54" t="s">
        <v>5506</v>
      </c>
      <c r="L1832" s="57">
        <v>1638622661</v>
      </c>
      <c r="M1832" s="57">
        <v>1638622661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3"/>
      <c r="AC1832" s="39" t="str">
        <f t="shared" si="218"/>
        <v>ПШ35451</v>
      </c>
      <c r="AD1832" s="3"/>
    </row>
    <row r="1833" spans="1:30" s="6" customFormat="1" ht="20.100000000000001" customHeight="1" x14ac:dyDescent="0.25">
      <c r="A1833" s="631" t="s">
        <v>5602</v>
      </c>
      <c r="B1833" s="3"/>
      <c r="C1833" s="3"/>
      <c r="D1833" s="54" t="s">
        <v>5294</v>
      </c>
      <c r="E1833" s="4"/>
      <c r="F1833" s="101" t="s">
        <v>5507</v>
      </c>
      <c r="G1833" s="57" t="s">
        <v>5468</v>
      </c>
      <c r="H1833" s="4"/>
      <c r="I1833" s="4"/>
      <c r="J1833" s="4"/>
      <c r="K1833" s="54" t="s">
        <v>5507</v>
      </c>
      <c r="L1833" s="57">
        <v>1638628760</v>
      </c>
      <c r="M1833" s="57">
        <v>1638628760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3"/>
      <c r="AC1833" s="39" t="str">
        <f t="shared" si="218"/>
        <v>ПШ35453</v>
      </c>
      <c r="AD1833" s="3"/>
    </row>
    <row r="1834" spans="1:30" s="6" customFormat="1" ht="20.100000000000001" customHeight="1" x14ac:dyDescent="0.25">
      <c r="A1834" s="631" t="s">
        <v>5603</v>
      </c>
      <c r="B1834" s="3"/>
      <c r="C1834" s="3"/>
      <c r="D1834" s="54" t="s">
        <v>5295</v>
      </c>
      <c r="E1834" s="4"/>
      <c r="F1834" s="101" t="s">
        <v>5508</v>
      </c>
      <c r="G1834" s="57" t="s">
        <v>5469</v>
      </c>
      <c r="H1834" s="4"/>
      <c r="I1834" s="4"/>
      <c r="J1834" s="4"/>
      <c r="K1834" s="54" t="s">
        <v>5508</v>
      </c>
      <c r="L1834" s="57">
        <v>1638631377</v>
      </c>
      <c r="M1834" s="57">
        <v>1638631377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3"/>
      <c r="AC1834" s="39" t="str">
        <f t="shared" si="218"/>
        <v>ПШ35450</v>
      </c>
      <c r="AD1834" s="3"/>
    </row>
    <row r="1835" spans="1:30" s="6" customFormat="1" ht="20.100000000000001" customHeight="1" x14ac:dyDescent="0.25">
      <c r="A1835" s="631" t="s">
        <v>5604</v>
      </c>
      <c r="B1835" s="3"/>
      <c r="C1835" s="3"/>
      <c r="D1835" s="54" t="s">
        <v>5296</v>
      </c>
      <c r="E1835" s="4"/>
      <c r="F1835" s="101" t="s">
        <v>5509</v>
      </c>
      <c r="G1835" s="57" t="s">
        <v>5470</v>
      </c>
      <c r="H1835" s="4"/>
      <c r="I1835" s="4"/>
      <c r="J1835" s="4"/>
      <c r="K1835" s="54" t="s">
        <v>5509</v>
      </c>
      <c r="L1835" s="57">
        <v>1639768088</v>
      </c>
      <c r="M1835" s="57">
        <v>1639768088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3"/>
      <c r="AC1835" s="39" t="str">
        <f t="shared" si="218"/>
        <v>ПШ35550</v>
      </c>
      <c r="AD1835" s="3"/>
    </row>
    <row r="1836" spans="1:30" s="6" customFormat="1" ht="20.100000000000001" customHeight="1" x14ac:dyDescent="0.25">
      <c r="A1836" s="631" t="s">
        <v>5605</v>
      </c>
      <c r="B1836" s="3"/>
      <c r="C1836" s="3"/>
      <c r="D1836" s="54" t="s">
        <v>5297</v>
      </c>
      <c r="E1836" s="4"/>
      <c r="F1836" s="101" t="s">
        <v>5510</v>
      </c>
      <c r="G1836" s="57" t="s">
        <v>5471</v>
      </c>
      <c r="H1836" s="4"/>
      <c r="I1836" s="4"/>
      <c r="J1836" s="4"/>
      <c r="K1836" s="54" t="s">
        <v>5510</v>
      </c>
      <c r="L1836" s="57">
        <v>1639776209</v>
      </c>
      <c r="M1836" s="57">
        <v>1639776209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3"/>
      <c r="AC1836" s="39" t="str">
        <f t="shared" si="218"/>
        <v>ПШ35551</v>
      </c>
      <c r="AD1836" s="3"/>
    </row>
    <row r="1837" spans="1:30" s="6" customFormat="1" ht="20.100000000000001" customHeight="1" x14ac:dyDescent="0.25">
      <c r="A1837" s="631" t="s">
        <v>5606</v>
      </c>
      <c r="B1837" s="3"/>
      <c r="C1837" s="3"/>
      <c r="D1837" s="54" t="s">
        <v>5298</v>
      </c>
      <c r="E1837" s="4"/>
      <c r="F1837" s="101" t="s">
        <v>5511</v>
      </c>
      <c r="G1837" s="57" t="s">
        <v>5472</v>
      </c>
      <c r="H1837" s="4"/>
      <c r="I1837" s="4"/>
      <c r="J1837" s="4"/>
      <c r="K1837" s="54" t="s">
        <v>5511</v>
      </c>
      <c r="L1837" s="57">
        <v>1642919982</v>
      </c>
      <c r="M1837" s="57">
        <v>1642919982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3"/>
      <c r="AC1837" s="39" t="str">
        <f t="shared" si="218"/>
        <v>ПШ27966</v>
      </c>
      <c r="AD1837" s="3"/>
    </row>
    <row r="1838" spans="1:30" s="6" customFormat="1" ht="20.100000000000001" customHeight="1" x14ac:dyDescent="0.25">
      <c r="A1838" s="631" t="s">
        <v>5607</v>
      </c>
      <c r="B1838" s="3"/>
      <c r="C1838" s="3"/>
      <c r="D1838" s="54" t="s">
        <v>5299</v>
      </c>
      <c r="E1838" s="4"/>
      <c r="F1838" s="101" t="s">
        <v>5512</v>
      </c>
      <c r="G1838" s="57" t="s">
        <v>5473</v>
      </c>
      <c r="H1838" s="4"/>
      <c r="I1838" s="4"/>
      <c r="J1838" s="4"/>
      <c r="K1838" s="54" t="s">
        <v>5512</v>
      </c>
      <c r="L1838" s="57">
        <v>1642924855</v>
      </c>
      <c r="M1838" s="57">
        <v>1642924855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3"/>
      <c r="AC1838" s="39" t="str">
        <f t="shared" si="218"/>
        <v>ПШ27971</v>
      </c>
      <c r="AD1838" s="3"/>
    </row>
    <row r="1839" spans="1:30" s="6" customFormat="1" ht="20.100000000000001" customHeight="1" x14ac:dyDescent="0.25">
      <c r="A1839" s="631" t="s">
        <v>5608</v>
      </c>
      <c r="B1839" s="3"/>
      <c r="C1839" s="3"/>
      <c r="D1839" s="54" t="s">
        <v>5300</v>
      </c>
      <c r="E1839" s="4"/>
      <c r="F1839" s="101" t="s">
        <v>5513</v>
      </c>
      <c r="G1839" s="57" t="s">
        <v>5474</v>
      </c>
      <c r="H1839" s="4"/>
      <c r="I1839" s="4"/>
      <c r="J1839" s="4"/>
      <c r="K1839" s="54" t="s">
        <v>5513</v>
      </c>
      <c r="L1839" s="57">
        <v>1642927190</v>
      </c>
      <c r="M1839" s="57">
        <v>1642927190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3"/>
      <c r="AC1839" s="39" t="str">
        <f t="shared" si="218"/>
        <v>ПШ35553</v>
      </c>
      <c r="AD1839" s="3"/>
    </row>
    <row r="1840" spans="1:30" s="6" customFormat="1" ht="20.100000000000001" customHeight="1" x14ac:dyDescent="0.25">
      <c r="A1840" s="631" t="s">
        <v>5609</v>
      </c>
      <c r="B1840" s="3"/>
      <c r="C1840" s="3"/>
      <c r="D1840" s="54" t="s">
        <v>5301</v>
      </c>
      <c r="E1840" s="4"/>
      <c r="F1840" s="101" t="s">
        <v>5514</v>
      </c>
      <c r="G1840" s="57" t="s">
        <v>5458</v>
      </c>
      <c r="H1840" s="4"/>
      <c r="I1840" s="4"/>
      <c r="J1840" s="4"/>
      <c r="K1840" s="54" t="s">
        <v>5514</v>
      </c>
      <c r="L1840" s="57">
        <v>1642948179</v>
      </c>
      <c r="M1840" s="57">
        <v>1642948179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3"/>
      <c r="AC1840" s="39" t="str">
        <f t="shared" si="218"/>
        <v>ПШ28156</v>
      </c>
      <c r="AD1840" s="3"/>
    </row>
    <row r="1841" spans="1:30" s="6" customFormat="1" ht="20.100000000000001" customHeight="1" x14ac:dyDescent="0.25">
      <c r="A1841" s="631" t="s">
        <v>5610</v>
      </c>
      <c r="B1841" s="3"/>
      <c r="C1841" s="3"/>
      <c r="D1841" s="54" t="s">
        <v>5302</v>
      </c>
      <c r="E1841" s="4"/>
      <c r="F1841" s="101" t="s">
        <v>5515</v>
      </c>
      <c r="G1841" s="57" t="s">
        <v>5475</v>
      </c>
      <c r="H1841" s="4"/>
      <c r="I1841" s="4"/>
      <c r="J1841" s="4"/>
      <c r="K1841" s="54" t="s">
        <v>5515</v>
      </c>
      <c r="L1841" s="57">
        <v>1642975241</v>
      </c>
      <c r="M1841" s="57">
        <v>1642975241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3"/>
      <c r="AC1841" s="39" t="str">
        <f t="shared" si="218"/>
        <v>ПШ28171</v>
      </c>
      <c r="AD1841" s="3"/>
    </row>
    <row r="1842" spans="1:30" s="6" customFormat="1" ht="20.100000000000001" customHeight="1" x14ac:dyDescent="0.25">
      <c r="A1842" s="631" t="s">
        <v>5611</v>
      </c>
      <c r="B1842" s="3"/>
      <c r="C1842" s="3"/>
      <c r="D1842" s="54" t="s">
        <v>5303</v>
      </c>
      <c r="E1842" s="4"/>
      <c r="F1842" s="101" t="s">
        <v>5516</v>
      </c>
      <c r="G1842" s="57" t="s">
        <v>5476</v>
      </c>
      <c r="H1842" s="4"/>
      <c r="I1842" s="4"/>
      <c r="J1842" s="4"/>
      <c r="K1842" s="54" t="s">
        <v>5516</v>
      </c>
      <c r="L1842" s="57">
        <v>1773051296</v>
      </c>
      <c r="M1842" s="57">
        <v>1773051296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3"/>
      <c r="AC1842" s="39" t="str">
        <f t="shared" si="218"/>
        <v>ПШ28166</v>
      </c>
      <c r="AD1842" s="3"/>
    </row>
    <row r="1843" spans="1:30" s="6" customFormat="1" ht="20.100000000000001" customHeight="1" x14ac:dyDescent="0.25">
      <c r="A1843" s="631" t="s">
        <v>5518</v>
      </c>
      <c r="B1843" s="3"/>
      <c r="C1843" s="3"/>
      <c r="D1843" s="63" t="s">
        <v>4690</v>
      </c>
      <c r="E1843" s="4">
        <v>320</v>
      </c>
      <c r="F1843" s="101" t="s">
        <v>4689</v>
      </c>
      <c r="G1843" s="57" t="s">
        <v>5272</v>
      </c>
      <c r="H1843" s="4"/>
      <c r="I1843" s="4"/>
      <c r="J1843" s="4"/>
      <c r="K1843" s="54" t="s">
        <v>4689</v>
      </c>
      <c r="L1843" s="57">
        <v>1342992019</v>
      </c>
      <c r="M1843" s="57">
        <v>1342992019</v>
      </c>
      <c r="N1843" s="766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62"/>
      <c r="AC1843" s="39" t="str">
        <f t="shared" si="218"/>
        <v>ПШ28150</v>
      </c>
      <c r="AD1843" s="3"/>
    </row>
    <row r="1844" spans="1:30" s="6" customFormat="1" ht="20.100000000000001" customHeight="1" x14ac:dyDescent="0.25">
      <c r="A1844" s="631" t="s">
        <v>5519</v>
      </c>
      <c r="B1844" s="3"/>
      <c r="C1844" s="3"/>
      <c r="D1844" s="63" t="s">
        <v>4688</v>
      </c>
      <c r="E1844" s="4">
        <v>320</v>
      </c>
      <c r="F1844" s="101" t="s">
        <v>4687</v>
      </c>
      <c r="G1844" s="57" t="s">
        <v>5273</v>
      </c>
      <c r="H1844" s="4"/>
      <c r="I1844" s="4"/>
      <c r="J1844" s="4"/>
      <c r="K1844" s="54" t="s">
        <v>4687</v>
      </c>
      <c r="L1844" s="57">
        <v>1624629399</v>
      </c>
      <c r="M1844" s="57">
        <v>1624629399</v>
      </c>
      <c r="N1844" s="766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62"/>
      <c r="AC1844" s="39" t="str">
        <f t="shared" si="218"/>
        <v>ПШ28151</v>
      </c>
      <c r="AD1844" s="3"/>
    </row>
    <row r="1845" spans="1:30" s="6" customFormat="1" ht="20.100000000000001" customHeight="1" x14ac:dyDescent="0.25">
      <c r="A1845" s="631" t="s">
        <v>5520</v>
      </c>
      <c r="B1845" s="3"/>
      <c r="C1845" s="3"/>
      <c r="D1845" s="63" t="s">
        <v>5275</v>
      </c>
      <c r="E1845" s="4">
        <v>192</v>
      </c>
      <c r="F1845" s="101" t="s">
        <v>4686</v>
      </c>
      <c r="G1845" s="57" t="s">
        <v>5265</v>
      </c>
      <c r="H1845" s="4"/>
      <c r="I1845" s="4"/>
      <c r="J1845" s="4"/>
      <c r="K1845" s="54" t="s">
        <v>4686</v>
      </c>
      <c r="L1845" s="57">
        <v>1342997267</v>
      </c>
      <c r="M1845" s="57">
        <v>1342997267</v>
      </c>
      <c r="N1845" s="766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62"/>
      <c r="AC1845" s="39" t="str">
        <f t="shared" si="218"/>
        <v>ПШ28050</v>
      </c>
      <c r="AD1845" s="3"/>
    </row>
    <row r="1846" spans="1:30" s="6" customFormat="1" ht="20.100000000000001" customHeight="1" x14ac:dyDescent="0.25">
      <c r="A1846" s="631" t="s">
        <v>5521</v>
      </c>
      <c r="B1846" s="3"/>
      <c r="C1846" s="3"/>
      <c r="D1846" s="63" t="s">
        <v>4685</v>
      </c>
      <c r="E1846" s="4">
        <v>192</v>
      </c>
      <c r="F1846" s="101" t="s">
        <v>4684</v>
      </c>
      <c r="G1846" s="57" t="s">
        <v>5266</v>
      </c>
      <c r="H1846" s="4"/>
      <c r="I1846" s="4"/>
      <c r="J1846" s="4"/>
      <c r="K1846" s="54" t="s">
        <v>4684</v>
      </c>
      <c r="L1846" s="57">
        <v>1342999293</v>
      </c>
      <c r="M1846" s="57">
        <v>1342999293</v>
      </c>
      <c r="N1846" s="766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62"/>
      <c r="AC1846" s="39" t="str">
        <f t="shared" si="218"/>
        <v>ПШ28053</v>
      </c>
      <c r="AD1846" s="3"/>
    </row>
    <row r="1847" spans="1:30" s="6" customFormat="1" ht="20.100000000000001" customHeight="1" x14ac:dyDescent="0.25">
      <c r="A1847" s="631" t="s">
        <v>5522</v>
      </c>
      <c r="B1847" s="3"/>
      <c r="C1847" s="3"/>
      <c r="D1847" s="63" t="s">
        <v>5276</v>
      </c>
      <c r="E1847" s="4">
        <v>168</v>
      </c>
      <c r="F1847" s="101" t="s">
        <v>4683</v>
      </c>
      <c r="G1847" s="57" t="s">
        <v>5253</v>
      </c>
      <c r="H1847" s="4"/>
      <c r="I1847" s="4"/>
      <c r="J1847" s="4"/>
      <c r="K1847" s="54" t="s">
        <v>4683</v>
      </c>
      <c r="L1847" s="57">
        <v>1342996717</v>
      </c>
      <c r="M1847" s="57">
        <v>1342996717</v>
      </c>
      <c r="N1847" s="766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62"/>
      <c r="AC1847" s="39" t="str">
        <f t="shared" si="218"/>
        <v>ПШ27950</v>
      </c>
      <c r="AD1847" s="3"/>
    </row>
    <row r="1848" spans="1:30" s="6" customFormat="1" ht="20.100000000000001" customHeight="1" x14ac:dyDescent="0.25">
      <c r="A1848" s="631" t="s">
        <v>5523</v>
      </c>
      <c r="B1848" s="3"/>
      <c r="C1848" s="3"/>
      <c r="D1848" s="63" t="s">
        <v>4682</v>
      </c>
      <c r="E1848" s="4">
        <v>168</v>
      </c>
      <c r="F1848" s="101" t="s">
        <v>4681</v>
      </c>
      <c r="G1848" s="57" t="s">
        <v>5254</v>
      </c>
      <c r="H1848" s="4"/>
      <c r="I1848" s="4"/>
      <c r="J1848" s="4"/>
      <c r="K1848" s="54" t="s">
        <v>4681</v>
      </c>
      <c r="L1848" s="57">
        <v>1342995996</v>
      </c>
      <c r="M1848" s="57">
        <v>1342995996</v>
      </c>
      <c r="N1848" s="766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62"/>
      <c r="AC1848" s="39" t="str">
        <f t="shared" si="218"/>
        <v>ПШ27951</v>
      </c>
      <c r="AD1848" s="3"/>
    </row>
    <row r="1849" spans="1:30" s="6" customFormat="1" ht="20.100000000000001" customHeight="1" x14ac:dyDescent="0.25">
      <c r="A1849" s="631" t="s">
        <v>5524</v>
      </c>
      <c r="B1849" s="3"/>
      <c r="C1849" s="3"/>
      <c r="D1849" s="63" t="s">
        <v>4680</v>
      </c>
      <c r="E1849" s="4">
        <v>168</v>
      </c>
      <c r="F1849" s="101" t="s">
        <v>4679</v>
      </c>
      <c r="G1849" s="57" t="s">
        <v>5255</v>
      </c>
      <c r="H1849" s="4"/>
      <c r="I1849" s="4"/>
      <c r="J1849" s="4"/>
      <c r="K1849" s="54" t="s">
        <v>4679</v>
      </c>
      <c r="L1849" s="57">
        <v>1342998179</v>
      </c>
      <c r="M1849" s="57">
        <v>1342998179</v>
      </c>
      <c r="N1849" s="766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62"/>
      <c r="AC1849" s="39" t="str">
        <f t="shared" si="218"/>
        <v>ПШ27953</v>
      </c>
      <c r="AD1849" s="3"/>
    </row>
    <row r="1850" spans="1:30" s="6" customFormat="1" ht="20.100000000000001" customHeight="1" x14ac:dyDescent="0.25">
      <c r="A1850" s="631" t="s">
        <v>6086</v>
      </c>
      <c r="B1850" s="76"/>
      <c r="C1850" s="76"/>
      <c r="D1850" s="84" t="s">
        <v>6049</v>
      </c>
      <c r="E1850" s="4"/>
      <c r="F1850" s="101" t="s">
        <v>6255</v>
      </c>
      <c r="G1850" s="75" t="s">
        <v>6061</v>
      </c>
      <c r="H1850" s="4"/>
      <c r="I1850" s="73"/>
      <c r="J1850" s="73"/>
      <c r="K1850" s="74" t="s">
        <v>6255</v>
      </c>
      <c r="L1850" s="75">
        <v>1765094471</v>
      </c>
      <c r="M1850" s="75">
        <v>1765094471</v>
      </c>
      <c r="N1850" s="769"/>
      <c r="O1850" s="73"/>
      <c r="P1850" s="73"/>
      <c r="Q1850" s="73"/>
      <c r="R1850" s="73"/>
      <c r="S1850" s="73"/>
      <c r="T1850" s="73"/>
      <c r="U1850" s="73"/>
      <c r="V1850" s="73"/>
      <c r="W1850" s="73"/>
      <c r="X1850" s="73"/>
      <c r="Y1850" s="73"/>
      <c r="AC1850" s="39" t="str">
        <f t="shared" si="218"/>
        <v>ПШ35650</v>
      </c>
      <c r="AD1850" s="76"/>
    </row>
    <row r="1851" spans="1:30" s="6" customFormat="1" ht="20.100000000000001" customHeight="1" x14ac:dyDescent="0.25">
      <c r="A1851" s="631" t="s">
        <v>6085</v>
      </c>
      <c r="B1851" s="76"/>
      <c r="C1851" s="76"/>
      <c r="D1851" s="84" t="s">
        <v>6050</v>
      </c>
      <c r="E1851" s="4"/>
      <c r="F1851" s="101" t="s">
        <v>6256</v>
      </c>
      <c r="G1851" s="75" t="s">
        <v>6062</v>
      </c>
      <c r="H1851" s="4"/>
      <c r="I1851" s="73"/>
      <c r="J1851" s="73"/>
      <c r="K1851" s="74" t="s">
        <v>6256</v>
      </c>
      <c r="L1851" s="75">
        <v>1765108660</v>
      </c>
      <c r="M1851" s="75">
        <v>1765108660</v>
      </c>
      <c r="N1851" s="769"/>
      <c r="O1851" s="73"/>
      <c r="P1851" s="73"/>
      <c r="Q1851" s="73"/>
      <c r="R1851" s="73"/>
      <c r="S1851" s="73"/>
      <c r="T1851" s="73"/>
      <c r="U1851" s="73"/>
      <c r="V1851" s="73"/>
      <c r="W1851" s="73"/>
      <c r="X1851" s="73"/>
      <c r="Y1851" s="73"/>
      <c r="AC1851" s="39" t="str">
        <f t="shared" si="218"/>
        <v>ПШ35651</v>
      </c>
      <c r="AD1851" s="76"/>
    </row>
    <row r="1852" spans="1:30" s="6" customFormat="1" ht="20.100000000000001" customHeight="1" x14ac:dyDescent="0.25">
      <c r="A1852" s="631" t="s">
        <v>6087</v>
      </c>
      <c r="B1852" s="76"/>
      <c r="C1852" s="76"/>
      <c r="D1852" s="84" t="s">
        <v>6051</v>
      </c>
      <c r="E1852" s="4"/>
      <c r="F1852" s="101" t="s">
        <v>6257</v>
      </c>
      <c r="G1852" s="75" t="s">
        <v>6063</v>
      </c>
      <c r="H1852" s="4"/>
      <c r="I1852" s="73"/>
      <c r="J1852" s="73"/>
      <c r="K1852" s="74" t="s">
        <v>6257</v>
      </c>
      <c r="L1852" s="75">
        <v>1765110773</v>
      </c>
      <c r="M1852" s="75">
        <v>1765110773</v>
      </c>
      <c r="N1852" s="769"/>
      <c r="O1852" s="73"/>
      <c r="P1852" s="73"/>
      <c r="Q1852" s="73"/>
      <c r="R1852" s="73"/>
      <c r="S1852" s="73"/>
      <c r="T1852" s="73"/>
      <c r="U1852" s="73"/>
      <c r="V1852" s="73"/>
      <c r="W1852" s="73"/>
      <c r="X1852" s="73"/>
      <c r="Y1852" s="73"/>
      <c r="AC1852" s="39" t="str">
        <f t="shared" si="218"/>
        <v>ПШ35653</v>
      </c>
      <c r="AD1852" s="76"/>
    </row>
    <row r="1853" spans="1:30" s="6" customFormat="1" ht="20.100000000000001" customHeight="1" x14ac:dyDescent="0.25">
      <c r="A1853" s="631" t="s">
        <v>6088</v>
      </c>
      <c r="B1853" s="76"/>
      <c r="C1853" s="76"/>
      <c r="D1853" s="84" t="s">
        <v>6052</v>
      </c>
      <c r="E1853" s="4"/>
      <c r="F1853" s="101" t="s">
        <v>6258</v>
      </c>
      <c r="G1853" s="75" t="s">
        <v>6064</v>
      </c>
      <c r="H1853" s="4"/>
      <c r="I1853" s="73"/>
      <c r="J1853" s="73"/>
      <c r="K1853" s="74" t="s">
        <v>6258</v>
      </c>
      <c r="L1853" s="75">
        <v>1764845097</v>
      </c>
      <c r="M1853" s="75">
        <v>1764845097</v>
      </c>
      <c r="N1853" s="769"/>
      <c r="O1853" s="73"/>
      <c r="P1853" s="73"/>
      <c r="Q1853" s="73"/>
      <c r="R1853" s="73"/>
      <c r="S1853" s="73"/>
      <c r="T1853" s="73"/>
      <c r="U1853" s="73"/>
      <c r="V1853" s="73"/>
      <c r="W1853" s="73"/>
      <c r="X1853" s="73"/>
      <c r="Y1853" s="73"/>
      <c r="AC1853" s="39" t="str">
        <f t="shared" si="218"/>
        <v>ПШ35753</v>
      </c>
      <c r="AD1853" s="76"/>
    </row>
    <row r="1854" spans="1:30" s="6" customFormat="1" ht="20.100000000000001" customHeight="1" x14ac:dyDescent="0.25">
      <c r="A1854" s="631" t="s">
        <v>6089</v>
      </c>
      <c r="B1854" s="76"/>
      <c r="C1854" s="76"/>
      <c r="D1854" s="84" t="s">
        <v>6053</v>
      </c>
      <c r="E1854" s="4"/>
      <c r="F1854" s="101" t="s">
        <v>6259</v>
      </c>
      <c r="G1854" s="75" t="s">
        <v>6065</v>
      </c>
      <c r="H1854" s="4"/>
      <c r="I1854" s="73"/>
      <c r="J1854" s="73"/>
      <c r="K1854" s="74" t="s">
        <v>6259</v>
      </c>
      <c r="L1854" s="75">
        <v>1764942355</v>
      </c>
      <c r="M1854" s="75">
        <v>1764942355</v>
      </c>
      <c r="N1854" s="769"/>
      <c r="O1854" s="73"/>
      <c r="P1854" s="73"/>
      <c r="Q1854" s="73"/>
      <c r="R1854" s="73"/>
      <c r="S1854" s="73"/>
      <c r="T1854" s="73"/>
      <c r="U1854" s="73"/>
      <c r="V1854" s="73"/>
      <c r="W1854" s="73"/>
      <c r="X1854" s="73"/>
      <c r="Y1854" s="73"/>
      <c r="AC1854" s="39" t="str">
        <f t="shared" si="218"/>
        <v>ПШ35751</v>
      </c>
      <c r="AD1854" s="76"/>
    </row>
    <row r="1855" spans="1:30" s="6" customFormat="1" ht="20.100000000000001" customHeight="1" x14ac:dyDescent="0.25">
      <c r="A1855" s="631" t="s">
        <v>6090</v>
      </c>
      <c r="B1855" s="76"/>
      <c r="C1855" s="76"/>
      <c r="D1855" s="84" t="s">
        <v>6054</v>
      </c>
      <c r="E1855" s="4"/>
      <c r="F1855" s="101" t="s">
        <v>6260</v>
      </c>
      <c r="G1855" s="75" t="s">
        <v>6066</v>
      </c>
      <c r="H1855" s="4"/>
      <c r="I1855" s="73"/>
      <c r="J1855" s="73"/>
      <c r="K1855" s="74"/>
      <c r="L1855" s="75"/>
      <c r="M1855" s="75"/>
      <c r="N1855" s="769"/>
      <c r="O1855" s="73"/>
      <c r="P1855" s="73"/>
      <c r="Q1855" s="73"/>
      <c r="R1855" s="73"/>
      <c r="S1855" s="73"/>
      <c r="T1855" s="73"/>
      <c r="U1855" s="73"/>
      <c r="V1855" s="73"/>
      <c r="W1855" s="73"/>
      <c r="X1855" s="73"/>
      <c r="Y1855" s="73"/>
      <c r="AC1855" s="39" t="str">
        <f t="shared" si="218"/>
        <v>ПШ35750</v>
      </c>
      <c r="AD1855" s="76"/>
    </row>
    <row r="1856" spans="1:30" s="6" customFormat="1" ht="20.100000000000001" customHeight="1" x14ac:dyDescent="0.25">
      <c r="A1856" s="631" t="s">
        <v>6091</v>
      </c>
      <c r="B1856" s="76"/>
      <c r="C1856" s="76"/>
      <c r="D1856" s="84" t="s">
        <v>6055</v>
      </c>
      <c r="E1856" s="4"/>
      <c r="F1856" s="101" t="s">
        <v>6261</v>
      </c>
      <c r="G1856" s="75" t="s">
        <v>6067</v>
      </c>
      <c r="H1856" s="4"/>
      <c r="I1856" s="73"/>
      <c r="J1856" s="73"/>
      <c r="K1856" s="74" t="s">
        <v>6261</v>
      </c>
      <c r="L1856" s="75">
        <v>1767269550</v>
      </c>
      <c r="M1856" s="75">
        <v>1767269550</v>
      </c>
      <c r="N1856" s="769"/>
      <c r="O1856" s="73"/>
      <c r="P1856" s="73"/>
      <c r="Q1856" s="73"/>
      <c r="R1856" s="73"/>
      <c r="S1856" s="73"/>
      <c r="T1856" s="73"/>
      <c r="U1856" s="73"/>
      <c r="V1856" s="73"/>
      <c r="W1856" s="73"/>
      <c r="X1856" s="73"/>
      <c r="Y1856" s="73"/>
      <c r="AC1856" s="39" t="str">
        <f t="shared" si="218"/>
        <v>ПШ27975</v>
      </c>
      <c r="AD1856" s="76"/>
    </row>
    <row r="1857" spans="1:30" s="6" customFormat="1" ht="20.100000000000001" customHeight="1" x14ac:dyDescent="0.25">
      <c r="A1857" s="631" t="s">
        <v>6092</v>
      </c>
      <c r="B1857" s="76"/>
      <c r="C1857" s="76"/>
      <c r="D1857" s="84" t="s">
        <v>6056</v>
      </c>
      <c r="E1857" s="4"/>
      <c r="F1857" s="101" t="s">
        <v>6262</v>
      </c>
      <c r="G1857" s="75" t="s">
        <v>6068</v>
      </c>
      <c r="H1857" s="4"/>
      <c r="I1857" s="73"/>
      <c r="J1857" s="73"/>
      <c r="K1857" s="74" t="s">
        <v>6262</v>
      </c>
      <c r="L1857" s="75">
        <v>1767294818</v>
      </c>
      <c r="M1857" s="75">
        <v>1767294818</v>
      </c>
      <c r="N1857" s="769"/>
      <c r="O1857" s="73"/>
      <c r="P1857" s="73"/>
      <c r="Q1857" s="73"/>
      <c r="R1857" s="73"/>
      <c r="S1857" s="73"/>
      <c r="T1857" s="73"/>
      <c r="U1857" s="73"/>
      <c r="V1857" s="73"/>
      <c r="W1857" s="73"/>
      <c r="X1857" s="73"/>
      <c r="Y1857" s="73"/>
      <c r="AC1857" s="39" t="str">
        <f t="shared" si="218"/>
        <v>ПШ27954</v>
      </c>
      <c r="AD1857" s="76"/>
    </row>
    <row r="1858" spans="1:30" s="6" customFormat="1" ht="20.100000000000001" customHeight="1" x14ac:dyDescent="0.25">
      <c r="A1858" s="631" t="s">
        <v>6093</v>
      </c>
      <c r="B1858" s="76"/>
      <c r="C1858" s="76"/>
      <c r="D1858" s="84" t="s">
        <v>6058</v>
      </c>
      <c r="E1858" s="4"/>
      <c r="F1858" s="101" t="s">
        <v>6263</v>
      </c>
      <c r="G1858" s="75" t="s">
        <v>6069</v>
      </c>
      <c r="H1858" s="4"/>
      <c r="I1858" s="73"/>
      <c r="J1858" s="73"/>
      <c r="K1858" s="74" t="s">
        <v>6263</v>
      </c>
      <c r="L1858" s="75">
        <v>1767280291</v>
      </c>
      <c r="M1858" s="75">
        <v>1767280291</v>
      </c>
      <c r="N1858" s="769"/>
      <c r="O1858" s="73"/>
      <c r="P1858" s="73"/>
      <c r="Q1858" s="73"/>
      <c r="R1858" s="73"/>
      <c r="S1858" s="73"/>
      <c r="T1858" s="73"/>
      <c r="U1858" s="73"/>
      <c r="V1858" s="73"/>
      <c r="W1858" s="73"/>
      <c r="X1858" s="73"/>
      <c r="Y1858" s="73"/>
      <c r="AC1858" s="39" t="str">
        <f t="shared" si="218"/>
        <v>ПШ27154</v>
      </c>
      <c r="AD1858" s="76"/>
    </row>
    <row r="1859" spans="1:30" s="6" customFormat="1" ht="20.100000000000001" customHeight="1" x14ac:dyDescent="0.25">
      <c r="A1859" s="631" t="s">
        <v>6171</v>
      </c>
      <c r="B1859" s="103"/>
      <c r="C1859" s="103"/>
      <c r="D1859" s="107" t="s">
        <v>6142</v>
      </c>
      <c r="E1859" s="4"/>
      <c r="F1859" s="101" t="s">
        <v>6139</v>
      </c>
      <c r="G1859" s="102" t="s">
        <v>6151</v>
      </c>
      <c r="H1859" s="4"/>
      <c r="I1859" s="100"/>
      <c r="J1859" s="100"/>
      <c r="K1859" s="54" t="s">
        <v>6139</v>
      </c>
      <c r="L1859" s="102">
        <v>1342990608</v>
      </c>
      <c r="M1859" s="102">
        <v>1342990608</v>
      </c>
      <c r="N1859" s="780"/>
      <c r="O1859" s="100"/>
      <c r="P1859" s="100"/>
      <c r="Q1859" s="100"/>
      <c r="R1859" s="100"/>
      <c r="S1859" s="100"/>
      <c r="T1859" s="100"/>
      <c r="U1859" s="100"/>
      <c r="V1859" s="100"/>
      <c r="W1859" s="100"/>
      <c r="X1859" s="100"/>
      <c r="Y1859" s="100"/>
      <c r="AC1859" s="39" t="str">
        <f t="shared" si="218"/>
        <v>ПШ27115</v>
      </c>
      <c r="AD1859" s="103"/>
    </row>
    <row r="1860" spans="1:30" s="6" customFormat="1" ht="20.100000000000001" customHeight="1" x14ac:dyDescent="0.25">
      <c r="A1860" s="631" t="s">
        <v>6172</v>
      </c>
      <c r="B1860" s="103"/>
      <c r="C1860" s="103"/>
      <c r="D1860" s="107" t="s">
        <v>6143</v>
      </c>
      <c r="E1860" s="4"/>
      <c r="F1860" s="101" t="s">
        <v>6140</v>
      </c>
      <c r="G1860" s="102" t="s">
        <v>6152</v>
      </c>
      <c r="H1860" s="4"/>
      <c r="I1860" s="100"/>
      <c r="J1860" s="100"/>
      <c r="K1860" s="54" t="s">
        <v>6140</v>
      </c>
      <c r="L1860" s="102">
        <v>1342989789</v>
      </c>
      <c r="M1860" s="102">
        <v>1342989789</v>
      </c>
      <c r="N1860" s="780"/>
      <c r="O1860" s="100"/>
      <c r="P1860" s="100"/>
      <c r="Q1860" s="100"/>
      <c r="R1860" s="100"/>
      <c r="S1860" s="100"/>
      <c r="T1860" s="100"/>
      <c r="U1860" s="100"/>
      <c r="V1860" s="100"/>
      <c r="W1860" s="100"/>
      <c r="X1860" s="100"/>
      <c r="Y1860" s="100"/>
      <c r="AC1860" s="39" t="str">
        <f t="shared" si="218"/>
        <v>ПШ14213</v>
      </c>
      <c r="AD1860" s="103"/>
    </row>
    <row r="1861" spans="1:30" s="6" customFormat="1" ht="20.100000000000001" customHeight="1" x14ac:dyDescent="0.25">
      <c r="A1861" s="631" t="s">
        <v>6277</v>
      </c>
      <c r="B1861" s="103"/>
      <c r="C1861" s="103"/>
      <c r="D1861" s="107" t="s">
        <v>6144</v>
      </c>
      <c r="E1861" s="4"/>
      <c r="F1861" s="101" t="s">
        <v>6141</v>
      </c>
      <c r="G1861" s="102" t="s">
        <v>6153</v>
      </c>
      <c r="H1861" s="4"/>
      <c r="I1861" s="100"/>
      <c r="J1861" s="100"/>
      <c r="K1861" s="54" t="s">
        <v>6141</v>
      </c>
      <c r="L1861" s="102">
        <v>1431020376</v>
      </c>
      <c r="M1861" s="102">
        <v>1431020376</v>
      </c>
      <c r="N1861" s="780"/>
      <c r="O1861" s="100"/>
      <c r="P1861" s="100"/>
      <c r="Q1861" s="100"/>
      <c r="R1861" s="100"/>
      <c r="S1861" s="100"/>
      <c r="T1861" s="100"/>
      <c r="U1861" s="100"/>
      <c r="V1861" s="100"/>
      <c r="W1861" s="100"/>
      <c r="X1861" s="100"/>
      <c r="Y1861" s="100"/>
      <c r="AC1861" s="39" t="str">
        <f t="shared" si="218"/>
        <v>ПШ27158</v>
      </c>
      <c r="AD1861" s="103"/>
    </row>
    <row r="1862" spans="1:30" s="6" customFormat="1" ht="20.100000000000001" customHeight="1" x14ac:dyDescent="0.25">
      <c r="A1862" s="631" t="s">
        <v>6278</v>
      </c>
      <c r="B1862" s="103"/>
      <c r="C1862" s="103"/>
      <c r="D1862" s="107" t="s">
        <v>6271</v>
      </c>
      <c r="E1862" s="4"/>
      <c r="F1862" s="101" t="s">
        <v>6273</v>
      </c>
      <c r="G1862" s="102" t="s">
        <v>6270</v>
      </c>
      <c r="H1862" s="100"/>
      <c r="I1862" s="100"/>
      <c r="J1862" s="100"/>
      <c r="K1862" s="101" t="s">
        <v>6273</v>
      </c>
      <c r="L1862" s="102">
        <v>1767272224</v>
      </c>
      <c r="M1862" s="102">
        <v>1767272224</v>
      </c>
      <c r="N1862" s="780"/>
      <c r="O1862" s="100"/>
      <c r="P1862" s="100"/>
      <c r="Q1862" s="100"/>
      <c r="R1862" s="100"/>
      <c r="S1862" s="100"/>
      <c r="T1862" s="100"/>
      <c r="U1862" s="100"/>
      <c r="V1862" s="100"/>
      <c r="W1862" s="100"/>
      <c r="X1862" s="100"/>
      <c r="Y1862" s="100"/>
      <c r="AC1862" s="39" t="str">
        <f t="shared" si="218"/>
        <v>ПШ27974</v>
      </c>
      <c r="AD1862" s="103"/>
    </row>
    <row r="1863" spans="1:30" s="6" customFormat="1" ht="20.100000000000001" customHeight="1" x14ac:dyDescent="0.25">
      <c r="A1863" s="631" t="s">
        <v>6279</v>
      </c>
      <c r="B1863" s="103"/>
      <c r="C1863" s="103"/>
      <c r="D1863" s="107" t="s">
        <v>6272</v>
      </c>
      <c r="E1863" s="4"/>
      <c r="F1863" s="101" t="s">
        <v>6274</v>
      </c>
      <c r="G1863" s="102" t="s">
        <v>6275</v>
      </c>
      <c r="H1863" s="100"/>
      <c r="I1863" s="100"/>
      <c r="J1863" s="100"/>
      <c r="K1863" s="101" t="s">
        <v>6274</v>
      </c>
      <c r="L1863" s="102">
        <v>1765085267</v>
      </c>
      <c r="M1863" s="102">
        <v>1765085267</v>
      </c>
      <c r="N1863" s="780"/>
      <c r="O1863" s="100"/>
      <c r="P1863" s="100"/>
      <c r="Q1863" s="100"/>
      <c r="R1863" s="100"/>
      <c r="S1863" s="100"/>
      <c r="T1863" s="100"/>
      <c r="U1863" s="100"/>
      <c r="V1863" s="100"/>
      <c r="W1863" s="100"/>
      <c r="X1863" s="100"/>
      <c r="Y1863" s="100"/>
      <c r="AC1863" s="39" t="str">
        <f t="shared" si="218"/>
        <v>ПШ28075</v>
      </c>
      <c r="AD1863" s="103"/>
    </row>
    <row r="1864" spans="1:30" s="6" customFormat="1" ht="20.100000000000001" customHeight="1" x14ac:dyDescent="0.25">
      <c r="A1864" s="631" t="s">
        <v>6282</v>
      </c>
      <c r="B1864" s="103"/>
      <c r="C1864" s="103"/>
      <c r="D1864" s="107" t="s">
        <v>6280</v>
      </c>
      <c r="E1864" s="4"/>
      <c r="F1864" s="101" t="s">
        <v>6281</v>
      </c>
      <c r="G1864" s="102" t="s">
        <v>6283</v>
      </c>
      <c r="H1864" s="100"/>
      <c r="I1864" s="100"/>
      <c r="J1864" s="100"/>
      <c r="K1864" s="101" t="s">
        <v>7489</v>
      </c>
      <c r="L1864" s="102">
        <v>1765090618</v>
      </c>
      <c r="M1864" s="102">
        <v>1765090618</v>
      </c>
      <c r="N1864" s="780"/>
      <c r="O1864" s="100"/>
      <c r="P1864" s="100"/>
      <c r="Q1864" s="100"/>
      <c r="R1864" s="100"/>
      <c r="S1864" s="100"/>
      <c r="T1864" s="100"/>
      <c r="U1864" s="100"/>
      <c r="V1864" s="100"/>
      <c r="W1864" s="100"/>
      <c r="X1864" s="100"/>
      <c r="Y1864" s="100"/>
      <c r="AC1864" s="39" t="str">
        <f t="shared" si="218"/>
        <v>ПШ275</v>
      </c>
      <c r="AD1864" s="103"/>
    </row>
    <row r="1865" spans="1:30" s="6" customFormat="1" ht="20.100000000000001" customHeight="1" x14ac:dyDescent="0.25">
      <c r="A1865" s="631" t="s">
        <v>7490</v>
      </c>
      <c r="B1865" s="121"/>
      <c r="C1865" s="121"/>
      <c r="D1865" s="130" t="s">
        <v>7488</v>
      </c>
      <c r="E1865" s="124"/>
      <c r="F1865" s="125" t="s">
        <v>7489</v>
      </c>
      <c r="G1865" s="126" t="s">
        <v>7487</v>
      </c>
      <c r="H1865" s="124"/>
      <c r="I1865" s="124"/>
      <c r="J1865" s="124"/>
      <c r="K1865" s="125" t="s">
        <v>7489</v>
      </c>
      <c r="L1865" s="126">
        <v>1765090618</v>
      </c>
      <c r="M1865" s="126">
        <v>1765090618</v>
      </c>
      <c r="N1865" s="811"/>
      <c r="O1865" s="124"/>
      <c r="P1865" s="124"/>
      <c r="Q1865" s="124"/>
      <c r="R1865" s="124"/>
      <c r="S1865" s="124"/>
      <c r="T1865" s="124"/>
      <c r="U1865" s="124"/>
      <c r="V1865" s="124"/>
      <c r="W1865" s="124"/>
      <c r="X1865" s="124"/>
      <c r="Y1865" s="124"/>
      <c r="AC1865" s="39" t="str">
        <f t="shared" si="218"/>
        <v>ПШ28074</v>
      </c>
      <c r="AD1865" s="121"/>
    </row>
    <row r="1866" spans="1:30" s="6" customFormat="1" ht="20.100000000000001" customHeight="1" x14ac:dyDescent="0.25">
      <c r="A1866" s="631" t="s">
        <v>6173</v>
      </c>
      <c r="B1866" s="103"/>
      <c r="C1866" s="103"/>
      <c r="D1866" s="107">
        <v>2481</v>
      </c>
      <c r="E1866" s="4"/>
      <c r="F1866" s="101">
        <v>2481</v>
      </c>
      <c r="G1866" s="102" t="s">
        <v>6154</v>
      </c>
      <c r="H1866" s="4"/>
      <c r="I1866" s="100"/>
      <c r="J1866" s="100"/>
      <c r="K1866" s="101"/>
      <c r="L1866" s="102"/>
      <c r="M1866" s="102"/>
      <c r="N1866" s="780"/>
      <c r="O1866" s="100"/>
      <c r="P1866" s="100"/>
      <c r="Q1866" s="100"/>
      <c r="R1866" s="100"/>
      <c r="S1866" s="100"/>
      <c r="T1866" s="100"/>
      <c r="U1866" s="100"/>
      <c r="V1866" s="100"/>
      <c r="W1866" s="100"/>
      <c r="X1866" s="100"/>
      <c r="Y1866" s="100"/>
      <c r="AC1866" s="39">
        <f t="shared" si="218"/>
        <v>2481</v>
      </c>
      <c r="AD1866" s="103"/>
    </row>
    <row r="1867" spans="1:30" s="6" customFormat="1" ht="20.100000000000001" customHeight="1" x14ac:dyDescent="0.25">
      <c r="A1867" s="631" t="s">
        <v>6174</v>
      </c>
      <c r="B1867" s="103"/>
      <c r="C1867" s="103"/>
      <c r="D1867" s="107">
        <v>2404</v>
      </c>
      <c r="E1867" s="4"/>
      <c r="F1867" s="101" t="s">
        <v>7801</v>
      </c>
      <c r="G1867" s="102" t="s">
        <v>6167</v>
      </c>
      <c r="H1867" s="4"/>
      <c r="I1867" s="100"/>
      <c r="J1867" s="100"/>
      <c r="K1867" s="101"/>
      <c r="L1867" s="102"/>
      <c r="M1867" s="102"/>
      <c r="N1867" s="780"/>
      <c r="O1867" s="100"/>
      <c r="P1867" s="100"/>
      <c r="Q1867" s="100"/>
      <c r="R1867" s="100"/>
      <c r="S1867" s="100"/>
      <c r="T1867" s="100"/>
      <c r="U1867" s="100"/>
      <c r="V1867" s="100"/>
      <c r="W1867" s="100"/>
      <c r="X1867" s="100"/>
      <c r="Y1867" s="100"/>
      <c r="AC1867" s="39">
        <f t="shared" si="218"/>
        <v>2404</v>
      </c>
      <c r="AD1867" s="103"/>
    </row>
    <row r="1868" spans="1:30" s="6" customFormat="1" ht="20.100000000000001" customHeight="1" x14ac:dyDescent="0.25">
      <c r="A1868" s="631" t="s">
        <v>8455</v>
      </c>
      <c r="B1868" s="447"/>
      <c r="C1868" s="13" t="s">
        <v>2582</v>
      </c>
      <c r="D1868" s="448" t="s">
        <v>8449</v>
      </c>
      <c r="E1868" s="4">
        <v>24</v>
      </c>
      <c r="F1868" s="450" t="s">
        <v>8454</v>
      </c>
      <c r="G1868" s="451"/>
      <c r="H1868" s="449"/>
      <c r="I1868" s="449"/>
      <c r="J1868" s="449"/>
      <c r="K1868" s="450"/>
      <c r="L1868" s="451"/>
      <c r="M1868" s="451"/>
      <c r="N1868" s="888"/>
      <c r="O1868" s="449"/>
      <c r="P1868" s="449"/>
      <c r="Q1868" s="449"/>
      <c r="R1868" s="449"/>
      <c r="S1868" s="449"/>
      <c r="T1868" s="449"/>
      <c r="U1868" s="449"/>
      <c r="V1868" s="449"/>
      <c r="W1868" s="449"/>
      <c r="X1868" s="449"/>
      <c r="Y1868" s="449"/>
      <c r="AC1868" s="39" t="str">
        <f t="shared" ref="AC1868:AC1930" si="219">D1868</f>
        <v>3895.25/01</v>
      </c>
      <c r="AD1868" s="447"/>
    </row>
    <row r="1869" spans="1:30" s="6" customFormat="1" ht="20.100000000000001" customHeight="1" x14ac:dyDescent="0.25">
      <c r="A1869" s="631" t="s">
        <v>8456</v>
      </c>
      <c r="B1869" s="447"/>
      <c r="C1869" s="13" t="s">
        <v>2582</v>
      </c>
      <c r="D1869" s="452" t="s">
        <v>8450</v>
      </c>
      <c r="E1869" s="4">
        <v>24</v>
      </c>
      <c r="F1869" s="450" t="s">
        <v>8457</v>
      </c>
      <c r="G1869" s="451"/>
      <c r="H1869" s="449"/>
      <c r="I1869" s="449"/>
      <c r="J1869" s="449"/>
      <c r="K1869" s="450"/>
      <c r="L1869" s="451"/>
      <c r="M1869" s="451"/>
      <c r="N1869" s="888"/>
      <c r="O1869" s="449"/>
      <c r="P1869" s="449"/>
      <c r="Q1869" s="449"/>
      <c r="R1869" s="449"/>
      <c r="S1869" s="449"/>
      <c r="T1869" s="449"/>
      <c r="U1869" s="449"/>
      <c r="V1869" s="449"/>
      <c r="W1869" s="449"/>
      <c r="X1869" s="449"/>
      <c r="Y1869" s="449"/>
      <c r="AC1869" s="39" t="str">
        <f t="shared" si="219"/>
        <v>3895.05/01</v>
      </c>
      <c r="AD1869" s="447"/>
    </row>
    <row r="1870" spans="1:30" s="6" customFormat="1" ht="20.100000000000001" customHeight="1" x14ac:dyDescent="0.25">
      <c r="A1870" s="631" t="s">
        <v>8458</v>
      </c>
      <c r="B1870" s="447"/>
      <c r="C1870" s="13" t="s">
        <v>2582</v>
      </c>
      <c r="D1870" s="452" t="s">
        <v>8451</v>
      </c>
      <c r="E1870" s="4">
        <v>24</v>
      </c>
      <c r="F1870" s="450" t="s">
        <v>8460</v>
      </c>
      <c r="G1870" s="451"/>
      <c r="H1870" s="449"/>
      <c r="I1870" s="449"/>
      <c r="J1870" s="449"/>
      <c r="K1870" s="450"/>
      <c r="L1870" s="451"/>
      <c r="M1870" s="451"/>
      <c r="N1870" s="888"/>
      <c r="O1870" s="449"/>
      <c r="P1870" s="449"/>
      <c r="Q1870" s="449"/>
      <c r="R1870" s="449"/>
      <c r="S1870" s="449"/>
      <c r="T1870" s="449"/>
      <c r="U1870" s="449"/>
      <c r="V1870" s="449"/>
      <c r="W1870" s="449"/>
      <c r="X1870" s="449"/>
      <c r="Y1870" s="449"/>
      <c r="AC1870" s="39" t="str">
        <f t="shared" si="219"/>
        <v>3895.06/01</v>
      </c>
      <c r="AD1870" s="447"/>
    </row>
    <row r="1871" spans="1:30" s="6" customFormat="1" ht="20.100000000000001" customHeight="1" x14ac:dyDescent="0.25">
      <c r="A1871" s="631" t="s">
        <v>8459</v>
      </c>
      <c r="B1871" s="447"/>
      <c r="C1871" s="13" t="s">
        <v>2582</v>
      </c>
      <c r="D1871" s="452" t="s">
        <v>8452</v>
      </c>
      <c r="E1871" s="4">
        <v>24</v>
      </c>
      <c r="F1871" s="450" t="s">
        <v>8461</v>
      </c>
      <c r="G1871" s="451"/>
      <c r="H1871" s="449"/>
      <c r="I1871" s="449"/>
      <c r="J1871" s="449"/>
      <c r="K1871" s="450"/>
      <c r="L1871" s="451"/>
      <c r="M1871" s="451"/>
      <c r="N1871" s="888"/>
      <c r="O1871" s="449"/>
      <c r="P1871" s="449"/>
      <c r="Q1871" s="449"/>
      <c r="R1871" s="449"/>
      <c r="S1871" s="449"/>
      <c r="T1871" s="449"/>
      <c r="U1871" s="449"/>
      <c r="V1871" s="449"/>
      <c r="W1871" s="449"/>
      <c r="X1871" s="449"/>
      <c r="Y1871" s="449"/>
      <c r="AC1871" s="39" t="str">
        <f t="shared" si="219"/>
        <v>3895.01/01</v>
      </c>
      <c r="AD1871" s="447"/>
    </row>
    <row r="1872" spans="1:30" s="6" customFormat="1" ht="20.100000000000001" customHeight="1" x14ac:dyDescent="0.25">
      <c r="A1872" s="631"/>
      <c r="B1872" s="447"/>
      <c r="C1872" s="447"/>
      <c r="D1872" s="448"/>
      <c r="E1872" s="449"/>
      <c r="F1872" s="450"/>
      <c r="G1872" s="451"/>
      <c r="H1872" s="449"/>
      <c r="I1872" s="449"/>
      <c r="J1872" s="449"/>
      <c r="K1872" s="450"/>
      <c r="L1872" s="451"/>
      <c r="M1872" s="451"/>
      <c r="N1872" s="888"/>
      <c r="O1872" s="449"/>
      <c r="P1872" s="449"/>
      <c r="Q1872" s="449"/>
      <c r="R1872" s="449"/>
      <c r="S1872" s="449"/>
      <c r="T1872" s="449"/>
      <c r="U1872" s="449"/>
      <c r="V1872" s="449"/>
      <c r="W1872" s="449"/>
      <c r="X1872" s="449"/>
      <c r="Y1872" s="449"/>
      <c r="AC1872" s="39">
        <f t="shared" si="219"/>
        <v>0</v>
      </c>
      <c r="AD1872" s="447"/>
    </row>
    <row r="1873" spans="1:30" s="6" customFormat="1" ht="20.100000000000001" customHeight="1" outlineLevel="1" x14ac:dyDescent="0.2">
      <c r="A1873" s="754" t="s">
        <v>4589</v>
      </c>
      <c r="B1873" s="754" t="s">
        <v>4588</v>
      </c>
      <c r="C1873" s="3"/>
      <c r="D1873" s="40"/>
      <c r="E1873" s="4"/>
      <c r="F1873" s="101"/>
      <c r="G1873" s="57"/>
      <c r="H1873" s="4"/>
      <c r="I1873" s="4"/>
      <c r="J1873" s="4"/>
      <c r="K1873" s="54"/>
      <c r="L1873" s="57"/>
      <c r="M1873" s="57"/>
      <c r="N1873" s="766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AC1873" s="39">
        <f t="shared" si="219"/>
        <v>0</v>
      </c>
      <c r="AD1873" s="3"/>
    </row>
    <row r="1874" spans="1:30" s="6" customFormat="1" ht="20.100000000000001" customHeight="1" outlineLevel="1" x14ac:dyDescent="0.25">
      <c r="A1874" s="738" t="s">
        <v>4532</v>
      </c>
      <c r="B1874" s="3"/>
      <c r="C1874" s="3"/>
      <c r="D1874" s="40" t="s">
        <v>4465</v>
      </c>
      <c r="E1874" s="4"/>
      <c r="F1874" s="101"/>
      <c r="G1874" s="57"/>
      <c r="H1874" s="4"/>
      <c r="I1874" s="4"/>
      <c r="J1874" s="4"/>
      <c r="K1874" s="54"/>
      <c r="L1874" s="57"/>
      <c r="M1874" s="57"/>
      <c r="N1874" s="766"/>
      <c r="O1874" s="4"/>
      <c r="P1874" s="4"/>
      <c r="Q1874" s="4"/>
      <c r="R1874" s="4"/>
      <c r="S1874" s="4"/>
      <c r="T1874" s="4"/>
      <c r="U1874" s="4"/>
      <c r="V1874" s="4"/>
      <c r="W1874" s="4"/>
      <c r="X1874" s="4" t="s">
        <v>4465</v>
      </c>
      <c r="Y1874" s="4"/>
      <c r="AC1874" s="39" t="str">
        <f t="shared" si="219"/>
        <v>YL0777</v>
      </c>
      <c r="AD1874" s="3"/>
    </row>
    <row r="1875" spans="1:30" s="6" customFormat="1" ht="20.100000000000001" customHeight="1" outlineLevel="1" x14ac:dyDescent="0.25">
      <c r="A1875" s="738" t="s">
        <v>1676</v>
      </c>
      <c r="B1875" s="3"/>
      <c r="C1875" s="3"/>
      <c r="D1875" s="40" t="s">
        <v>4466</v>
      </c>
      <c r="E1875" s="4"/>
      <c r="F1875" s="101"/>
      <c r="G1875" s="57"/>
      <c r="H1875" s="4"/>
      <c r="I1875" s="4"/>
      <c r="J1875" s="4"/>
      <c r="K1875" s="54"/>
      <c r="L1875" s="57"/>
      <c r="M1875" s="57"/>
      <c r="N1875" s="766"/>
      <c r="O1875" s="4"/>
      <c r="P1875" s="4"/>
      <c r="Q1875" s="4"/>
      <c r="R1875" s="4"/>
      <c r="S1875" s="4"/>
      <c r="T1875" s="4"/>
      <c r="U1875" s="4"/>
      <c r="V1875" s="4"/>
      <c r="W1875" s="4"/>
      <c r="X1875" s="4" t="s">
        <v>4466</v>
      </c>
      <c r="Y1875" s="4"/>
      <c r="AB1875" s="6" t="s">
        <v>435</v>
      </c>
      <c r="AC1875" s="39" t="str">
        <f t="shared" si="219"/>
        <v>YL135450</v>
      </c>
      <c r="AD1875" s="3"/>
    </row>
    <row r="1876" spans="1:30" s="6" customFormat="1" ht="20.100000000000001" customHeight="1" outlineLevel="1" x14ac:dyDescent="0.25">
      <c r="A1876" s="738" t="s">
        <v>3308</v>
      </c>
      <c r="B1876" s="3"/>
      <c r="C1876" s="3"/>
      <c r="D1876" s="40" t="s">
        <v>4467</v>
      </c>
      <c r="E1876" s="4"/>
      <c r="F1876" s="101"/>
      <c r="G1876" s="57"/>
      <c r="H1876" s="4"/>
      <c r="I1876" s="4"/>
      <c r="J1876" s="4"/>
      <c r="K1876" s="54"/>
      <c r="L1876" s="57"/>
      <c r="M1876" s="57"/>
      <c r="N1876" s="766"/>
      <c r="O1876" s="4"/>
      <c r="P1876" s="4"/>
      <c r="Q1876" s="4"/>
      <c r="R1876" s="4"/>
      <c r="S1876" s="4"/>
      <c r="T1876" s="4"/>
      <c r="U1876" s="4"/>
      <c r="V1876" s="4"/>
      <c r="W1876" s="4"/>
      <c r="X1876" s="4" t="s">
        <v>4467</v>
      </c>
      <c r="Y1876" s="4"/>
      <c r="AB1876" s="6" t="s">
        <v>435</v>
      </c>
      <c r="AC1876" s="39" t="str">
        <f t="shared" si="219"/>
        <v>YL135520</v>
      </c>
      <c r="AD1876" s="3"/>
    </row>
    <row r="1877" spans="1:30" s="6" customFormat="1" ht="20.100000000000001" customHeight="1" outlineLevel="1" x14ac:dyDescent="0.25">
      <c r="A1877" s="738" t="s">
        <v>4533</v>
      </c>
      <c r="B1877" s="3"/>
      <c r="C1877" s="3"/>
      <c r="D1877" s="40" t="s">
        <v>4468</v>
      </c>
      <c r="E1877" s="4"/>
      <c r="F1877" s="101"/>
      <c r="G1877" s="57"/>
      <c r="H1877" s="4"/>
      <c r="I1877" s="4"/>
      <c r="J1877" s="4"/>
      <c r="K1877" s="54"/>
      <c r="L1877" s="57"/>
      <c r="M1877" s="57"/>
      <c r="N1877" s="766"/>
      <c r="O1877" s="4"/>
      <c r="P1877" s="4"/>
      <c r="Q1877" s="4"/>
      <c r="R1877" s="4"/>
      <c r="S1877" s="4"/>
      <c r="T1877" s="4"/>
      <c r="U1877" s="4"/>
      <c r="V1877" s="4"/>
      <c r="W1877" s="4"/>
      <c r="X1877" s="4" t="s">
        <v>4468</v>
      </c>
      <c r="Y1877" s="4"/>
      <c r="AB1877" s="6" t="s">
        <v>435</v>
      </c>
      <c r="AC1877" s="39" t="str">
        <f t="shared" si="219"/>
        <v>YL1355201</v>
      </c>
      <c r="AD1877" s="3"/>
    </row>
    <row r="1878" spans="1:30" s="6" customFormat="1" ht="20.100000000000001" customHeight="1" outlineLevel="1" x14ac:dyDescent="0.25">
      <c r="A1878" s="738" t="s">
        <v>4534</v>
      </c>
      <c r="B1878" s="3"/>
      <c r="C1878" s="3"/>
      <c r="D1878" s="40" t="s">
        <v>4469</v>
      </c>
      <c r="E1878" s="4"/>
      <c r="F1878" s="101"/>
      <c r="G1878" s="57"/>
      <c r="H1878" s="4"/>
      <c r="I1878" s="4"/>
      <c r="J1878" s="4"/>
      <c r="K1878" s="54"/>
      <c r="L1878" s="57"/>
      <c r="M1878" s="57"/>
      <c r="N1878" s="766"/>
      <c r="O1878" s="4"/>
      <c r="P1878" s="4"/>
      <c r="Q1878" s="4"/>
      <c r="R1878" s="4"/>
      <c r="S1878" s="4"/>
      <c r="T1878" s="4"/>
      <c r="U1878" s="4"/>
      <c r="V1878" s="4"/>
      <c r="W1878" s="4"/>
      <c r="X1878" s="4" t="s">
        <v>4469</v>
      </c>
      <c r="Y1878" s="4"/>
      <c r="AB1878" s="6" t="s">
        <v>435</v>
      </c>
      <c r="AC1878" s="39" t="str">
        <f t="shared" si="219"/>
        <v>YL1355202</v>
      </c>
      <c r="AD1878" s="3"/>
    </row>
    <row r="1879" spans="1:30" s="6" customFormat="1" ht="20.100000000000001" customHeight="1" outlineLevel="1" x14ac:dyDescent="0.25">
      <c r="A1879" s="738" t="s">
        <v>4535</v>
      </c>
      <c r="B1879" s="3"/>
      <c r="C1879" s="3"/>
      <c r="D1879" s="39" t="s">
        <v>4470</v>
      </c>
      <c r="E1879" s="4"/>
      <c r="F1879" s="101"/>
      <c r="G1879" s="57"/>
      <c r="H1879" s="4"/>
      <c r="I1879" s="4"/>
      <c r="J1879" s="4"/>
      <c r="K1879" s="54"/>
      <c r="L1879" s="57"/>
      <c r="M1879" s="57"/>
      <c r="N1879" s="766"/>
      <c r="O1879" s="4"/>
      <c r="P1879" s="4"/>
      <c r="Q1879" s="4"/>
      <c r="R1879" s="4"/>
      <c r="S1879" s="4"/>
      <c r="T1879" s="4"/>
      <c r="U1879" s="4"/>
      <c r="V1879" s="4"/>
      <c r="W1879" s="4"/>
      <c r="X1879" s="4" t="s">
        <v>4470</v>
      </c>
      <c r="Y1879" s="4"/>
      <c r="AB1879" s="6" t="s">
        <v>435</v>
      </c>
      <c r="AC1879" s="39" t="str">
        <f t="shared" si="219"/>
        <v>YL135521</v>
      </c>
      <c r="AD1879" s="3"/>
    </row>
    <row r="1880" spans="1:30" s="6" customFormat="1" ht="20.100000000000001" customHeight="1" outlineLevel="1" x14ac:dyDescent="0.25">
      <c r="A1880" s="738" t="s">
        <v>4536</v>
      </c>
      <c r="B1880" s="3"/>
      <c r="C1880" s="3"/>
      <c r="D1880" s="881" t="s">
        <v>4471</v>
      </c>
      <c r="E1880" s="4"/>
      <c r="F1880" s="101"/>
      <c r="G1880" s="57"/>
      <c r="H1880" s="4"/>
      <c r="I1880" s="4"/>
      <c r="J1880" s="4"/>
      <c r="K1880" s="54"/>
      <c r="L1880" s="57"/>
      <c r="M1880" s="57"/>
      <c r="N1880" s="766"/>
      <c r="O1880" s="4"/>
      <c r="P1880" s="4"/>
      <c r="Q1880" s="4"/>
      <c r="R1880" s="4"/>
      <c r="S1880" s="4"/>
      <c r="T1880" s="4"/>
      <c r="U1880" s="4"/>
      <c r="V1880" s="4"/>
      <c r="W1880" s="4"/>
      <c r="X1880" s="4" t="s">
        <v>4471</v>
      </c>
      <c r="Y1880" s="4"/>
      <c r="AB1880" s="6" t="s">
        <v>435</v>
      </c>
      <c r="AC1880" s="39" t="str">
        <f t="shared" si="219"/>
        <v>YL1355211</v>
      </c>
      <c r="AD1880" s="3"/>
    </row>
    <row r="1881" spans="1:30" s="6" customFormat="1" ht="20.100000000000001" customHeight="1" outlineLevel="1" x14ac:dyDescent="0.25">
      <c r="A1881" s="738" t="s">
        <v>4537</v>
      </c>
      <c r="B1881" s="3"/>
      <c r="C1881" s="3"/>
      <c r="D1881" s="40" t="s">
        <v>4472</v>
      </c>
      <c r="E1881" s="4"/>
      <c r="F1881" s="101"/>
      <c r="G1881" s="57"/>
      <c r="H1881" s="4"/>
      <c r="I1881" s="4"/>
      <c r="J1881" s="4"/>
      <c r="K1881" s="54"/>
      <c r="L1881" s="57"/>
      <c r="M1881" s="57"/>
      <c r="N1881" s="766"/>
      <c r="O1881" s="4"/>
      <c r="P1881" s="4"/>
      <c r="Q1881" s="4"/>
      <c r="R1881" s="4"/>
      <c r="S1881" s="4"/>
      <c r="T1881" s="4"/>
      <c r="U1881" s="4"/>
      <c r="V1881" s="4"/>
      <c r="W1881" s="4"/>
      <c r="X1881" s="4" t="s">
        <v>4472</v>
      </c>
      <c r="Y1881" s="4"/>
      <c r="AB1881" s="6" t="s">
        <v>435</v>
      </c>
      <c r="AC1881" s="39" t="str">
        <f t="shared" si="219"/>
        <v>YL135522</v>
      </c>
      <c r="AD1881" s="3"/>
    </row>
    <row r="1882" spans="1:30" s="6" customFormat="1" ht="20.100000000000001" customHeight="1" outlineLevel="1" x14ac:dyDescent="0.25">
      <c r="A1882" s="738" t="s">
        <v>4538</v>
      </c>
      <c r="B1882" s="3"/>
      <c r="C1882" s="3"/>
      <c r="D1882" s="40" t="s">
        <v>4473</v>
      </c>
      <c r="E1882" s="4"/>
      <c r="F1882" s="101"/>
      <c r="G1882" s="57"/>
      <c r="H1882" s="4"/>
      <c r="I1882" s="4"/>
      <c r="J1882" s="4"/>
      <c r="K1882" s="54"/>
      <c r="L1882" s="57"/>
      <c r="M1882" s="57"/>
      <c r="N1882" s="766"/>
      <c r="O1882" s="4"/>
      <c r="P1882" s="4"/>
      <c r="Q1882" s="4"/>
      <c r="R1882" s="4"/>
      <c r="S1882" s="4"/>
      <c r="T1882" s="4"/>
      <c r="U1882" s="4"/>
      <c r="V1882" s="4"/>
      <c r="W1882" s="4"/>
      <c r="X1882" s="4" t="s">
        <v>4473</v>
      </c>
      <c r="Y1882" s="4"/>
      <c r="AB1882" s="6" t="s">
        <v>435</v>
      </c>
      <c r="AC1882" s="39" t="str">
        <f t="shared" si="219"/>
        <v>YL135523</v>
      </c>
      <c r="AD1882" s="3"/>
    </row>
    <row r="1883" spans="1:30" s="6" customFormat="1" ht="20.100000000000001" customHeight="1" outlineLevel="1" x14ac:dyDescent="0.25">
      <c r="A1883" s="738" t="s">
        <v>4539</v>
      </c>
      <c r="B1883" s="3"/>
      <c r="C1883" s="3"/>
      <c r="D1883" s="40" t="s">
        <v>4474</v>
      </c>
      <c r="E1883" s="4"/>
      <c r="F1883" s="101"/>
      <c r="G1883" s="57"/>
      <c r="H1883" s="4"/>
      <c r="I1883" s="4"/>
      <c r="J1883" s="4"/>
      <c r="K1883" s="54"/>
      <c r="L1883" s="57"/>
      <c r="M1883" s="57"/>
      <c r="N1883" s="766"/>
      <c r="O1883" s="4"/>
      <c r="P1883" s="4"/>
      <c r="Q1883" s="4"/>
      <c r="R1883" s="4"/>
      <c r="S1883" s="4"/>
      <c r="T1883" s="4"/>
      <c r="U1883" s="4"/>
      <c r="V1883" s="4"/>
      <c r="W1883" s="4"/>
      <c r="X1883" s="4" t="s">
        <v>4474</v>
      </c>
      <c r="Y1883" s="4"/>
      <c r="AB1883" s="6" t="s">
        <v>435</v>
      </c>
      <c r="AC1883" s="39" t="str">
        <f t="shared" si="219"/>
        <v>YL135524</v>
      </c>
      <c r="AD1883" s="3"/>
    </row>
    <row r="1884" spans="1:30" s="6" customFormat="1" ht="20.100000000000001" customHeight="1" outlineLevel="1" x14ac:dyDescent="0.25">
      <c r="A1884" s="738" t="s">
        <v>4540</v>
      </c>
      <c r="B1884" s="3"/>
      <c r="C1884" s="3"/>
      <c r="D1884" s="881" t="s">
        <v>4475</v>
      </c>
      <c r="E1884" s="4"/>
      <c r="F1884" s="101"/>
      <c r="G1884" s="57"/>
      <c r="H1884" s="4"/>
      <c r="I1884" s="4"/>
      <c r="J1884" s="4"/>
      <c r="K1884" s="54"/>
      <c r="L1884" s="57"/>
      <c r="M1884" s="57"/>
      <c r="N1884" s="766"/>
      <c r="O1884" s="4"/>
      <c r="P1884" s="4"/>
      <c r="Q1884" s="4"/>
      <c r="R1884" s="4"/>
      <c r="S1884" s="4"/>
      <c r="T1884" s="4"/>
      <c r="U1884" s="4"/>
      <c r="V1884" s="4"/>
      <c r="W1884" s="4"/>
      <c r="X1884" s="4" t="s">
        <v>4475</v>
      </c>
      <c r="Y1884" s="4"/>
      <c r="AB1884" s="6" t="s">
        <v>435</v>
      </c>
      <c r="AC1884" s="39" t="str">
        <f t="shared" si="219"/>
        <v>YL135525</v>
      </c>
      <c r="AD1884" s="3"/>
    </row>
    <row r="1885" spans="1:30" s="6" customFormat="1" ht="20.100000000000001" customHeight="1" outlineLevel="1" x14ac:dyDescent="0.25">
      <c r="A1885" s="738" t="s">
        <v>4541</v>
      </c>
      <c r="B1885" s="3"/>
      <c r="C1885" s="3"/>
      <c r="D1885" s="40" t="s">
        <v>4476</v>
      </c>
      <c r="E1885" s="4"/>
      <c r="F1885" s="101"/>
      <c r="G1885" s="57"/>
      <c r="H1885" s="4"/>
      <c r="I1885" s="4"/>
      <c r="J1885" s="4"/>
      <c r="K1885" s="54"/>
      <c r="L1885" s="57"/>
      <c r="M1885" s="57"/>
      <c r="N1885" s="766"/>
      <c r="O1885" s="4"/>
      <c r="P1885" s="4"/>
      <c r="Q1885" s="4"/>
      <c r="R1885" s="4"/>
      <c r="S1885" s="4"/>
      <c r="T1885" s="4"/>
      <c r="U1885" s="4"/>
      <c r="V1885" s="4"/>
      <c r="W1885" s="4"/>
      <c r="X1885" s="4" t="s">
        <v>4476</v>
      </c>
      <c r="Y1885" s="4"/>
      <c r="AB1885" s="6" t="s">
        <v>435</v>
      </c>
      <c r="AC1885" s="39" t="str">
        <f t="shared" si="219"/>
        <v>YL1355250</v>
      </c>
      <c r="AD1885" s="3"/>
    </row>
    <row r="1886" spans="1:30" s="6" customFormat="1" ht="20.100000000000001" customHeight="1" outlineLevel="1" x14ac:dyDescent="0.25">
      <c r="A1886" s="738" t="s">
        <v>4542</v>
      </c>
      <c r="B1886" s="3"/>
      <c r="C1886" s="3"/>
      <c r="D1886" s="39" t="s">
        <v>4477</v>
      </c>
      <c r="E1886" s="4"/>
      <c r="F1886" s="101"/>
      <c r="G1886" s="57"/>
      <c r="H1886" s="4"/>
      <c r="I1886" s="4"/>
      <c r="J1886" s="4"/>
      <c r="K1886" s="54"/>
      <c r="L1886" s="57"/>
      <c r="M1886" s="57"/>
      <c r="N1886" s="766"/>
      <c r="O1886" s="4"/>
      <c r="P1886" s="4"/>
      <c r="Q1886" s="4"/>
      <c r="R1886" s="4"/>
      <c r="S1886" s="4"/>
      <c r="T1886" s="4"/>
      <c r="U1886" s="4"/>
      <c r="V1886" s="4"/>
      <c r="W1886" s="4"/>
      <c r="X1886" s="4" t="s">
        <v>4477</v>
      </c>
      <c r="Y1886" s="4"/>
      <c r="AB1886" s="6" t="s">
        <v>435</v>
      </c>
      <c r="AC1886" s="39" t="str">
        <f t="shared" si="219"/>
        <v>YL135526</v>
      </c>
      <c r="AD1886" s="3"/>
    </row>
    <row r="1887" spans="1:30" s="6" customFormat="1" ht="20.100000000000001" customHeight="1" outlineLevel="1" x14ac:dyDescent="0.25">
      <c r="A1887" s="738" t="s">
        <v>4543</v>
      </c>
      <c r="B1887" s="3"/>
      <c r="C1887" s="3"/>
      <c r="D1887" s="40" t="s">
        <v>4478</v>
      </c>
      <c r="E1887" s="4"/>
      <c r="F1887" s="101"/>
      <c r="G1887" s="57"/>
      <c r="H1887" s="4"/>
      <c r="I1887" s="4"/>
      <c r="J1887" s="4"/>
      <c r="K1887" s="54"/>
      <c r="L1887" s="57"/>
      <c r="M1887" s="57"/>
      <c r="N1887" s="766"/>
      <c r="O1887" s="4"/>
      <c r="P1887" s="4"/>
      <c r="Q1887" s="4"/>
      <c r="R1887" s="4"/>
      <c r="S1887" s="4"/>
      <c r="T1887" s="4"/>
      <c r="U1887" s="4"/>
      <c r="V1887" s="4"/>
      <c r="W1887" s="4"/>
      <c r="X1887" s="4" t="s">
        <v>4478</v>
      </c>
      <c r="Y1887" s="4"/>
      <c r="AB1887" s="6" t="s">
        <v>435</v>
      </c>
      <c r="AC1887" s="39" t="str">
        <f t="shared" si="219"/>
        <v>YL1355277</v>
      </c>
      <c r="AD1887" s="3"/>
    </row>
    <row r="1888" spans="1:30" s="6" customFormat="1" ht="20.100000000000001" customHeight="1" outlineLevel="1" x14ac:dyDescent="0.25">
      <c r="A1888" s="738" t="s">
        <v>4544</v>
      </c>
      <c r="B1888" s="3"/>
      <c r="C1888" s="3"/>
      <c r="D1888" s="40" t="s">
        <v>4479</v>
      </c>
      <c r="E1888" s="4"/>
      <c r="F1888" s="101"/>
      <c r="G1888" s="57"/>
      <c r="H1888" s="4"/>
      <c r="I1888" s="4"/>
      <c r="J1888" s="4"/>
      <c r="K1888" s="54"/>
      <c r="L1888" s="57"/>
      <c r="M1888" s="57"/>
      <c r="N1888" s="766"/>
      <c r="O1888" s="4"/>
      <c r="P1888" s="4"/>
      <c r="Q1888" s="4"/>
      <c r="R1888" s="4"/>
      <c r="S1888" s="4"/>
      <c r="T1888" s="4"/>
      <c r="U1888" s="4"/>
      <c r="V1888" s="4"/>
      <c r="W1888" s="4"/>
      <c r="X1888" s="4" t="s">
        <v>4479</v>
      </c>
      <c r="Y1888" s="4"/>
      <c r="AC1888" s="39" t="str">
        <f t="shared" si="219"/>
        <v>YL135531</v>
      </c>
      <c r="AD1888" s="3"/>
    </row>
    <row r="1889" spans="1:30" s="6" customFormat="1" ht="20.100000000000001" customHeight="1" outlineLevel="1" x14ac:dyDescent="0.25">
      <c r="A1889" s="738" t="s">
        <v>4545</v>
      </c>
      <c r="B1889" s="3"/>
      <c r="C1889" s="3"/>
      <c r="D1889" s="40" t="s">
        <v>4480</v>
      </c>
      <c r="E1889" s="4"/>
      <c r="F1889" s="101"/>
      <c r="G1889" s="57"/>
      <c r="H1889" s="4"/>
      <c r="I1889" s="4"/>
      <c r="J1889" s="4"/>
      <c r="K1889" s="54"/>
      <c r="L1889" s="57"/>
      <c r="M1889" s="57"/>
      <c r="N1889" s="766"/>
      <c r="O1889" s="4"/>
      <c r="P1889" s="4"/>
      <c r="Q1889" s="4"/>
      <c r="R1889" s="4"/>
      <c r="S1889" s="4"/>
      <c r="T1889" s="4"/>
      <c r="U1889" s="4"/>
      <c r="V1889" s="4"/>
      <c r="W1889" s="4"/>
      <c r="X1889" s="4" t="s">
        <v>4480</v>
      </c>
      <c r="Y1889" s="4"/>
      <c r="AC1889" s="39" t="str">
        <f t="shared" si="219"/>
        <v>YL135534</v>
      </c>
      <c r="AD1889" s="3"/>
    </row>
    <row r="1890" spans="1:30" s="6" customFormat="1" ht="20.100000000000001" customHeight="1" outlineLevel="1" x14ac:dyDescent="0.25">
      <c r="A1890" s="738" t="s">
        <v>4546</v>
      </c>
      <c r="B1890" s="3"/>
      <c r="C1890" s="3"/>
      <c r="D1890" s="40" t="s">
        <v>4481</v>
      </c>
      <c r="E1890" s="4"/>
      <c r="F1890" s="101"/>
      <c r="G1890" s="57"/>
      <c r="H1890" s="4"/>
      <c r="I1890" s="4"/>
      <c r="J1890" s="4"/>
      <c r="K1890" s="54"/>
      <c r="L1890" s="57"/>
      <c r="M1890" s="57"/>
      <c r="N1890" s="766"/>
      <c r="O1890" s="4"/>
      <c r="P1890" s="4"/>
      <c r="Q1890" s="4"/>
      <c r="R1890" s="4"/>
      <c r="S1890" s="4"/>
      <c r="T1890" s="4"/>
      <c r="U1890" s="4"/>
      <c r="V1890" s="4"/>
      <c r="W1890" s="4"/>
      <c r="X1890" s="4" t="s">
        <v>4481</v>
      </c>
      <c r="Y1890" s="4"/>
      <c r="AC1890" s="39" t="str">
        <f t="shared" si="219"/>
        <v>YL1355340</v>
      </c>
      <c r="AD1890" s="3"/>
    </row>
    <row r="1891" spans="1:30" s="6" customFormat="1" ht="20.100000000000001" customHeight="1" outlineLevel="1" x14ac:dyDescent="0.25">
      <c r="A1891" s="738" t="s">
        <v>4547</v>
      </c>
      <c r="B1891" s="3"/>
      <c r="C1891" s="3"/>
      <c r="D1891" s="40" t="s">
        <v>4482</v>
      </c>
      <c r="E1891" s="4"/>
      <c r="F1891" s="101"/>
      <c r="G1891" s="57"/>
      <c r="H1891" s="4"/>
      <c r="I1891" s="4"/>
      <c r="J1891" s="4"/>
      <c r="K1891" s="54"/>
      <c r="L1891" s="57"/>
      <c r="M1891" s="57"/>
      <c r="N1891" s="766"/>
      <c r="O1891" s="4"/>
      <c r="P1891" s="4"/>
      <c r="Q1891" s="4"/>
      <c r="R1891" s="4"/>
      <c r="S1891" s="4"/>
      <c r="T1891" s="4"/>
      <c r="U1891" s="4"/>
      <c r="V1891" s="4"/>
      <c r="W1891" s="4"/>
      <c r="X1891" s="4" t="s">
        <v>4482</v>
      </c>
      <c r="Y1891" s="4"/>
      <c r="AC1891" s="39" t="str">
        <f t="shared" si="219"/>
        <v>YL1355341</v>
      </c>
      <c r="AD1891" s="3"/>
    </row>
    <row r="1892" spans="1:30" s="6" customFormat="1" ht="20.100000000000001" customHeight="1" outlineLevel="1" x14ac:dyDescent="0.25">
      <c r="A1892" s="738" t="s">
        <v>4548</v>
      </c>
      <c r="B1892" s="3"/>
      <c r="C1892" s="3"/>
      <c r="D1892" s="40" t="s">
        <v>4483</v>
      </c>
      <c r="E1892" s="4"/>
      <c r="F1892" s="101"/>
      <c r="G1892" s="57"/>
      <c r="H1892" s="4"/>
      <c r="I1892" s="4"/>
      <c r="J1892" s="4"/>
      <c r="K1892" s="54"/>
      <c r="L1892" s="57"/>
      <c r="M1892" s="57"/>
      <c r="N1892" s="766"/>
      <c r="O1892" s="4"/>
      <c r="P1892" s="4"/>
      <c r="Q1892" s="4"/>
      <c r="R1892" s="4"/>
      <c r="S1892" s="4"/>
      <c r="T1892" s="4"/>
      <c r="U1892" s="4"/>
      <c r="V1892" s="4"/>
      <c r="W1892" s="4"/>
      <c r="X1892" s="4" t="s">
        <v>4483</v>
      </c>
      <c r="Y1892" s="4"/>
      <c r="AC1892" s="39" t="str">
        <f t="shared" si="219"/>
        <v>YL1355343</v>
      </c>
      <c r="AD1892" s="3"/>
    </row>
    <row r="1893" spans="1:30" s="6" customFormat="1" ht="20.100000000000001" customHeight="1" outlineLevel="1" x14ac:dyDescent="0.25">
      <c r="A1893" s="738" t="s">
        <v>4549</v>
      </c>
      <c r="B1893" s="3"/>
      <c r="C1893" s="3"/>
      <c r="D1893" s="40" t="s">
        <v>4484</v>
      </c>
      <c r="E1893" s="4"/>
      <c r="F1893" s="101"/>
      <c r="G1893" s="57"/>
      <c r="H1893" s="4"/>
      <c r="I1893" s="4"/>
      <c r="J1893" s="4"/>
      <c r="K1893" s="54"/>
      <c r="L1893" s="57"/>
      <c r="M1893" s="57"/>
      <c r="N1893" s="766"/>
      <c r="O1893" s="4"/>
      <c r="P1893" s="4"/>
      <c r="Q1893" s="4"/>
      <c r="R1893" s="4"/>
      <c r="S1893" s="4"/>
      <c r="T1893" s="4"/>
      <c r="U1893" s="4"/>
      <c r="V1893" s="4"/>
      <c r="W1893" s="4"/>
      <c r="X1893" s="4" t="s">
        <v>4484</v>
      </c>
      <c r="Y1893" s="4"/>
      <c r="AC1893" s="39" t="str">
        <f t="shared" si="219"/>
        <v>YL1355345</v>
      </c>
      <c r="AD1893" s="3"/>
    </row>
    <row r="1894" spans="1:30" s="6" customFormat="1" ht="20.100000000000001" customHeight="1" outlineLevel="1" x14ac:dyDescent="0.25">
      <c r="A1894" s="738" t="s">
        <v>4550</v>
      </c>
      <c r="B1894" s="3"/>
      <c r="C1894" s="3"/>
      <c r="D1894" s="40" t="s">
        <v>4485</v>
      </c>
      <c r="E1894" s="4"/>
      <c r="F1894" s="101"/>
      <c r="G1894" s="57"/>
      <c r="H1894" s="4"/>
      <c r="I1894" s="4"/>
      <c r="J1894" s="4"/>
      <c r="K1894" s="54"/>
      <c r="L1894" s="57"/>
      <c r="M1894" s="57"/>
      <c r="N1894" s="766"/>
      <c r="O1894" s="4"/>
      <c r="P1894" s="4"/>
      <c r="Q1894" s="4"/>
      <c r="R1894" s="4"/>
      <c r="S1894" s="4"/>
      <c r="T1894" s="4"/>
      <c r="U1894" s="4"/>
      <c r="V1894" s="4"/>
      <c r="W1894" s="4"/>
      <c r="X1894" s="4" t="s">
        <v>4485</v>
      </c>
      <c r="Y1894" s="4"/>
      <c r="AC1894" s="39" t="str">
        <f t="shared" si="219"/>
        <v>YL135535</v>
      </c>
      <c r="AD1894" s="3"/>
    </row>
    <row r="1895" spans="1:30" s="6" customFormat="1" ht="20.100000000000001" customHeight="1" outlineLevel="1" x14ac:dyDescent="0.25">
      <c r="A1895" s="738" t="s">
        <v>4551</v>
      </c>
      <c r="B1895" s="3"/>
      <c r="C1895" s="3"/>
      <c r="D1895" s="40" t="s">
        <v>4486</v>
      </c>
      <c r="E1895" s="4"/>
      <c r="F1895" s="101"/>
      <c r="G1895" s="57"/>
      <c r="H1895" s="4"/>
      <c r="I1895" s="4"/>
      <c r="J1895" s="4"/>
      <c r="K1895" s="54"/>
      <c r="L1895" s="57"/>
      <c r="M1895" s="57"/>
      <c r="N1895" s="766"/>
      <c r="O1895" s="4"/>
      <c r="P1895" s="4"/>
      <c r="Q1895" s="4"/>
      <c r="R1895" s="4"/>
      <c r="S1895" s="4"/>
      <c r="T1895" s="4"/>
      <c r="U1895" s="4"/>
      <c r="V1895" s="4"/>
      <c r="W1895" s="4"/>
      <c r="X1895" s="4" t="s">
        <v>4486</v>
      </c>
      <c r="Y1895" s="4"/>
      <c r="AC1895" s="39" t="str">
        <f t="shared" si="219"/>
        <v>YL1355380</v>
      </c>
      <c r="AD1895" s="3"/>
    </row>
    <row r="1896" spans="1:30" s="6" customFormat="1" ht="20.100000000000001" customHeight="1" outlineLevel="1" x14ac:dyDescent="0.25">
      <c r="A1896" s="738" t="s">
        <v>4552</v>
      </c>
      <c r="B1896" s="3"/>
      <c r="C1896" s="3"/>
      <c r="D1896" s="40" t="s">
        <v>4487</v>
      </c>
      <c r="E1896" s="4"/>
      <c r="F1896" s="101"/>
      <c r="G1896" s="57"/>
      <c r="H1896" s="4"/>
      <c r="I1896" s="4"/>
      <c r="J1896" s="4"/>
      <c r="K1896" s="54"/>
      <c r="L1896" s="57"/>
      <c r="M1896" s="57"/>
      <c r="N1896" s="766"/>
      <c r="O1896" s="4"/>
      <c r="P1896" s="4"/>
      <c r="Q1896" s="4"/>
      <c r="R1896" s="4"/>
      <c r="S1896" s="4"/>
      <c r="T1896" s="4"/>
      <c r="U1896" s="4"/>
      <c r="V1896" s="4"/>
      <c r="W1896" s="4"/>
      <c r="X1896" s="4" t="s">
        <v>4487</v>
      </c>
      <c r="Y1896" s="4"/>
      <c r="AC1896" s="39" t="str">
        <f t="shared" si="219"/>
        <v>YL1355390</v>
      </c>
      <c r="AD1896" s="3"/>
    </row>
    <row r="1897" spans="1:30" s="6" customFormat="1" ht="20.100000000000001" customHeight="1" outlineLevel="1" x14ac:dyDescent="0.25">
      <c r="A1897" s="738" t="s">
        <v>3771</v>
      </c>
      <c r="B1897" s="3"/>
      <c r="C1897" s="3"/>
      <c r="D1897" s="40" t="s">
        <v>4488</v>
      </c>
      <c r="E1897" s="4"/>
      <c r="F1897" s="101"/>
      <c r="G1897" s="57"/>
      <c r="H1897" s="4"/>
      <c r="I1897" s="4"/>
      <c r="J1897" s="4"/>
      <c r="K1897" s="54"/>
      <c r="L1897" s="57"/>
      <c r="M1897" s="57"/>
      <c r="N1897" s="766"/>
      <c r="O1897" s="4"/>
      <c r="P1897" s="4"/>
      <c r="Q1897" s="4"/>
      <c r="R1897" s="4"/>
      <c r="S1897" s="4"/>
      <c r="T1897" s="4"/>
      <c r="U1897" s="4"/>
      <c r="V1897" s="4"/>
      <c r="W1897" s="4"/>
      <c r="X1897" s="4" t="s">
        <v>4488</v>
      </c>
      <c r="Y1897" s="4"/>
      <c r="AC1897" s="39" t="str">
        <f t="shared" si="219"/>
        <v>YL1355395</v>
      </c>
      <c r="AD1897" s="3"/>
    </row>
    <row r="1898" spans="1:30" s="6" customFormat="1" ht="20.100000000000001" customHeight="1" outlineLevel="1" x14ac:dyDescent="0.25">
      <c r="A1898" s="738" t="s">
        <v>4553</v>
      </c>
      <c r="B1898" s="3"/>
      <c r="C1898" s="3"/>
      <c r="D1898" s="40" t="s">
        <v>4489</v>
      </c>
      <c r="E1898" s="4"/>
      <c r="F1898" s="101"/>
      <c r="G1898" s="57"/>
      <c r="H1898" s="4"/>
      <c r="I1898" s="4"/>
      <c r="J1898" s="4"/>
      <c r="K1898" s="54"/>
      <c r="L1898" s="57"/>
      <c r="M1898" s="57"/>
      <c r="N1898" s="766"/>
      <c r="O1898" s="4"/>
      <c r="P1898" s="4"/>
      <c r="Q1898" s="4"/>
      <c r="R1898" s="4"/>
      <c r="S1898" s="4"/>
      <c r="T1898" s="4"/>
      <c r="U1898" s="4"/>
      <c r="V1898" s="4"/>
      <c r="W1898" s="4"/>
      <c r="X1898" s="4" t="s">
        <v>4489</v>
      </c>
      <c r="Y1898" s="4"/>
      <c r="AC1898" s="39" t="str">
        <f t="shared" si="219"/>
        <v>YL135542</v>
      </c>
      <c r="AD1898" s="3"/>
    </row>
    <row r="1899" spans="1:30" s="6" customFormat="1" ht="20.100000000000001" customHeight="1" outlineLevel="1" x14ac:dyDescent="0.25">
      <c r="A1899" s="738" t="s">
        <v>4554</v>
      </c>
      <c r="B1899" s="3"/>
      <c r="C1899" s="3"/>
      <c r="D1899" s="39" t="s">
        <v>4490</v>
      </c>
      <c r="E1899" s="4"/>
      <c r="F1899" s="101"/>
      <c r="G1899" s="57"/>
      <c r="H1899" s="4"/>
      <c r="I1899" s="4"/>
      <c r="J1899" s="4"/>
      <c r="K1899" s="54"/>
      <c r="L1899" s="57"/>
      <c r="M1899" s="57"/>
      <c r="N1899" s="766"/>
      <c r="O1899" s="4"/>
      <c r="P1899" s="4"/>
      <c r="Q1899" s="4"/>
      <c r="R1899" s="4"/>
      <c r="S1899" s="4"/>
      <c r="T1899" s="4"/>
      <c r="U1899" s="4"/>
      <c r="V1899" s="4"/>
      <c r="W1899" s="4"/>
      <c r="X1899" s="4" t="s">
        <v>4490</v>
      </c>
      <c r="Y1899" s="4"/>
      <c r="AB1899" s="6" t="s">
        <v>434</v>
      </c>
      <c r="AC1899" s="39" t="str">
        <f t="shared" si="219"/>
        <v>YL135566</v>
      </c>
      <c r="AD1899" s="3"/>
    </row>
    <row r="1900" spans="1:30" s="6" customFormat="1" ht="20.100000000000001" customHeight="1" outlineLevel="1" x14ac:dyDescent="0.25">
      <c r="A1900" s="738" t="s">
        <v>4555</v>
      </c>
      <c r="B1900" s="3"/>
      <c r="C1900" s="3"/>
      <c r="D1900" s="40" t="s">
        <v>4491</v>
      </c>
      <c r="E1900" s="4"/>
      <c r="F1900" s="101"/>
      <c r="G1900" s="57"/>
      <c r="H1900" s="4"/>
      <c r="I1900" s="4"/>
      <c r="J1900" s="4"/>
      <c r="K1900" s="54"/>
      <c r="L1900" s="57"/>
      <c r="M1900" s="57"/>
      <c r="N1900" s="766"/>
      <c r="O1900" s="4"/>
      <c r="P1900" s="4"/>
      <c r="Q1900" s="4"/>
      <c r="R1900" s="4"/>
      <c r="S1900" s="4"/>
      <c r="T1900" s="4"/>
      <c r="U1900" s="4"/>
      <c r="V1900" s="4"/>
      <c r="W1900" s="4"/>
      <c r="X1900" s="4" t="s">
        <v>4491</v>
      </c>
      <c r="Y1900" s="4"/>
      <c r="AB1900" s="6" t="s">
        <v>434</v>
      </c>
      <c r="AC1900" s="39" t="str">
        <f t="shared" si="219"/>
        <v>YL135568</v>
      </c>
      <c r="AD1900" s="3"/>
    </row>
    <row r="1901" spans="1:30" s="6" customFormat="1" ht="20.100000000000001" customHeight="1" outlineLevel="1" x14ac:dyDescent="0.25">
      <c r="A1901" s="738" t="s">
        <v>1571</v>
      </c>
      <c r="B1901" s="3"/>
      <c r="C1901" s="3"/>
      <c r="D1901" s="39" t="s">
        <v>4492</v>
      </c>
      <c r="E1901" s="4"/>
      <c r="F1901" s="101"/>
      <c r="G1901" s="57"/>
      <c r="H1901" s="4"/>
      <c r="I1901" s="4"/>
      <c r="J1901" s="4"/>
      <c r="K1901" s="54"/>
      <c r="L1901" s="57"/>
      <c r="M1901" s="57"/>
      <c r="N1901" s="766"/>
      <c r="O1901" s="4"/>
      <c r="P1901" s="4"/>
      <c r="Q1901" s="4"/>
      <c r="R1901" s="4"/>
      <c r="S1901" s="4"/>
      <c r="T1901" s="4"/>
      <c r="U1901" s="4"/>
      <c r="V1901" s="4"/>
      <c r="W1901" s="4"/>
      <c r="X1901" s="4" t="s">
        <v>4492</v>
      </c>
      <c r="Y1901" s="4"/>
      <c r="AB1901" s="6" t="s">
        <v>435</v>
      </c>
      <c r="AC1901" s="39" t="str">
        <f t="shared" si="219"/>
        <v>YL14015</v>
      </c>
      <c r="AD1901" s="3"/>
    </row>
    <row r="1902" spans="1:30" s="6" customFormat="1" ht="20.100000000000001" customHeight="1" outlineLevel="1" x14ac:dyDescent="0.25">
      <c r="A1902" s="738" t="s">
        <v>4556</v>
      </c>
      <c r="B1902" s="3"/>
      <c r="C1902" s="3"/>
      <c r="D1902" s="39" t="s">
        <v>4493</v>
      </c>
      <c r="E1902" s="4"/>
      <c r="F1902" s="101"/>
      <c r="G1902" s="57"/>
      <c r="H1902" s="4"/>
      <c r="I1902" s="4"/>
      <c r="J1902" s="4"/>
      <c r="K1902" s="54"/>
      <c r="L1902" s="57"/>
      <c r="M1902" s="57"/>
      <c r="N1902" s="766"/>
      <c r="O1902" s="4"/>
      <c r="P1902" s="4"/>
      <c r="Q1902" s="4"/>
      <c r="R1902" s="4"/>
      <c r="S1902" s="4"/>
      <c r="T1902" s="4"/>
      <c r="U1902" s="4"/>
      <c r="V1902" s="4"/>
      <c r="W1902" s="4"/>
      <c r="X1902" s="4" t="s">
        <v>4493</v>
      </c>
      <c r="Y1902" s="4"/>
      <c r="AB1902" s="6" t="s">
        <v>435</v>
      </c>
      <c r="AC1902" s="39" t="str">
        <f t="shared" si="219"/>
        <v>YL2496</v>
      </c>
      <c r="AD1902" s="3"/>
    </row>
    <row r="1903" spans="1:30" s="6" customFormat="1" ht="20.100000000000001" customHeight="1" outlineLevel="1" x14ac:dyDescent="0.25">
      <c r="A1903" s="738" t="s">
        <v>4557</v>
      </c>
      <c r="B1903" s="3"/>
      <c r="C1903" s="3"/>
      <c r="D1903" s="39" t="s">
        <v>4494</v>
      </c>
      <c r="E1903" s="4"/>
      <c r="F1903" s="101"/>
      <c r="G1903" s="57"/>
      <c r="H1903" s="4"/>
      <c r="I1903" s="4"/>
      <c r="J1903" s="4"/>
      <c r="K1903" s="54"/>
      <c r="L1903" s="57"/>
      <c r="M1903" s="57"/>
      <c r="N1903" s="766"/>
      <c r="O1903" s="4"/>
      <c r="P1903" s="4"/>
      <c r="Q1903" s="4"/>
      <c r="R1903" s="4"/>
      <c r="S1903" s="4"/>
      <c r="T1903" s="4"/>
      <c r="U1903" s="4"/>
      <c r="V1903" s="4"/>
      <c r="W1903" s="4"/>
      <c r="X1903" s="4" t="s">
        <v>4494</v>
      </c>
      <c r="Y1903" s="4"/>
      <c r="AB1903" s="6" t="s">
        <v>435</v>
      </c>
      <c r="AC1903" s="39" t="str">
        <f t="shared" si="219"/>
        <v>YL2497</v>
      </c>
      <c r="AD1903" s="3"/>
    </row>
    <row r="1904" spans="1:30" s="6" customFormat="1" ht="20.100000000000001" customHeight="1" outlineLevel="1" x14ac:dyDescent="0.25">
      <c r="A1904" s="738" t="s">
        <v>4558</v>
      </c>
      <c r="B1904" s="3"/>
      <c r="C1904" s="3"/>
      <c r="D1904" s="40" t="s">
        <v>4495</v>
      </c>
      <c r="E1904" s="4"/>
      <c r="F1904" s="101"/>
      <c r="G1904" s="57"/>
      <c r="H1904" s="4"/>
      <c r="I1904" s="4"/>
      <c r="J1904" s="4"/>
      <c r="K1904" s="54"/>
      <c r="L1904" s="57"/>
      <c r="M1904" s="57"/>
      <c r="N1904" s="766"/>
      <c r="O1904" s="4"/>
      <c r="P1904" s="4"/>
      <c r="Q1904" s="4"/>
      <c r="R1904" s="4"/>
      <c r="S1904" s="4"/>
      <c r="T1904" s="4"/>
      <c r="U1904" s="4"/>
      <c r="V1904" s="4"/>
      <c r="W1904" s="4"/>
      <c r="X1904" s="4" t="s">
        <v>4495</v>
      </c>
      <c r="Y1904" s="4"/>
      <c r="AB1904" s="6" t="s">
        <v>435</v>
      </c>
      <c r="AC1904" s="39" t="str">
        <f t="shared" si="219"/>
        <v>YL2498</v>
      </c>
      <c r="AD1904" s="3"/>
    </row>
    <row r="1905" spans="1:30" s="6" customFormat="1" ht="20.100000000000001" customHeight="1" outlineLevel="1" x14ac:dyDescent="0.25">
      <c r="A1905" s="738" t="s">
        <v>4559</v>
      </c>
      <c r="B1905" s="3"/>
      <c r="C1905" s="3"/>
      <c r="D1905" s="40" t="s">
        <v>4496</v>
      </c>
      <c r="E1905" s="4"/>
      <c r="F1905" s="101"/>
      <c r="G1905" s="57"/>
      <c r="H1905" s="4"/>
      <c r="I1905" s="4"/>
      <c r="J1905" s="4"/>
      <c r="K1905" s="54"/>
      <c r="L1905" s="57"/>
      <c r="M1905" s="57"/>
      <c r="N1905" s="766"/>
      <c r="O1905" s="4"/>
      <c r="P1905" s="4"/>
      <c r="Q1905" s="4"/>
      <c r="R1905" s="4"/>
      <c r="S1905" s="4"/>
      <c r="T1905" s="4"/>
      <c r="U1905" s="4"/>
      <c r="V1905" s="4"/>
      <c r="W1905" s="4"/>
      <c r="X1905" s="4" t="s">
        <v>4496</v>
      </c>
      <c r="Y1905" s="4"/>
      <c r="AB1905" s="6" t="s">
        <v>434</v>
      </c>
      <c r="AC1905" s="39" t="str">
        <f t="shared" si="219"/>
        <v>YL2603</v>
      </c>
      <c r="AD1905" s="3"/>
    </row>
    <row r="1906" spans="1:30" s="6" customFormat="1" ht="20.100000000000001" customHeight="1" outlineLevel="1" x14ac:dyDescent="0.25">
      <c r="A1906" s="738" t="s">
        <v>4560</v>
      </c>
      <c r="B1906" s="3"/>
      <c r="C1906" s="3"/>
      <c r="D1906" s="39" t="s">
        <v>4497</v>
      </c>
      <c r="E1906" s="4"/>
      <c r="F1906" s="101"/>
      <c r="G1906" s="57"/>
      <c r="H1906" s="4"/>
      <c r="I1906" s="4"/>
      <c r="J1906" s="4"/>
      <c r="K1906" s="54"/>
      <c r="L1906" s="57"/>
      <c r="M1906" s="57"/>
      <c r="N1906" s="766"/>
      <c r="O1906" s="4"/>
      <c r="P1906" s="4"/>
      <c r="Q1906" s="4"/>
      <c r="R1906" s="4"/>
      <c r="S1906" s="4"/>
      <c r="T1906" s="4"/>
      <c r="U1906" s="4"/>
      <c r="V1906" s="4"/>
      <c r="W1906" s="4"/>
      <c r="X1906" s="4" t="s">
        <v>4497</v>
      </c>
      <c r="Y1906" s="4"/>
      <c r="AB1906" s="6" t="s">
        <v>434</v>
      </c>
      <c r="AC1906" s="39" t="str">
        <f t="shared" si="219"/>
        <v>YL2611</v>
      </c>
      <c r="AD1906" s="3"/>
    </row>
    <row r="1907" spans="1:30" s="6" customFormat="1" ht="20.100000000000001" customHeight="1" outlineLevel="1" x14ac:dyDescent="0.25">
      <c r="A1907" s="738" t="s">
        <v>4561</v>
      </c>
      <c r="B1907" s="3"/>
      <c r="C1907" s="3"/>
      <c r="D1907" s="39" t="s">
        <v>4498</v>
      </c>
      <c r="E1907" s="4"/>
      <c r="F1907" s="101"/>
      <c r="G1907" s="57"/>
      <c r="H1907" s="4"/>
      <c r="I1907" s="4"/>
      <c r="J1907" s="4"/>
      <c r="K1907" s="54"/>
      <c r="L1907" s="57"/>
      <c r="M1907" s="57"/>
      <c r="N1907" s="766"/>
      <c r="O1907" s="4"/>
      <c r="P1907" s="4"/>
      <c r="Q1907" s="4"/>
      <c r="R1907" s="4"/>
      <c r="S1907" s="4"/>
      <c r="T1907" s="4"/>
      <c r="U1907" s="4"/>
      <c r="V1907" s="4"/>
      <c r="W1907" s="4"/>
      <c r="X1907" s="4" t="s">
        <v>4498</v>
      </c>
      <c r="Y1907" s="4"/>
      <c r="AB1907" s="6" t="s">
        <v>434</v>
      </c>
      <c r="AC1907" s="39" t="str">
        <f t="shared" si="219"/>
        <v>YL2693</v>
      </c>
      <c r="AD1907" s="3"/>
    </row>
    <row r="1908" spans="1:30" s="6" customFormat="1" ht="20.100000000000001" customHeight="1" outlineLevel="1" x14ac:dyDescent="0.25">
      <c r="A1908" s="738" t="s">
        <v>4562</v>
      </c>
      <c r="B1908" s="3"/>
      <c r="C1908" s="3"/>
      <c r="D1908" s="39" t="s">
        <v>4499</v>
      </c>
      <c r="E1908" s="4"/>
      <c r="F1908" s="101"/>
      <c r="G1908" s="57"/>
      <c r="H1908" s="4"/>
      <c r="I1908" s="4"/>
      <c r="J1908" s="4"/>
      <c r="K1908" s="54"/>
      <c r="L1908" s="57"/>
      <c r="M1908" s="57"/>
      <c r="N1908" s="766"/>
      <c r="O1908" s="4"/>
      <c r="P1908" s="4"/>
      <c r="Q1908" s="4"/>
      <c r="R1908" s="4"/>
      <c r="S1908" s="4"/>
      <c r="T1908" s="4"/>
      <c r="U1908" s="4"/>
      <c r="V1908" s="4"/>
      <c r="W1908" s="4"/>
      <c r="X1908" s="4" t="s">
        <v>4499</v>
      </c>
      <c r="Y1908" s="4"/>
      <c r="AB1908" s="6" t="s">
        <v>4351</v>
      </c>
      <c r="AC1908" s="39" t="str">
        <f t="shared" si="219"/>
        <v>YL2696</v>
      </c>
      <c r="AD1908" s="3"/>
    </row>
    <row r="1909" spans="1:30" s="6" customFormat="1" ht="20.100000000000001" customHeight="1" outlineLevel="1" x14ac:dyDescent="0.25">
      <c r="A1909" s="738" t="s">
        <v>4563</v>
      </c>
      <c r="B1909" s="3"/>
      <c r="C1909" s="3"/>
      <c r="D1909" s="39" t="s">
        <v>4500</v>
      </c>
      <c r="E1909" s="4"/>
      <c r="F1909" s="101">
        <v>2938</v>
      </c>
      <c r="G1909" s="57"/>
      <c r="H1909" s="4"/>
      <c r="I1909" s="4"/>
      <c r="J1909" s="4"/>
      <c r="K1909" s="54"/>
      <c r="L1909" s="57"/>
      <c r="M1909" s="57"/>
      <c r="N1909" s="766"/>
      <c r="O1909" s="4"/>
      <c r="P1909" s="4"/>
      <c r="Q1909" s="4"/>
      <c r="R1909" s="4"/>
      <c r="S1909" s="4"/>
      <c r="T1909" s="4"/>
      <c r="U1909" s="4"/>
      <c r="V1909" s="4"/>
      <c r="W1909" s="4"/>
      <c r="X1909" s="4" t="s">
        <v>4500</v>
      </c>
      <c r="Y1909" s="4"/>
      <c r="AB1909" s="6" t="s">
        <v>4351</v>
      </c>
      <c r="AC1909" s="39" t="str">
        <f t="shared" si="219"/>
        <v>YL2938</v>
      </c>
      <c r="AD1909" s="3"/>
    </row>
    <row r="1910" spans="1:30" s="6" customFormat="1" ht="20.100000000000001" customHeight="1" outlineLevel="1" x14ac:dyDescent="0.25">
      <c r="A1910" s="738" t="s">
        <v>4564</v>
      </c>
      <c r="B1910" s="3"/>
      <c r="C1910" s="3"/>
      <c r="D1910" s="39" t="s">
        <v>4501</v>
      </c>
      <c r="E1910" s="4"/>
      <c r="F1910" s="101">
        <v>2939</v>
      </c>
      <c r="G1910" s="57"/>
      <c r="H1910" s="4"/>
      <c r="I1910" s="4"/>
      <c r="J1910" s="4"/>
      <c r="K1910" s="54"/>
      <c r="L1910" s="57"/>
      <c r="M1910" s="57"/>
      <c r="N1910" s="766"/>
      <c r="O1910" s="4"/>
      <c r="P1910" s="4"/>
      <c r="Q1910" s="4"/>
      <c r="R1910" s="4"/>
      <c r="S1910" s="4"/>
      <c r="T1910" s="4"/>
      <c r="U1910" s="4"/>
      <c r="V1910" s="4"/>
      <c r="W1910" s="4"/>
      <c r="X1910" s="4" t="s">
        <v>4501</v>
      </c>
      <c r="Y1910" s="4"/>
      <c r="AB1910" s="6" t="s">
        <v>4351</v>
      </c>
      <c r="AC1910" s="39" t="str">
        <f t="shared" si="219"/>
        <v>YL2939</v>
      </c>
      <c r="AD1910" s="3"/>
    </row>
    <row r="1911" spans="1:30" s="6" customFormat="1" ht="20.100000000000001" customHeight="1" outlineLevel="1" x14ac:dyDescent="0.25">
      <c r="A1911" s="738" t="s">
        <v>4565</v>
      </c>
      <c r="B1911" s="3"/>
      <c r="C1911" s="3"/>
      <c r="D1911" s="39" t="s">
        <v>4502</v>
      </c>
      <c r="E1911" s="4"/>
      <c r="F1911" s="101">
        <v>2940</v>
      </c>
      <c r="G1911" s="57"/>
      <c r="H1911" s="4"/>
      <c r="I1911" s="4"/>
      <c r="J1911" s="4"/>
      <c r="K1911" s="54"/>
      <c r="L1911" s="57"/>
      <c r="M1911" s="57"/>
      <c r="N1911" s="766"/>
      <c r="O1911" s="4"/>
      <c r="P1911" s="4"/>
      <c r="Q1911" s="4"/>
      <c r="R1911" s="4"/>
      <c r="S1911" s="4"/>
      <c r="T1911" s="4"/>
      <c r="U1911" s="4"/>
      <c r="V1911" s="4"/>
      <c r="W1911" s="4"/>
      <c r="X1911" s="4" t="s">
        <v>4502</v>
      </c>
      <c r="Y1911" s="4"/>
      <c r="AB1911" s="6" t="s">
        <v>4351</v>
      </c>
      <c r="AC1911" s="39" t="str">
        <f t="shared" si="219"/>
        <v>YL2940</v>
      </c>
      <c r="AD1911" s="3"/>
    </row>
    <row r="1912" spans="1:30" s="6" customFormat="1" ht="20.100000000000001" customHeight="1" outlineLevel="1" x14ac:dyDescent="0.25">
      <c r="A1912" s="738" t="s">
        <v>4566</v>
      </c>
      <c r="B1912" s="3"/>
      <c r="C1912" s="3"/>
      <c r="D1912" s="39" t="s">
        <v>4503</v>
      </c>
      <c r="E1912" s="4"/>
      <c r="F1912" s="101"/>
      <c r="G1912" s="57"/>
      <c r="H1912" s="4"/>
      <c r="I1912" s="4"/>
      <c r="J1912" s="4"/>
      <c r="K1912" s="54"/>
      <c r="L1912" s="57"/>
      <c r="M1912" s="57"/>
      <c r="N1912" s="766"/>
      <c r="O1912" s="4"/>
      <c r="P1912" s="4"/>
      <c r="Q1912" s="4"/>
      <c r="R1912" s="4"/>
      <c r="S1912" s="4"/>
      <c r="T1912" s="4"/>
      <c r="U1912" s="4"/>
      <c r="V1912" s="4"/>
      <c r="W1912" s="4"/>
      <c r="X1912" s="4" t="s">
        <v>4503</v>
      </c>
      <c r="Y1912" s="4"/>
      <c r="AB1912" s="6" t="s">
        <v>435</v>
      </c>
      <c r="AC1912" s="39" t="str">
        <f t="shared" si="219"/>
        <v>YL3003</v>
      </c>
      <c r="AD1912" s="3"/>
    </row>
    <row r="1913" spans="1:30" s="6" customFormat="1" ht="20.100000000000001" customHeight="1" outlineLevel="1" x14ac:dyDescent="0.25">
      <c r="A1913" s="738" t="s">
        <v>4567</v>
      </c>
      <c r="B1913" s="3"/>
      <c r="C1913" s="3"/>
      <c r="D1913" s="820" t="s">
        <v>4504</v>
      </c>
      <c r="E1913" s="4"/>
      <c r="F1913" s="101"/>
      <c r="G1913" s="57"/>
      <c r="H1913" s="4"/>
      <c r="I1913" s="4"/>
      <c r="J1913" s="4"/>
      <c r="K1913" s="54"/>
      <c r="L1913" s="57"/>
      <c r="M1913" s="57"/>
      <c r="N1913" s="766"/>
      <c r="O1913" s="4"/>
      <c r="P1913" s="4"/>
      <c r="Q1913" s="4"/>
      <c r="R1913" s="4"/>
      <c r="S1913" s="4"/>
      <c r="T1913" s="4"/>
      <c r="U1913" s="4"/>
      <c r="V1913" s="4"/>
      <c r="W1913" s="4"/>
      <c r="X1913" s="4" t="s">
        <v>4504</v>
      </c>
      <c r="Y1913" s="4"/>
      <c r="AB1913" s="6" t="s">
        <v>435</v>
      </c>
      <c r="AC1913" s="39" t="str">
        <f t="shared" si="219"/>
        <v>YL3018</v>
      </c>
      <c r="AD1913" s="3"/>
    </row>
    <row r="1914" spans="1:30" s="6" customFormat="1" ht="20.100000000000001" customHeight="1" outlineLevel="1" x14ac:dyDescent="0.25">
      <c r="A1914" s="738" t="s">
        <v>4568</v>
      </c>
      <c r="B1914" s="3"/>
      <c r="C1914" s="3"/>
      <c r="D1914" s="39" t="s">
        <v>4505</v>
      </c>
      <c r="E1914" s="4"/>
      <c r="F1914" s="101"/>
      <c r="G1914" s="57"/>
      <c r="H1914" s="4"/>
      <c r="I1914" s="4"/>
      <c r="J1914" s="4"/>
      <c r="K1914" s="54"/>
      <c r="L1914" s="57"/>
      <c r="M1914" s="57"/>
      <c r="N1914" s="766"/>
      <c r="O1914" s="4"/>
      <c r="P1914" s="4"/>
      <c r="Q1914" s="4"/>
      <c r="R1914" s="4"/>
      <c r="S1914" s="4"/>
      <c r="T1914" s="4"/>
      <c r="U1914" s="4"/>
      <c r="V1914" s="4"/>
      <c r="W1914" s="4"/>
      <c r="X1914" s="4" t="s">
        <v>4505</v>
      </c>
      <c r="Y1914" s="4"/>
      <c r="AB1914" s="6" t="s">
        <v>428</v>
      </c>
      <c r="AC1914" s="39" t="str">
        <f t="shared" si="219"/>
        <v>YL3021</v>
      </c>
      <c r="AD1914" s="3"/>
    </row>
    <row r="1915" spans="1:30" s="6" customFormat="1" ht="20.100000000000001" customHeight="1" outlineLevel="1" x14ac:dyDescent="0.25">
      <c r="A1915" s="738" t="s">
        <v>4569</v>
      </c>
      <c r="B1915" s="3"/>
      <c r="C1915" s="3"/>
      <c r="D1915" s="39" t="s">
        <v>4506</v>
      </c>
      <c r="E1915" s="4"/>
      <c r="F1915" s="101"/>
      <c r="G1915" s="57"/>
      <c r="H1915" s="4"/>
      <c r="I1915" s="4"/>
      <c r="J1915" s="4"/>
      <c r="K1915" s="54"/>
      <c r="L1915" s="57"/>
      <c r="M1915" s="57"/>
      <c r="N1915" s="766"/>
      <c r="O1915" s="4"/>
      <c r="P1915" s="4"/>
      <c r="Q1915" s="4"/>
      <c r="R1915" s="4"/>
      <c r="S1915" s="4"/>
      <c r="T1915" s="4"/>
      <c r="U1915" s="4"/>
      <c r="V1915" s="4"/>
      <c r="W1915" s="4"/>
      <c r="X1915" s="4" t="s">
        <v>4506</v>
      </c>
      <c r="Y1915" s="4"/>
      <c r="AB1915" s="6" t="s">
        <v>428</v>
      </c>
      <c r="AC1915" s="39" t="str">
        <f t="shared" si="219"/>
        <v>YL3024</v>
      </c>
      <c r="AD1915" s="3"/>
    </row>
    <row r="1916" spans="1:30" s="6" customFormat="1" ht="20.100000000000001" customHeight="1" outlineLevel="1" x14ac:dyDescent="0.25">
      <c r="A1916" s="738" t="s">
        <v>4570</v>
      </c>
      <c r="B1916" s="3"/>
      <c r="C1916" s="3"/>
      <c r="D1916" s="40" t="s">
        <v>4507</v>
      </c>
      <c r="E1916" s="4"/>
      <c r="F1916" s="101"/>
      <c r="G1916" s="57"/>
      <c r="H1916" s="4"/>
      <c r="I1916" s="4"/>
      <c r="J1916" s="4"/>
      <c r="K1916" s="54"/>
      <c r="L1916" s="57"/>
      <c r="M1916" s="57"/>
      <c r="N1916" s="766"/>
      <c r="O1916" s="4"/>
      <c r="P1916" s="4"/>
      <c r="Q1916" s="4"/>
      <c r="R1916" s="4"/>
      <c r="S1916" s="4"/>
      <c r="T1916" s="4"/>
      <c r="U1916" s="4"/>
      <c r="V1916" s="4"/>
      <c r="W1916" s="4"/>
      <c r="X1916" s="4" t="s">
        <v>4507</v>
      </c>
      <c r="Y1916" s="4"/>
      <c r="AB1916" s="6" t="s">
        <v>435</v>
      </c>
      <c r="AC1916" s="39" t="str">
        <f t="shared" si="219"/>
        <v>YL3027</v>
      </c>
      <c r="AD1916" s="3"/>
    </row>
    <row r="1917" spans="1:30" s="6" customFormat="1" ht="20.100000000000001" customHeight="1" outlineLevel="1" x14ac:dyDescent="0.25">
      <c r="A1917" s="738" t="s">
        <v>4571</v>
      </c>
      <c r="B1917" s="3"/>
      <c r="C1917" s="3"/>
      <c r="D1917" s="40" t="s">
        <v>4508</v>
      </c>
      <c r="E1917" s="4"/>
      <c r="F1917" s="101"/>
      <c r="G1917" s="57"/>
      <c r="H1917" s="4"/>
      <c r="I1917" s="4"/>
      <c r="J1917" s="4"/>
      <c r="K1917" s="54"/>
      <c r="L1917" s="57"/>
      <c r="M1917" s="57"/>
      <c r="N1917" s="766"/>
      <c r="O1917" s="4"/>
      <c r="P1917" s="4"/>
      <c r="Q1917" s="4"/>
      <c r="R1917" s="4"/>
      <c r="S1917" s="4"/>
      <c r="T1917" s="4"/>
      <c r="U1917" s="4"/>
      <c r="V1917" s="4"/>
      <c r="W1917" s="4"/>
      <c r="X1917" s="4" t="s">
        <v>4508</v>
      </c>
      <c r="Y1917" s="4"/>
      <c r="AB1917" s="6" t="s">
        <v>435</v>
      </c>
      <c r="AC1917" s="39" t="str">
        <f t="shared" si="219"/>
        <v>YL3028</v>
      </c>
      <c r="AD1917" s="3"/>
    </row>
    <row r="1918" spans="1:30" s="6" customFormat="1" ht="20.100000000000001" customHeight="1" outlineLevel="1" x14ac:dyDescent="0.25">
      <c r="A1918" s="738" t="s">
        <v>4572</v>
      </c>
      <c r="B1918" s="3"/>
      <c r="C1918" s="3"/>
      <c r="D1918" s="39" t="s">
        <v>4509</v>
      </c>
      <c r="E1918" s="4"/>
      <c r="F1918" s="101"/>
      <c r="G1918" s="57"/>
      <c r="H1918" s="4"/>
      <c r="I1918" s="4"/>
      <c r="J1918" s="4"/>
      <c r="K1918" s="54"/>
      <c r="L1918" s="57"/>
      <c r="M1918" s="57"/>
      <c r="N1918" s="766"/>
      <c r="O1918" s="4"/>
      <c r="P1918" s="4"/>
      <c r="Q1918" s="4"/>
      <c r="R1918" s="4"/>
      <c r="S1918" s="4"/>
      <c r="T1918" s="4"/>
      <c r="U1918" s="4"/>
      <c r="V1918" s="4"/>
      <c r="W1918" s="4"/>
      <c r="X1918" s="4" t="s">
        <v>4509</v>
      </c>
      <c r="Y1918" s="4"/>
      <c r="AB1918" s="6" t="s">
        <v>435</v>
      </c>
      <c r="AC1918" s="39" t="str">
        <f t="shared" si="219"/>
        <v>YL3029</v>
      </c>
      <c r="AD1918" s="3"/>
    </row>
    <row r="1919" spans="1:30" s="6" customFormat="1" ht="20.100000000000001" customHeight="1" outlineLevel="1" x14ac:dyDescent="0.25">
      <c r="A1919" s="738" t="s">
        <v>4573</v>
      </c>
      <c r="B1919" s="3"/>
      <c r="C1919" s="3"/>
      <c r="D1919" s="39" t="s">
        <v>4510</v>
      </c>
      <c r="E1919" s="4"/>
      <c r="F1919" s="101"/>
      <c r="G1919" s="57"/>
      <c r="H1919" s="4"/>
      <c r="I1919" s="4"/>
      <c r="J1919" s="4"/>
      <c r="K1919" s="54"/>
      <c r="L1919" s="57"/>
      <c r="M1919" s="57"/>
      <c r="N1919" s="766"/>
      <c r="O1919" s="4"/>
      <c r="P1919" s="4"/>
      <c r="Q1919" s="4"/>
      <c r="R1919" s="4"/>
      <c r="S1919" s="4"/>
      <c r="T1919" s="4"/>
      <c r="U1919" s="4"/>
      <c r="V1919" s="4"/>
      <c r="W1919" s="4"/>
      <c r="X1919" s="4" t="s">
        <v>4510</v>
      </c>
      <c r="Y1919" s="4"/>
      <c r="AB1919" s="6" t="s">
        <v>435</v>
      </c>
      <c r="AC1919" s="39" t="str">
        <f t="shared" si="219"/>
        <v>YL3030</v>
      </c>
      <c r="AD1919" s="3"/>
    </row>
    <row r="1920" spans="1:30" s="6" customFormat="1" ht="20.100000000000001" customHeight="1" outlineLevel="1" x14ac:dyDescent="0.25">
      <c r="A1920" s="738" t="s">
        <v>4574</v>
      </c>
      <c r="B1920" s="3"/>
      <c r="C1920" s="3"/>
      <c r="D1920" s="39" t="s">
        <v>4511</v>
      </c>
      <c r="E1920" s="4"/>
      <c r="F1920" s="101"/>
      <c r="G1920" s="57"/>
      <c r="H1920" s="4"/>
      <c r="I1920" s="4"/>
      <c r="J1920" s="4"/>
      <c r="K1920" s="54"/>
      <c r="L1920" s="57"/>
      <c r="M1920" s="57"/>
      <c r="N1920" s="766"/>
      <c r="O1920" s="4"/>
      <c r="P1920" s="4"/>
      <c r="Q1920" s="4"/>
      <c r="R1920" s="4"/>
      <c r="S1920" s="4"/>
      <c r="T1920" s="4"/>
      <c r="U1920" s="4"/>
      <c r="V1920" s="4"/>
      <c r="W1920" s="4"/>
      <c r="X1920" s="4" t="s">
        <v>4511</v>
      </c>
      <c r="Y1920" s="4"/>
      <c r="AB1920" s="6" t="s">
        <v>435</v>
      </c>
      <c r="AC1920" s="39" t="str">
        <f t="shared" si="219"/>
        <v>YL3035</v>
      </c>
      <c r="AD1920" s="3"/>
    </row>
    <row r="1921" spans="1:30" s="6" customFormat="1" ht="20.100000000000001" customHeight="1" outlineLevel="1" x14ac:dyDescent="0.25">
      <c r="A1921" s="738" t="s">
        <v>4575</v>
      </c>
      <c r="B1921" s="3"/>
      <c r="C1921" s="3"/>
      <c r="D1921" s="39" t="s">
        <v>4512</v>
      </c>
      <c r="E1921" s="4"/>
      <c r="F1921" s="101"/>
      <c r="G1921" s="57"/>
      <c r="H1921" s="4"/>
      <c r="I1921" s="4"/>
      <c r="J1921" s="4"/>
      <c r="K1921" s="54"/>
      <c r="L1921" s="57"/>
      <c r="M1921" s="57"/>
      <c r="N1921" s="766"/>
      <c r="O1921" s="4"/>
      <c r="P1921" s="4"/>
      <c r="Q1921" s="4"/>
      <c r="R1921" s="4"/>
      <c r="S1921" s="4"/>
      <c r="T1921" s="4"/>
      <c r="U1921" s="4"/>
      <c r="V1921" s="4"/>
      <c r="W1921" s="4"/>
      <c r="X1921" s="4" t="s">
        <v>4512</v>
      </c>
      <c r="Y1921" s="4"/>
      <c r="AB1921" s="6" t="s">
        <v>435</v>
      </c>
      <c r="AC1921" s="39" t="str">
        <f t="shared" si="219"/>
        <v>YL3055</v>
      </c>
      <c r="AD1921" s="3"/>
    </row>
    <row r="1922" spans="1:30" s="6" customFormat="1" ht="20.100000000000001" customHeight="1" outlineLevel="1" x14ac:dyDescent="0.25">
      <c r="A1922" s="738" t="s">
        <v>4576</v>
      </c>
      <c r="B1922" s="3"/>
      <c r="C1922" s="3"/>
      <c r="D1922" s="39" t="s">
        <v>4513</v>
      </c>
      <c r="E1922" s="4"/>
      <c r="F1922" s="101"/>
      <c r="G1922" s="57"/>
      <c r="H1922" s="4"/>
      <c r="I1922" s="4"/>
      <c r="J1922" s="4"/>
      <c r="K1922" s="54"/>
      <c r="L1922" s="57"/>
      <c r="M1922" s="57"/>
      <c r="N1922" s="766"/>
      <c r="O1922" s="4"/>
      <c r="P1922" s="4"/>
      <c r="Q1922" s="4"/>
      <c r="R1922" s="4"/>
      <c r="S1922" s="4"/>
      <c r="T1922" s="4"/>
      <c r="U1922" s="4"/>
      <c r="V1922" s="4"/>
      <c r="W1922" s="4"/>
      <c r="X1922" s="4" t="s">
        <v>4513</v>
      </c>
      <c r="Y1922" s="4"/>
      <c r="AB1922" s="6" t="s">
        <v>439</v>
      </c>
      <c r="AC1922" s="39" t="str">
        <f t="shared" si="219"/>
        <v>YL3088</v>
      </c>
      <c r="AD1922" s="3"/>
    </row>
    <row r="1923" spans="1:30" s="6" customFormat="1" ht="20.100000000000001" customHeight="1" outlineLevel="1" x14ac:dyDescent="0.25">
      <c r="A1923" s="738" t="s">
        <v>301</v>
      </c>
      <c r="B1923" s="3"/>
      <c r="C1923" s="3"/>
      <c r="D1923" s="39" t="s">
        <v>4514</v>
      </c>
      <c r="E1923" s="4"/>
      <c r="F1923" s="101"/>
      <c r="G1923" s="57"/>
      <c r="H1923" s="4"/>
      <c r="I1923" s="4"/>
      <c r="J1923" s="4"/>
      <c r="K1923" s="54"/>
      <c r="L1923" s="57"/>
      <c r="M1923" s="57"/>
      <c r="N1923" s="766"/>
      <c r="O1923" s="4"/>
      <c r="P1923" s="4"/>
      <c r="Q1923" s="4"/>
      <c r="R1923" s="4"/>
      <c r="S1923" s="4"/>
      <c r="T1923" s="4"/>
      <c r="U1923" s="4"/>
      <c r="V1923" s="4"/>
      <c r="W1923" s="4"/>
      <c r="X1923" s="4" t="s">
        <v>4514</v>
      </c>
      <c r="Y1923" s="4"/>
      <c r="AB1923" s="6" t="s">
        <v>435</v>
      </c>
      <c r="AC1923" s="39" t="str">
        <f t="shared" si="219"/>
        <v>YL3137</v>
      </c>
      <c r="AD1923" s="3"/>
    </row>
    <row r="1924" spans="1:30" s="6" customFormat="1" ht="20.100000000000001" customHeight="1" outlineLevel="1" x14ac:dyDescent="0.25">
      <c r="A1924" s="738" t="s">
        <v>4577</v>
      </c>
      <c r="B1924" s="3"/>
      <c r="C1924" s="3"/>
      <c r="D1924" s="40" t="s">
        <v>4515</v>
      </c>
      <c r="E1924" s="4"/>
      <c r="F1924" s="101"/>
      <c r="G1924" s="57"/>
      <c r="H1924" s="4"/>
      <c r="I1924" s="4"/>
      <c r="J1924" s="4"/>
      <c r="K1924" s="54"/>
      <c r="L1924" s="57"/>
      <c r="M1924" s="57"/>
      <c r="N1924" s="766"/>
      <c r="O1924" s="4"/>
      <c r="P1924" s="4"/>
      <c r="Q1924" s="4"/>
      <c r="R1924" s="4"/>
      <c r="S1924" s="4"/>
      <c r="T1924" s="4"/>
      <c r="U1924" s="4"/>
      <c r="V1924" s="4"/>
      <c r="W1924" s="4"/>
      <c r="X1924" s="4" t="s">
        <v>4515</v>
      </c>
      <c r="Y1924" s="4"/>
      <c r="AB1924" s="6" t="s">
        <v>430</v>
      </c>
      <c r="AC1924" s="39" t="str">
        <f t="shared" si="219"/>
        <v>YL3153</v>
      </c>
      <c r="AD1924" s="3"/>
    </row>
    <row r="1925" spans="1:30" s="6" customFormat="1" ht="20.100000000000001" customHeight="1" outlineLevel="1" x14ac:dyDescent="0.25">
      <c r="A1925" s="738" t="s">
        <v>4578</v>
      </c>
      <c r="B1925" s="3"/>
      <c r="C1925" s="3"/>
      <c r="D1925" s="40" t="s">
        <v>4516</v>
      </c>
      <c r="E1925" s="4"/>
      <c r="F1925" s="101"/>
      <c r="G1925" s="57"/>
      <c r="H1925" s="4"/>
      <c r="I1925" s="4"/>
      <c r="J1925" s="4"/>
      <c r="K1925" s="54"/>
      <c r="L1925" s="57"/>
      <c r="M1925" s="57"/>
      <c r="N1925" s="766"/>
      <c r="O1925" s="4"/>
      <c r="P1925" s="4"/>
      <c r="Q1925" s="4"/>
      <c r="R1925" s="4"/>
      <c r="S1925" s="4"/>
      <c r="T1925" s="4"/>
      <c r="U1925" s="4"/>
      <c r="V1925" s="4"/>
      <c r="W1925" s="4"/>
      <c r="X1925" s="4" t="s">
        <v>4516</v>
      </c>
      <c r="Y1925" s="4"/>
      <c r="AB1925" s="6" t="s">
        <v>435</v>
      </c>
      <c r="AC1925" s="39" t="str">
        <f t="shared" si="219"/>
        <v>YL3212</v>
      </c>
      <c r="AD1925" s="3"/>
    </row>
    <row r="1926" spans="1:30" s="6" customFormat="1" ht="20.100000000000001" customHeight="1" outlineLevel="1" x14ac:dyDescent="0.25">
      <c r="A1926" s="738" t="s">
        <v>4579</v>
      </c>
      <c r="B1926" s="3"/>
      <c r="C1926" s="3"/>
      <c r="D1926" s="879" t="s">
        <v>4517</v>
      </c>
      <c r="E1926" s="4"/>
      <c r="F1926" s="101"/>
      <c r="G1926" s="57"/>
      <c r="H1926" s="4"/>
      <c r="I1926" s="4"/>
      <c r="J1926" s="4"/>
      <c r="K1926" s="54"/>
      <c r="L1926" s="57"/>
      <c r="M1926" s="57"/>
      <c r="N1926" s="766"/>
      <c r="O1926" s="4"/>
      <c r="P1926" s="4"/>
      <c r="Q1926" s="4"/>
      <c r="R1926" s="4"/>
      <c r="S1926" s="4"/>
      <c r="T1926" s="4"/>
      <c r="U1926" s="4"/>
      <c r="V1926" s="4"/>
      <c r="W1926" s="4"/>
      <c r="X1926" s="4" t="s">
        <v>4517</v>
      </c>
      <c r="Y1926" s="4"/>
      <c r="AB1926" s="6" t="s">
        <v>435</v>
      </c>
      <c r="AC1926" s="39" t="str">
        <f t="shared" si="219"/>
        <v>YL3213</v>
      </c>
      <c r="AD1926" s="3"/>
    </row>
    <row r="1927" spans="1:30" s="6" customFormat="1" ht="20.100000000000001" customHeight="1" outlineLevel="1" x14ac:dyDescent="0.25">
      <c r="A1927" s="738" t="s">
        <v>4580</v>
      </c>
      <c r="B1927" s="3"/>
      <c r="C1927" s="3"/>
      <c r="D1927" s="40" t="s">
        <v>4518</v>
      </c>
      <c r="E1927" s="4"/>
      <c r="F1927" s="101"/>
      <c r="G1927" s="57"/>
      <c r="H1927" s="4"/>
      <c r="I1927" s="4"/>
      <c r="J1927" s="4"/>
      <c r="K1927" s="54"/>
      <c r="L1927" s="57"/>
      <c r="M1927" s="57"/>
      <c r="N1927" s="766"/>
      <c r="O1927" s="4"/>
      <c r="P1927" s="4"/>
      <c r="Q1927" s="4"/>
      <c r="R1927" s="4"/>
      <c r="S1927" s="4"/>
      <c r="T1927" s="4"/>
      <c r="U1927" s="4"/>
      <c r="V1927" s="4"/>
      <c r="W1927" s="4"/>
      <c r="X1927" s="4" t="s">
        <v>4518</v>
      </c>
      <c r="Y1927" s="4"/>
      <c r="AB1927" s="6" t="s">
        <v>4351</v>
      </c>
      <c r="AC1927" s="39" t="str">
        <f t="shared" si="219"/>
        <v>YL3570</v>
      </c>
      <c r="AD1927" s="3"/>
    </row>
    <row r="1928" spans="1:30" s="6" customFormat="1" ht="20.100000000000001" customHeight="1" outlineLevel="1" x14ac:dyDescent="0.25">
      <c r="A1928" s="738" t="s">
        <v>4581</v>
      </c>
      <c r="B1928" s="3"/>
      <c r="C1928" s="3"/>
      <c r="D1928" s="883" t="s">
        <v>4519</v>
      </c>
      <c r="E1928" s="4"/>
      <c r="F1928" s="101"/>
      <c r="G1928" s="57"/>
      <c r="H1928" s="4"/>
      <c r="I1928" s="4"/>
      <c r="J1928" s="4"/>
      <c r="K1928" s="54"/>
      <c r="L1928" s="57"/>
      <c r="M1928" s="57"/>
      <c r="N1928" s="766"/>
      <c r="O1928" s="4"/>
      <c r="P1928" s="4"/>
      <c r="Q1928" s="4"/>
      <c r="R1928" s="4"/>
      <c r="S1928" s="4"/>
      <c r="T1928" s="4"/>
      <c r="U1928" s="4"/>
      <c r="V1928" s="4"/>
      <c r="W1928" s="4"/>
      <c r="X1928" s="4" t="s">
        <v>4519</v>
      </c>
      <c r="Y1928" s="4"/>
      <c r="AB1928" s="6" t="s">
        <v>434</v>
      </c>
      <c r="AC1928" s="39" t="str">
        <f t="shared" si="219"/>
        <v>YL3669</v>
      </c>
      <c r="AD1928" s="3"/>
    </row>
    <row r="1929" spans="1:30" s="6" customFormat="1" ht="20.100000000000001" customHeight="1" outlineLevel="1" x14ac:dyDescent="0.25">
      <c r="A1929" s="738" t="s">
        <v>4582</v>
      </c>
      <c r="B1929" s="3"/>
      <c r="C1929" s="3"/>
      <c r="D1929" s="40" t="s">
        <v>4520</v>
      </c>
      <c r="E1929" s="4"/>
      <c r="F1929" s="101"/>
      <c r="G1929" s="57"/>
      <c r="H1929" s="4"/>
      <c r="I1929" s="4"/>
      <c r="J1929" s="4"/>
      <c r="K1929" s="54"/>
      <c r="L1929" s="57"/>
      <c r="M1929" s="57"/>
      <c r="N1929" s="766"/>
      <c r="O1929" s="4"/>
      <c r="P1929" s="4"/>
      <c r="Q1929" s="4"/>
      <c r="R1929" s="4"/>
      <c r="S1929" s="4"/>
      <c r="T1929" s="4"/>
      <c r="U1929" s="4"/>
      <c r="V1929" s="4"/>
      <c r="W1929" s="4"/>
      <c r="X1929" s="4" t="s">
        <v>4520</v>
      </c>
      <c r="Y1929" s="4"/>
      <c r="AB1929" s="6" t="s">
        <v>434</v>
      </c>
      <c r="AC1929" s="39" t="str">
        <f t="shared" si="219"/>
        <v>YL366941</v>
      </c>
      <c r="AD1929" s="3"/>
    </row>
    <row r="1930" spans="1:30" s="6" customFormat="1" ht="20.100000000000001" customHeight="1" outlineLevel="1" x14ac:dyDescent="0.25">
      <c r="A1930" s="738" t="s">
        <v>3807</v>
      </c>
      <c r="B1930" s="3"/>
      <c r="C1930" s="3"/>
      <c r="D1930" s="39" t="s">
        <v>4521</v>
      </c>
      <c r="E1930" s="4"/>
      <c r="F1930" s="101"/>
      <c r="G1930" s="57"/>
      <c r="H1930" s="4"/>
      <c r="I1930" s="4"/>
      <c r="J1930" s="4"/>
      <c r="K1930" s="54"/>
      <c r="L1930" s="57"/>
      <c r="M1930" s="57"/>
      <c r="N1930" s="766"/>
      <c r="O1930" s="4"/>
      <c r="P1930" s="4"/>
      <c r="Q1930" s="4"/>
      <c r="R1930" s="4"/>
      <c r="S1930" s="4"/>
      <c r="T1930" s="4"/>
      <c r="U1930" s="4"/>
      <c r="V1930" s="4"/>
      <c r="W1930" s="4"/>
      <c r="X1930" s="4" t="s">
        <v>4521</v>
      </c>
      <c r="Y1930" s="4"/>
      <c r="AB1930" s="6" t="s">
        <v>4351</v>
      </c>
      <c r="AC1930" s="39" t="str">
        <f t="shared" si="219"/>
        <v>YL3723</v>
      </c>
      <c r="AD1930" s="3"/>
    </row>
    <row r="1931" spans="1:30" s="6" customFormat="1" ht="20.100000000000001" customHeight="1" outlineLevel="1" x14ac:dyDescent="0.25">
      <c r="A1931" s="738" t="s">
        <v>4583</v>
      </c>
      <c r="B1931" s="3"/>
      <c r="C1931" s="3"/>
      <c r="D1931" s="39" t="s">
        <v>4522</v>
      </c>
      <c r="E1931" s="4"/>
      <c r="F1931" s="101"/>
      <c r="G1931" s="57"/>
      <c r="H1931" s="4"/>
      <c r="I1931" s="4"/>
      <c r="J1931" s="4"/>
      <c r="K1931" s="54"/>
      <c r="L1931" s="57"/>
      <c r="M1931" s="57"/>
      <c r="N1931" s="766"/>
      <c r="O1931" s="4"/>
      <c r="P1931" s="4"/>
      <c r="Q1931" s="4"/>
      <c r="R1931" s="4"/>
      <c r="S1931" s="4"/>
      <c r="T1931" s="4"/>
      <c r="U1931" s="4"/>
      <c r="V1931" s="4"/>
      <c r="W1931" s="4"/>
      <c r="X1931" s="4" t="s">
        <v>4522</v>
      </c>
      <c r="Y1931" s="4"/>
      <c r="AB1931" s="6" t="s">
        <v>435</v>
      </c>
      <c r="AC1931" s="39" t="str">
        <f t="shared" ref="AC1931:AC1940" si="220">D1931</f>
        <v>YL3770</v>
      </c>
      <c r="AD1931" s="3"/>
    </row>
    <row r="1932" spans="1:30" s="6" customFormat="1" ht="20.100000000000001" customHeight="1" outlineLevel="1" x14ac:dyDescent="0.25">
      <c r="A1932" s="738" t="s">
        <v>4584</v>
      </c>
      <c r="B1932" s="3"/>
      <c r="C1932" s="3"/>
      <c r="D1932" s="39" t="s">
        <v>4523</v>
      </c>
      <c r="E1932" s="4"/>
      <c r="F1932" s="101"/>
      <c r="G1932" s="57"/>
      <c r="H1932" s="4"/>
      <c r="I1932" s="4"/>
      <c r="J1932" s="4"/>
      <c r="K1932" s="54"/>
      <c r="L1932" s="57"/>
      <c r="M1932" s="57"/>
      <c r="N1932" s="766"/>
      <c r="O1932" s="4"/>
      <c r="P1932" s="4"/>
      <c r="Q1932" s="4"/>
      <c r="R1932" s="4"/>
      <c r="S1932" s="4"/>
      <c r="T1932" s="4"/>
      <c r="U1932" s="4"/>
      <c r="V1932" s="4"/>
      <c r="W1932" s="4"/>
      <c r="X1932" s="4" t="s">
        <v>4523</v>
      </c>
      <c r="Y1932" s="4"/>
      <c r="AB1932" s="6" t="s">
        <v>434</v>
      </c>
      <c r="AC1932" s="39" t="str">
        <f t="shared" si="220"/>
        <v>YL40217946</v>
      </c>
      <c r="AD1932" s="3"/>
    </row>
    <row r="1933" spans="1:30" s="6" customFormat="1" ht="20.100000000000001" customHeight="1" outlineLevel="1" x14ac:dyDescent="0.25">
      <c r="A1933" s="738" t="s">
        <v>3366</v>
      </c>
      <c r="B1933" s="3"/>
      <c r="C1933" s="3"/>
      <c r="D1933" s="40" t="s">
        <v>4524</v>
      </c>
      <c r="E1933" s="4"/>
      <c r="F1933" s="101"/>
      <c r="G1933" s="57"/>
      <c r="H1933" s="4"/>
      <c r="I1933" s="4"/>
      <c r="J1933" s="4"/>
      <c r="K1933" s="54"/>
      <c r="L1933" s="57"/>
      <c r="M1933" s="57"/>
      <c r="N1933" s="766"/>
      <c r="O1933" s="4"/>
      <c r="P1933" s="4"/>
      <c r="Q1933" s="4"/>
      <c r="R1933" s="4"/>
      <c r="S1933" s="4"/>
      <c r="T1933" s="4"/>
      <c r="U1933" s="4"/>
      <c r="V1933" s="4"/>
      <c r="W1933" s="4"/>
      <c r="X1933" s="4" t="s">
        <v>4524</v>
      </c>
      <c r="Y1933" s="4"/>
      <c r="AB1933" s="6" t="s">
        <v>428</v>
      </c>
      <c r="AC1933" s="39" t="str">
        <f t="shared" si="220"/>
        <v>YL4030</v>
      </c>
      <c r="AD1933" s="3"/>
    </row>
    <row r="1934" spans="1:30" s="6" customFormat="1" ht="20.100000000000001" customHeight="1" outlineLevel="1" x14ac:dyDescent="0.25">
      <c r="A1934" s="738" t="s">
        <v>4585</v>
      </c>
      <c r="B1934" s="3"/>
      <c r="C1934" s="3"/>
      <c r="D1934" s="879" t="s">
        <v>4525</v>
      </c>
      <c r="E1934" s="4"/>
      <c r="F1934" s="101"/>
      <c r="G1934" s="57"/>
      <c r="H1934" s="4"/>
      <c r="I1934" s="4"/>
      <c r="J1934" s="4"/>
      <c r="K1934" s="54"/>
      <c r="L1934" s="57"/>
      <c r="M1934" s="57"/>
      <c r="N1934" s="766"/>
      <c r="O1934" s="4"/>
      <c r="P1934" s="4"/>
      <c r="Q1934" s="4"/>
      <c r="R1934" s="4"/>
      <c r="S1934" s="4"/>
      <c r="T1934" s="4"/>
      <c r="U1934" s="4"/>
      <c r="V1934" s="4"/>
      <c r="W1934" s="4"/>
      <c r="X1934" s="4" t="s">
        <v>4525</v>
      </c>
      <c r="Y1934" s="4"/>
      <c r="AB1934" s="6" t="s">
        <v>435</v>
      </c>
      <c r="AC1934" s="39" t="str">
        <f t="shared" si="220"/>
        <v>YL7771</v>
      </c>
      <c r="AD1934" s="3"/>
    </row>
    <row r="1935" spans="1:30" s="6" customFormat="1" ht="20.100000000000001" customHeight="1" outlineLevel="1" x14ac:dyDescent="0.25">
      <c r="A1935" s="738" t="s">
        <v>4586</v>
      </c>
      <c r="B1935" s="3"/>
      <c r="C1935" s="3"/>
      <c r="D1935" s="39" t="s">
        <v>4526</v>
      </c>
      <c r="E1935" s="4"/>
      <c r="F1935" s="101"/>
      <c r="G1935" s="57"/>
      <c r="H1935" s="4"/>
      <c r="I1935" s="4"/>
      <c r="J1935" s="4"/>
      <c r="K1935" s="54"/>
      <c r="L1935" s="57"/>
      <c r="M1935" s="57"/>
      <c r="N1935" s="766"/>
      <c r="O1935" s="4"/>
      <c r="P1935" s="4"/>
      <c r="Q1935" s="4"/>
      <c r="R1935" s="4"/>
      <c r="S1935" s="4"/>
      <c r="T1935" s="4"/>
      <c r="U1935" s="4"/>
      <c r="V1935" s="4"/>
      <c r="W1935" s="4"/>
      <c r="X1935" s="4" t="s">
        <v>4526</v>
      </c>
      <c r="Y1935" s="4"/>
      <c r="AB1935" s="6" t="s">
        <v>435</v>
      </c>
      <c r="AC1935" s="39" t="str">
        <f t="shared" si="220"/>
        <v>YL7772</v>
      </c>
      <c r="AD1935" s="3"/>
    </row>
    <row r="1936" spans="1:30" s="6" customFormat="1" ht="20.100000000000001" customHeight="1" outlineLevel="1" x14ac:dyDescent="0.25">
      <c r="A1936" s="738" t="s">
        <v>3470</v>
      </c>
      <c r="B1936" s="3"/>
      <c r="C1936" s="3"/>
      <c r="D1936" s="39" t="s">
        <v>4527</v>
      </c>
      <c r="E1936" s="4"/>
      <c r="F1936" s="101"/>
      <c r="G1936" s="57"/>
      <c r="H1936" s="4"/>
      <c r="I1936" s="4"/>
      <c r="J1936" s="4"/>
      <c r="K1936" s="54"/>
      <c r="L1936" s="57"/>
      <c r="M1936" s="57"/>
      <c r="N1936" s="766"/>
      <c r="O1936" s="4"/>
      <c r="P1936" s="4"/>
      <c r="Q1936" s="4"/>
      <c r="R1936" s="4"/>
      <c r="S1936" s="4"/>
      <c r="T1936" s="4"/>
      <c r="U1936" s="4"/>
      <c r="V1936" s="4"/>
      <c r="W1936" s="4"/>
      <c r="X1936" s="4" t="s">
        <v>4527</v>
      </c>
      <c r="Y1936" s="4"/>
      <c r="AB1936" s="6" t="s">
        <v>435</v>
      </c>
      <c r="AC1936" s="39" t="str">
        <f t="shared" si="220"/>
        <v>YL7773</v>
      </c>
      <c r="AD1936" s="3"/>
    </row>
    <row r="1937" spans="1:30" s="6" customFormat="1" ht="20.100000000000001" customHeight="1" outlineLevel="1" x14ac:dyDescent="0.25">
      <c r="A1937" s="738" t="s">
        <v>4587</v>
      </c>
      <c r="B1937" s="3"/>
      <c r="C1937" s="3"/>
      <c r="D1937" s="39" t="s">
        <v>4528</v>
      </c>
      <c r="E1937" s="4"/>
      <c r="F1937" s="101"/>
      <c r="G1937" s="57"/>
      <c r="H1937" s="4"/>
      <c r="I1937" s="4"/>
      <c r="J1937" s="4"/>
      <c r="K1937" s="54"/>
      <c r="L1937" s="57"/>
      <c r="M1937" s="57"/>
      <c r="N1937" s="766"/>
      <c r="O1937" s="4"/>
      <c r="P1937" s="4"/>
      <c r="Q1937" s="4"/>
      <c r="R1937" s="4"/>
      <c r="S1937" s="4"/>
      <c r="T1937" s="4"/>
      <c r="U1937" s="4"/>
      <c r="V1937" s="4"/>
      <c r="W1937" s="4"/>
      <c r="X1937" s="4" t="s">
        <v>4528</v>
      </c>
      <c r="Y1937" s="4"/>
      <c r="AB1937" s="6" t="s">
        <v>435</v>
      </c>
      <c r="AC1937" s="39" t="str">
        <f t="shared" si="220"/>
        <v>YL9396</v>
      </c>
      <c r="AD1937" s="3"/>
    </row>
    <row r="1938" spans="1:30" s="6" customFormat="1" ht="20.100000000000001" customHeight="1" outlineLevel="1" x14ac:dyDescent="0.25">
      <c r="A1938" s="738" t="s">
        <v>955</v>
      </c>
      <c r="B1938" s="3"/>
      <c r="C1938" s="3"/>
      <c r="D1938" s="39" t="s">
        <v>4529</v>
      </c>
      <c r="E1938" s="4"/>
      <c r="F1938" s="101"/>
      <c r="G1938" s="57"/>
      <c r="H1938" s="4"/>
      <c r="I1938" s="4"/>
      <c r="J1938" s="4"/>
      <c r="K1938" s="54"/>
      <c r="L1938" s="57"/>
      <c r="M1938" s="57"/>
      <c r="N1938" s="766"/>
      <c r="O1938" s="4"/>
      <c r="P1938" s="4"/>
      <c r="Q1938" s="4"/>
      <c r="R1938" s="4"/>
      <c r="S1938" s="4"/>
      <c r="T1938" s="4"/>
      <c r="U1938" s="4"/>
      <c r="V1938" s="4"/>
      <c r="W1938" s="4"/>
      <c r="X1938" s="4" t="s">
        <v>4529</v>
      </c>
      <c r="Y1938" s="4"/>
      <c r="AB1938" s="6" t="s">
        <v>435</v>
      </c>
      <c r="AC1938" s="39" t="str">
        <f t="shared" si="220"/>
        <v>YL9418</v>
      </c>
      <c r="AD1938" s="3"/>
    </row>
    <row r="1939" spans="1:30" s="6" customFormat="1" ht="20.100000000000001" customHeight="1" outlineLevel="1" x14ac:dyDescent="0.25">
      <c r="A1939" s="738" t="s">
        <v>969</v>
      </c>
      <c r="B1939" s="3"/>
      <c r="C1939" s="3"/>
      <c r="D1939" s="39" t="s">
        <v>4530</v>
      </c>
      <c r="E1939" s="4"/>
      <c r="F1939" s="101"/>
      <c r="G1939" s="57"/>
      <c r="H1939" s="4"/>
      <c r="I1939" s="4"/>
      <c r="J1939" s="4"/>
      <c r="K1939" s="54"/>
      <c r="L1939" s="57"/>
      <c r="M1939" s="57"/>
      <c r="N1939" s="766"/>
      <c r="O1939" s="4"/>
      <c r="P1939" s="4"/>
      <c r="Q1939" s="4"/>
      <c r="R1939" s="4"/>
      <c r="S1939" s="4"/>
      <c r="T1939" s="4"/>
      <c r="U1939" s="4"/>
      <c r="V1939" s="4"/>
      <c r="W1939" s="4"/>
      <c r="X1939" s="4" t="s">
        <v>4530</v>
      </c>
      <c r="Y1939" s="4"/>
      <c r="AB1939" s="6" t="s">
        <v>435</v>
      </c>
      <c r="AC1939" s="39" t="str">
        <f t="shared" si="220"/>
        <v>YL9477</v>
      </c>
      <c r="AD1939" s="3"/>
    </row>
    <row r="1940" spans="1:30" s="6" customFormat="1" ht="20.100000000000001" customHeight="1" x14ac:dyDescent="0.25">
      <c r="A1940" s="739" t="s">
        <v>4592</v>
      </c>
      <c r="B1940" s="59"/>
      <c r="C1940" s="59"/>
      <c r="D1940" s="60" t="s">
        <v>4531</v>
      </c>
      <c r="E1940" s="61"/>
      <c r="F1940" s="101"/>
      <c r="G1940" s="57"/>
      <c r="H1940" s="4"/>
      <c r="I1940" s="61"/>
      <c r="J1940" s="61"/>
      <c r="K1940" s="54"/>
      <c r="L1940" s="57"/>
      <c r="M1940" s="57"/>
      <c r="N1940" s="766"/>
      <c r="O1940" s="61"/>
      <c r="P1940" s="61"/>
      <c r="Q1940" s="61"/>
      <c r="R1940" s="4"/>
      <c r="S1940" s="4"/>
      <c r="T1940" s="4"/>
      <c r="U1940" s="4"/>
      <c r="V1940" s="4"/>
      <c r="W1940" s="4"/>
      <c r="X1940" s="4" t="s">
        <v>4531</v>
      </c>
      <c r="Y1940" s="4"/>
      <c r="AB1940" s="6" t="s">
        <v>4351</v>
      </c>
      <c r="AC1940" s="39" t="str">
        <f t="shared" si="220"/>
        <v>YL 3571</v>
      </c>
      <c r="AD1940" s="59"/>
    </row>
    <row r="1941" spans="1:30" s="6" customFormat="1" ht="20.100000000000001" customHeight="1" x14ac:dyDescent="0.25">
      <c r="A1941" s="737"/>
      <c r="B1941" s="3"/>
      <c r="C1941" s="3"/>
      <c r="D1941" s="51"/>
      <c r="E1941" s="4"/>
      <c r="F1941" s="101"/>
      <c r="G1941" s="57"/>
      <c r="H1941" s="12"/>
      <c r="I1941" s="4"/>
      <c r="J1941" s="4"/>
      <c r="K1941" s="74"/>
      <c r="L1941" s="57"/>
      <c r="M1941" s="57"/>
      <c r="N1941" s="18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AA1941" s="1" t="str">
        <f>IFERROR(VLOOKUP(D:D,[1]Габариты!$A:$I,9,0),"")</f>
        <v/>
      </c>
      <c r="AB1941" s="6" t="str">
        <f>IFERROR(VLOOKUP(D:D,[1]Габариты!$A:$D,4,0),"")</f>
        <v/>
      </c>
      <c r="AC1941" s="39"/>
      <c r="AD1941" s="3"/>
    </row>
    <row r="1942" spans="1:30" s="6" customFormat="1" ht="20.100000000000001" customHeight="1" x14ac:dyDescent="0.25">
      <c r="A1942" s="737"/>
      <c r="B1942" s="3"/>
      <c r="C1942" s="3"/>
      <c r="D1942" s="51"/>
      <c r="E1942" s="4"/>
      <c r="F1942" s="101"/>
      <c r="G1942" s="57"/>
      <c r="H1942" s="12"/>
      <c r="I1942" s="4"/>
      <c r="J1942" s="4"/>
      <c r="K1942" s="54"/>
      <c r="L1942" s="57"/>
      <c r="M1942" s="57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AC1942" s="39"/>
      <c r="AD1942" s="3"/>
    </row>
    <row r="1943" spans="1:30" s="6" customFormat="1" ht="20.100000000000001" customHeight="1" x14ac:dyDescent="0.25">
      <c r="A1943" s="740"/>
      <c r="B1943" s="3"/>
      <c r="C1943" s="3"/>
      <c r="D1943" s="51"/>
      <c r="E1943" s="4"/>
      <c r="F1943" s="101"/>
      <c r="G1943" s="57"/>
      <c r="H1943" s="4"/>
      <c r="I1943" s="4"/>
      <c r="J1943" s="4"/>
      <c r="K1943" s="54"/>
      <c r="L1943" s="57"/>
      <c r="M1943" s="57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AC1943" s="39"/>
      <c r="AD1943" s="3"/>
    </row>
    <row r="1944" spans="1:30" s="6" customFormat="1" ht="20.100000000000001" customHeight="1" x14ac:dyDescent="0.25">
      <c r="A1944" s="740"/>
      <c r="B1944" s="3"/>
      <c r="C1944" s="3"/>
      <c r="D1944" s="51"/>
      <c r="E1944" s="4"/>
      <c r="F1944" s="101"/>
      <c r="G1944" s="57"/>
      <c r="H1944" s="4"/>
      <c r="I1944" s="4"/>
      <c r="J1944" s="4"/>
      <c r="K1944" s="54"/>
      <c r="L1944" s="57"/>
      <c r="M1944" s="57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AC1944" s="39"/>
      <c r="AD1944" s="3"/>
    </row>
    <row r="1945" spans="1:30" s="6" customFormat="1" ht="20.100000000000001" customHeight="1" x14ac:dyDescent="0.25">
      <c r="A1945" s="741"/>
      <c r="B1945" s="3"/>
      <c r="C1945" s="3"/>
      <c r="D1945" s="51"/>
      <c r="E1945" s="4"/>
      <c r="F1945" s="101"/>
      <c r="G1945" s="57"/>
      <c r="H1945" s="4"/>
      <c r="I1945" s="4"/>
      <c r="J1945" s="4"/>
      <c r="K1945" s="54"/>
      <c r="L1945" s="57"/>
      <c r="M1945" s="57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AC1945" s="39"/>
      <c r="AD1945" s="3"/>
    </row>
    <row r="1946" spans="1:30" s="6" customFormat="1" ht="20.100000000000001" customHeight="1" x14ac:dyDescent="0.25">
      <c r="A1946" s="741"/>
      <c r="B1946" s="3"/>
      <c r="C1946" s="3"/>
      <c r="D1946" s="51"/>
      <c r="E1946" s="4"/>
      <c r="F1946" s="101"/>
      <c r="G1946" s="57"/>
      <c r="H1946" s="4"/>
      <c r="I1946" s="4"/>
      <c r="J1946" s="4"/>
      <c r="K1946" s="54"/>
      <c r="L1946" s="57"/>
      <c r="M1946" s="57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AC1946" s="39"/>
      <c r="AD1946" s="3"/>
    </row>
    <row r="1947" spans="1:30" s="6" customFormat="1" ht="20.100000000000001" customHeight="1" x14ac:dyDescent="0.25">
      <c r="A1947" s="741"/>
      <c r="B1947" s="3"/>
      <c r="C1947" s="3"/>
      <c r="D1947" s="51"/>
      <c r="E1947" s="4"/>
      <c r="F1947" s="101"/>
      <c r="G1947" s="57"/>
      <c r="H1947" s="4"/>
      <c r="I1947" s="4"/>
      <c r="J1947" s="4"/>
      <c r="K1947" s="54"/>
      <c r="L1947" s="57"/>
      <c r="M1947" s="57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AC1947" s="39"/>
      <c r="AD1947" s="3"/>
    </row>
    <row r="1948" spans="1:30" s="6" customFormat="1" ht="20.100000000000001" customHeight="1" x14ac:dyDescent="0.25">
      <c r="A1948" s="737"/>
      <c r="B1948" s="3"/>
      <c r="C1948" s="3"/>
      <c r="D1948" s="51"/>
      <c r="E1948" s="4"/>
      <c r="F1948" s="101"/>
      <c r="G1948" s="57"/>
      <c r="H1948" s="4"/>
      <c r="I1948" s="4"/>
      <c r="J1948" s="4"/>
      <c r="K1948" s="54"/>
      <c r="L1948" s="57"/>
      <c r="M1948" s="57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AC1948" s="39"/>
      <c r="AD1948" s="3"/>
    </row>
    <row r="1949" spans="1:30" s="6" customFormat="1" ht="20.100000000000001" customHeight="1" x14ac:dyDescent="0.25">
      <c r="A1949" s="737"/>
      <c r="B1949" s="3"/>
      <c r="C1949" s="3"/>
      <c r="D1949" s="51"/>
      <c r="E1949" s="4"/>
      <c r="F1949" s="101"/>
      <c r="G1949" s="57"/>
      <c r="H1949" s="4"/>
      <c r="I1949" s="4"/>
      <c r="J1949" s="4"/>
      <c r="K1949" s="54"/>
      <c r="L1949" s="57"/>
      <c r="M1949" s="57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AC1949" s="39"/>
      <c r="AD1949" s="3"/>
    </row>
    <row r="1950" spans="1:30" s="6" customFormat="1" ht="20.100000000000001" customHeight="1" x14ac:dyDescent="0.25">
      <c r="A1950" s="737"/>
      <c r="B1950" s="3"/>
      <c r="C1950" s="3"/>
      <c r="D1950" s="51"/>
      <c r="E1950" s="4"/>
      <c r="F1950" s="101"/>
      <c r="G1950" s="57"/>
      <c r="H1950" s="4"/>
      <c r="I1950" s="4"/>
      <c r="J1950" s="4"/>
      <c r="K1950" s="54"/>
      <c r="L1950" s="57"/>
      <c r="M1950" s="57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AC1950" s="39"/>
      <c r="AD1950" s="3"/>
    </row>
    <row r="1951" spans="1:30" s="6" customFormat="1" ht="20.100000000000001" customHeight="1" x14ac:dyDescent="0.25">
      <c r="A1951" s="737"/>
      <c r="B1951" s="3"/>
      <c r="C1951" s="3"/>
      <c r="D1951" s="51"/>
      <c r="E1951" s="4"/>
      <c r="F1951" s="101"/>
      <c r="G1951" s="57"/>
      <c r="H1951" s="4"/>
      <c r="I1951" s="4"/>
      <c r="J1951" s="4"/>
      <c r="K1951" s="54"/>
      <c r="L1951" s="57"/>
      <c r="M1951" s="57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AC1951" s="39"/>
      <c r="AD1951" s="3"/>
    </row>
    <row r="1952" spans="1:30" s="6" customFormat="1" ht="20.100000000000001" customHeight="1" x14ac:dyDescent="0.25">
      <c r="A1952" s="737"/>
      <c r="B1952" s="3"/>
      <c r="C1952" s="3"/>
      <c r="D1952" s="51"/>
      <c r="E1952" s="4"/>
      <c r="F1952" s="101"/>
      <c r="G1952" s="57"/>
      <c r="H1952" s="4"/>
      <c r="I1952" s="4"/>
      <c r="J1952" s="4"/>
      <c r="K1952" s="54"/>
      <c r="L1952" s="57"/>
      <c r="M1952" s="57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AC1952" s="39"/>
      <c r="AD1952" s="3"/>
    </row>
    <row r="1953" spans="1:30" s="6" customFormat="1" ht="20.100000000000001" customHeight="1" x14ac:dyDescent="0.25">
      <c r="A1953" s="741"/>
      <c r="B1953" s="3"/>
      <c r="C1953" s="3"/>
      <c r="D1953" s="51"/>
      <c r="E1953" s="4"/>
      <c r="F1953" s="101"/>
      <c r="G1953" s="57"/>
      <c r="H1953" s="4"/>
      <c r="I1953" s="4"/>
      <c r="J1953" s="4"/>
      <c r="K1953" s="54"/>
      <c r="L1953" s="57"/>
      <c r="M1953" s="57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AC1953" s="39"/>
      <c r="AD1953" s="3"/>
    </row>
    <row r="1954" spans="1:30" s="6" customFormat="1" ht="20.100000000000001" customHeight="1" x14ac:dyDescent="0.25">
      <c r="A1954" s="741"/>
      <c r="B1954" s="3"/>
      <c r="C1954" s="3"/>
      <c r="D1954" s="51"/>
      <c r="E1954" s="4"/>
      <c r="F1954" s="101"/>
      <c r="G1954" s="57"/>
      <c r="H1954" s="4"/>
      <c r="I1954" s="4"/>
      <c r="J1954" s="4"/>
      <c r="K1954" s="54"/>
      <c r="L1954" s="57"/>
      <c r="M1954" s="57"/>
      <c r="N1954" s="4" t="s">
        <v>8533</v>
      </c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AC1954" s="39"/>
      <c r="AD1954" s="3"/>
    </row>
    <row r="1955" spans="1:30" s="6" customFormat="1" ht="20.100000000000001" customHeight="1" x14ac:dyDescent="0.25">
      <c r="A1955" s="737"/>
      <c r="B1955" s="3"/>
      <c r="C1955" s="3"/>
      <c r="D1955" s="51"/>
      <c r="E1955" s="4"/>
      <c r="F1955" s="101"/>
      <c r="G1955" s="57"/>
      <c r="H1955" s="4"/>
      <c r="I1955" s="4"/>
      <c r="J1955" s="4"/>
      <c r="K1955" s="54"/>
      <c r="L1955" s="57"/>
      <c r="M1955" s="57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AC1955" s="39"/>
      <c r="AD1955" s="3"/>
    </row>
    <row r="1956" spans="1:30" s="6" customFormat="1" ht="20.100000000000001" customHeight="1" x14ac:dyDescent="0.25">
      <c r="A1956" s="737"/>
      <c r="B1956" s="3"/>
      <c r="C1956" s="3"/>
      <c r="D1956" s="51"/>
      <c r="E1956" s="4"/>
      <c r="F1956" s="101"/>
      <c r="G1956" s="57"/>
      <c r="H1956" s="4"/>
      <c r="I1956" s="4"/>
      <c r="J1956" s="4"/>
      <c r="K1956" s="54"/>
      <c r="L1956" s="57"/>
      <c r="M1956" s="57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AC1956" s="39"/>
      <c r="AD1956" s="3"/>
    </row>
    <row r="1957" spans="1:30" s="6" customFormat="1" ht="20.100000000000001" customHeight="1" x14ac:dyDescent="0.25">
      <c r="A1957" s="737"/>
      <c r="B1957" s="3"/>
      <c r="C1957" s="3"/>
      <c r="D1957" s="51"/>
      <c r="E1957" s="4"/>
      <c r="F1957" s="101"/>
      <c r="G1957" s="57"/>
      <c r="H1957" s="4"/>
      <c r="I1957" s="4"/>
      <c r="J1957" s="4"/>
      <c r="K1957" s="54"/>
      <c r="L1957" s="57"/>
      <c r="M1957" s="57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AC1957" s="39"/>
      <c r="AD1957" s="3"/>
    </row>
    <row r="1958" spans="1:30" s="6" customFormat="1" ht="20.100000000000001" customHeight="1" x14ac:dyDescent="0.25">
      <c r="A1958" s="737"/>
      <c r="B1958" s="3"/>
      <c r="C1958" s="3"/>
      <c r="D1958" s="51"/>
      <c r="E1958" s="4"/>
      <c r="F1958" s="101"/>
      <c r="G1958" s="57"/>
      <c r="H1958" s="4"/>
      <c r="I1958" s="4"/>
      <c r="J1958" s="4"/>
      <c r="K1958" s="54"/>
      <c r="L1958" s="57"/>
      <c r="M1958" s="57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AC1958" s="39"/>
      <c r="AD1958" s="3"/>
    </row>
    <row r="1959" spans="1:30" s="6" customFormat="1" ht="20.100000000000001" customHeight="1" x14ac:dyDescent="0.25">
      <c r="A1959" s="750"/>
      <c r="B1959" s="3"/>
      <c r="C1959" s="3"/>
      <c r="D1959" s="51"/>
      <c r="E1959" s="4"/>
      <c r="F1959" s="101"/>
      <c r="G1959" s="57"/>
      <c r="H1959" s="4"/>
      <c r="I1959" s="4"/>
      <c r="J1959" s="4"/>
      <c r="K1959" s="54"/>
      <c r="L1959" s="57"/>
      <c r="M1959" s="57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AC1959" s="39"/>
      <c r="AD1959" s="3"/>
    </row>
    <row r="1960" spans="1:30" s="6" customFormat="1" ht="20.100000000000001" customHeight="1" x14ac:dyDescent="0.25">
      <c r="A1960" s="737"/>
      <c r="B1960" s="3"/>
      <c r="C1960" s="3"/>
      <c r="D1960" s="51"/>
      <c r="E1960" s="4"/>
      <c r="F1960" s="101"/>
      <c r="G1960" s="57"/>
      <c r="H1960" s="4"/>
      <c r="I1960" s="4"/>
      <c r="J1960" s="4"/>
      <c r="K1960" s="54"/>
      <c r="L1960" s="57"/>
      <c r="M1960" s="57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AC1960" s="39"/>
      <c r="AD1960" s="3"/>
    </row>
    <row r="1961" spans="1:30" s="6" customFormat="1" ht="20.100000000000001" customHeight="1" x14ac:dyDescent="0.25">
      <c r="A1961" s="737"/>
      <c r="B1961" s="3"/>
      <c r="C1961" s="3"/>
      <c r="D1961" s="51"/>
      <c r="E1961" s="4"/>
      <c r="F1961" s="101"/>
      <c r="G1961" s="57"/>
      <c r="H1961" s="4"/>
      <c r="I1961" s="4"/>
      <c r="J1961" s="4"/>
      <c r="K1961" s="54"/>
      <c r="L1961" s="57"/>
      <c r="M1961" s="57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AC1961" s="39"/>
      <c r="AD1961" s="3"/>
    </row>
    <row r="1962" spans="1:30" s="6" customFormat="1" ht="20.100000000000001" customHeight="1" x14ac:dyDescent="0.25">
      <c r="A1962" s="740"/>
      <c r="B1962" s="3"/>
      <c r="C1962" s="3"/>
      <c r="D1962" s="51"/>
      <c r="E1962" s="4"/>
      <c r="F1962" s="101"/>
      <c r="G1962" s="57"/>
      <c r="H1962" s="4"/>
      <c r="I1962" s="4"/>
      <c r="J1962" s="4"/>
      <c r="K1962" s="54"/>
      <c r="L1962" s="57"/>
      <c r="M1962" s="57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AC1962" s="39"/>
      <c r="AD1962" s="3"/>
    </row>
    <row r="1963" spans="1:30" s="6" customFormat="1" ht="20.100000000000001" customHeight="1" x14ac:dyDescent="0.25">
      <c r="A1963" s="740"/>
      <c r="B1963" s="3"/>
      <c r="C1963" s="3"/>
      <c r="D1963" s="51"/>
      <c r="E1963" s="4"/>
      <c r="F1963" s="101"/>
      <c r="G1963" s="57"/>
      <c r="H1963" s="4"/>
      <c r="I1963" s="4"/>
      <c r="J1963" s="4"/>
      <c r="K1963" s="54"/>
      <c r="L1963" s="57"/>
      <c r="M1963" s="57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AC1963" s="39"/>
      <c r="AD1963" s="3"/>
    </row>
    <row r="1964" spans="1:30" s="6" customFormat="1" ht="20.100000000000001" customHeight="1" x14ac:dyDescent="0.25">
      <c r="A1964" s="741"/>
      <c r="B1964" s="3"/>
      <c r="C1964" s="3"/>
      <c r="D1964" s="51"/>
      <c r="E1964" s="4"/>
      <c r="F1964" s="101"/>
      <c r="G1964" s="57"/>
      <c r="H1964" s="4"/>
      <c r="I1964" s="4"/>
      <c r="J1964" s="4"/>
      <c r="K1964" s="54"/>
      <c r="L1964" s="57"/>
      <c r="M1964" s="57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AC1964" s="39"/>
      <c r="AD1964" s="3"/>
    </row>
    <row r="1965" spans="1:30" s="6" customFormat="1" ht="20.100000000000001" customHeight="1" x14ac:dyDescent="0.25">
      <c r="A1965" s="741"/>
      <c r="B1965" s="3"/>
      <c r="C1965" s="3"/>
      <c r="D1965" s="51"/>
      <c r="E1965" s="4"/>
      <c r="F1965" s="101"/>
      <c r="G1965" s="57"/>
      <c r="H1965" s="4"/>
      <c r="I1965" s="4"/>
      <c r="J1965" s="4"/>
      <c r="K1965" s="54"/>
      <c r="L1965" s="57"/>
      <c r="M1965" s="57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AC1965" s="39"/>
      <c r="AD1965" s="3"/>
    </row>
  </sheetData>
  <autoFilter ref="A1:WUC1940" xr:uid="{00000000-0001-0000-0000-000000000000}"/>
  <phoneticPr fontId="1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05EEE9-DCCB-4403-9A56-95A3BE280E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Летта ООО</cp:lastModifiedBy>
  <cp:lastPrinted>2023-04-24T06:48:14Z</cp:lastPrinted>
  <dcterms:created xsi:type="dcterms:W3CDTF">2021-09-29T11:46:19Z</dcterms:created>
  <dcterms:modified xsi:type="dcterms:W3CDTF">2025-07-29T13:37:08Z</dcterms:modified>
</cp:coreProperties>
</file>